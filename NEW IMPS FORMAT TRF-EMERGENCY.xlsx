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firstSheet="5" activeTab="14"/>
  </bookViews>
  <sheets>
    <sheet name="Sheet1" sheetId="1" r:id="rId1"/>
    <sheet name="Jan-Feb-Mar-25" sheetId="2" r:id="rId2"/>
    <sheet name="Apr-25" sheetId="3" r:id="rId3"/>
    <sheet name="May-25" sheetId="4" r:id="rId4"/>
    <sheet name="Jun-25" sheetId="5" r:id="rId5"/>
    <sheet name="Jul-25" sheetId="6" r:id="rId6"/>
    <sheet name="Aug-25" sheetId="7" r:id="rId7"/>
    <sheet name="Sep-25" sheetId="8" r:id="rId8"/>
    <sheet name="Oct-25" sheetId="9" r:id="rId9"/>
    <sheet name="Nov-25" sheetId="10" r:id="rId10"/>
    <sheet name="Dec-25" sheetId="11" r:id="rId11"/>
    <sheet name="Jan-26" sheetId="12" r:id="rId12"/>
    <sheet name="Feb-26" sheetId="13" r:id="rId13"/>
    <sheet name="Mar-26" sheetId="14" r:id="rId14"/>
    <sheet name="In Transit" sheetId="15" r:id="rId15"/>
    <sheet name="Local Advance" sheetId="16" r:id="rId16"/>
  </sheets>
  <definedNames>
    <definedName name="_xlnm._FilterDatabase" localSheetId="2" hidden="1">'Apr-25'!$A$1:$L$57</definedName>
    <definedName name="_xlnm._FilterDatabase" localSheetId="6" hidden="1">'Aug-25'!$A$1:$M$142</definedName>
    <definedName name="_xlnm._FilterDatabase" localSheetId="10" hidden="1">'Dec-25'!$A$1:$M$203</definedName>
    <definedName name="_xlnm._FilterDatabase" localSheetId="12" hidden="1">'Feb-26'!$A$1:$M$1</definedName>
    <definedName name="_xlnm._FilterDatabase" localSheetId="14" hidden="1">'In Transit'!$A$1:$I$1335</definedName>
    <definedName name="_xlnm._FilterDatabase" localSheetId="11" hidden="1">'Jan-26'!$A$1:$M$209</definedName>
    <definedName name="_xlnm._FilterDatabase" localSheetId="1" hidden="1">'Jan-Feb-Mar-25'!$A$1:$L$263</definedName>
    <definedName name="_xlnm._FilterDatabase" localSheetId="5" hidden="1">'Jul-25'!$A$1:$M$160</definedName>
    <definedName name="_xlnm._FilterDatabase" localSheetId="4" hidden="1">'Jun-25'!$A$1:$L$64</definedName>
    <definedName name="_xlnm._FilterDatabase" localSheetId="13" hidden="1">'Mar-26'!$A$1:$M$294</definedName>
    <definedName name="_xlnm._FilterDatabase" localSheetId="3" hidden="1">'May-25'!$A$1:$L$1</definedName>
    <definedName name="_xlnm._FilterDatabase" localSheetId="9" hidden="1">'Nov-25'!$A$1:$M$123</definedName>
    <definedName name="_xlnm._FilterDatabase" localSheetId="8" hidden="1">'Oct-25'!$A$1:$M$141</definedName>
    <definedName name="_xlnm._FilterDatabase" localSheetId="7" hidden="1">'Sep-25'!$A$1:$M$173</definedName>
    <definedName name="_xlnm._FilterDatabase" localSheetId="0" hidden="1">Sheet1!$A$1:$L$1495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17" i="15" l="1"/>
  <c r="C1047" i="15" l="1"/>
  <c r="C1018" i="15" l="1"/>
  <c r="C894" i="15" l="1"/>
  <c r="C810" i="15" l="1"/>
  <c r="C796" i="15" l="1"/>
  <c r="C765" i="15" l="1"/>
  <c r="C478" i="15" l="1"/>
  <c r="C434" i="15" l="1"/>
  <c r="C431" i="15" l="1"/>
  <c r="C410" i="15" l="1"/>
  <c r="C409" i="15"/>
  <c r="C369" i="15" l="1"/>
  <c r="C358" i="15" l="1"/>
  <c r="I331" i="15" l="1"/>
  <c r="I319" i="15"/>
  <c r="I314" i="15"/>
  <c r="I313" i="15"/>
  <c r="I307" i="15"/>
  <c r="I306" i="15"/>
  <c r="I282" i="15"/>
  <c r="I271" i="15"/>
  <c r="I270" i="15"/>
  <c r="I259" i="15"/>
  <c r="I205" i="15"/>
  <c r="I204" i="15"/>
  <c r="I251" i="15"/>
  <c r="I233" i="15"/>
  <c r="I232" i="15"/>
  <c r="I229" i="15"/>
  <c r="I211" i="15"/>
  <c r="I321" i="15" l="1"/>
  <c r="I305" i="15"/>
  <c r="I302" i="15"/>
  <c r="I298" i="15"/>
  <c r="I295" i="15"/>
  <c r="I287" i="15"/>
  <c r="I276" i="15"/>
  <c r="I274" i="15"/>
  <c r="I268" i="15"/>
  <c r="I265" i="15"/>
  <c r="I260" i="15"/>
  <c r="I215" i="15"/>
  <c r="I212" i="15"/>
  <c r="I209" i="15"/>
  <c r="I208" i="15"/>
  <c r="I203" i="15"/>
  <c r="I199" i="15"/>
  <c r="I198" i="15"/>
  <c r="C286" i="15" l="1"/>
  <c r="C257" i="15" l="1"/>
  <c r="C151" i="15" l="1"/>
  <c r="C50" i="15" l="1"/>
  <c r="C44" i="15"/>
  <c r="C43" i="15"/>
  <c r="G285" i="14" l="1"/>
  <c r="G221" i="14" l="1"/>
  <c r="G168" i="14" l="1"/>
  <c r="G147" i="14" l="1"/>
  <c r="G65" i="14" l="1"/>
  <c r="G50" i="14" l="1"/>
  <c r="G85" i="13" l="1"/>
  <c r="G53" i="13" l="1"/>
  <c r="G51" i="13"/>
  <c r="G23" i="13" l="1"/>
  <c r="G22" i="13"/>
  <c r="G184" i="11" l="1"/>
  <c r="G174" i="11" l="1"/>
  <c r="G146" i="11" l="1"/>
  <c r="G136" i="11" l="1"/>
  <c r="G127" i="11" l="1"/>
  <c r="G124" i="11"/>
  <c r="G110" i="11" l="1"/>
  <c r="G58" i="5" l="1"/>
  <c r="G1081" i="1" l="1"/>
  <c r="G1045" i="1" l="1"/>
  <c r="G1010" i="1" l="1"/>
  <c r="G418" i="1"/>
  <c r="G387" i="1"/>
  <c r="G253" i="1"/>
  <c r="G111" i="1"/>
  <c r="G94" i="1"/>
  <c r="G63" i="1"/>
  <c r="G62" i="1"/>
  <c r="G58" i="1"/>
  <c r="G57" i="1"/>
  <c r="G43" i="1"/>
  <c r="G42" i="1"/>
  <c r="G41" i="1"/>
  <c r="G40" i="1"/>
  <c r="G36" i="1"/>
</calcChain>
</file>

<file path=xl/comments1.xml><?xml version="1.0" encoding="utf-8"?>
<comments xmlns="http://schemas.openxmlformats.org/spreadsheetml/2006/main">
  <authors>
    <author>Author</author>
  </authors>
  <commentList>
    <comment ref="G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Loading cancelled</t>
        </r>
      </text>
    </comment>
    <comment ref="G1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Loading cancelled</t>
        </r>
      </text>
    </comment>
  </commentList>
</comments>
</file>

<file path=xl/sharedStrings.xml><?xml version="1.0" encoding="utf-8"?>
<sst xmlns="http://schemas.openxmlformats.org/spreadsheetml/2006/main" count="34664" uniqueCount="2220">
  <si>
    <t>PYMT_PROD_TYPE_CODE</t>
  </si>
  <si>
    <t>PYMT_MODE</t>
  </si>
  <si>
    <t>DEBIT_ACC_NO</t>
  </si>
  <si>
    <t>BNF_NAME</t>
  </si>
  <si>
    <t>BENE_ACC_NO</t>
  </si>
  <si>
    <t>BENE_IFSC</t>
  </si>
  <si>
    <t>AMOUNT</t>
  </si>
  <si>
    <t>PYMT_DATE</t>
  </si>
  <si>
    <t>REMARK</t>
  </si>
  <si>
    <t>VEHICLE</t>
  </si>
  <si>
    <t>CHALLAN</t>
  </si>
  <si>
    <t>REMARKS</t>
  </si>
  <si>
    <t>PAB_VENDOR</t>
  </si>
  <si>
    <t>IMPS</t>
  </si>
  <si>
    <t>162905000870</t>
  </si>
  <si>
    <t>SADIL</t>
  </si>
  <si>
    <t>230601000005675</t>
  </si>
  <si>
    <t>IOBA0002306</t>
  </si>
  <si>
    <t>HR55K0998 RAMESH</t>
  </si>
  <si>
    <t>HR55K0998</t>
  </si>
  <si>
    <t>NARSAPURA-PEENYA-22FT</t>
  </si>
  <si>
    <t>HR47B5859 RAMESH</t>
  </si>
  <si>
    <t>HR47B5859</t>
  </si>
  <si>
    <t>PEENYA-HOSKOTE-40FT</t>
  </si>
  <si>
    <t>NARSAPURA-PEENYA-40FT</t>
  </si>
  <si>
    <t>ZISAN</t>
  </si>
  <si>
    <t>36217587393</t>
  </si>
  <si>
    <t>SBIN0014513</t>
  </si>
  <si>
    <t>HR47B5919 RAMESH</t>
  </si>
  <si>
    <t>HR47B5919</t>
  </si>
  <si>
    <t>ELECTRONIC CITY-DABASPET-40FT</t>
  </si>
  <si>
    <t>FAKURUDDIN</t>
  </si>
  <si>
    <t>41878816184</t>
  </si>
  <si>
    <t>SBIN0009609</t>
  </si>
  <si>
    <t>HR47B5924</t>
  </si>
  <si>
    <t>MALUR-PEENYA-40FT</t>
  </si>
  <si>
    <t>MD SAJIM KHAN</t>
  </si>
  <si>
    <t>454302010012390</t>
  </si>
  <si>
    <t>UBIN0545431</t>
  </si>
  <si>
    <t>HR47B8204 RAMESH</t>
  </si>
  <si>
    <t>HR47B8204</t>
  </si>
  <si>
    <t>RAHMAN</t>
  </si>
  <si>
    <t>50448083215</t>
  </si>
  <si>
    <t>IDIB000K502</t>
  </si>
  <si>
    <t>HR55K1093 RAMESH</t>
  </si>
  <si>
    <t>HR55K1093</t>
  </si>
  <si>
    <t>PEENYA-BOMMASANDRA-22FT</t>
  </si>
  <si>
    <t>PEENYA-BOMMASANDRA-22FT(10/04/24)</t>
  </si>
  <si>
    <t>KHUSNUD KHAN</t>
  </si>
  <si>
    <t>50100686855599</t>
  </si>
  <si>
    <t>HDFC0000240</t>
  </si>
  <si>
    <t>HR47B5921 RAMESH</t>
  </si>
  <si>
    <t>HR47B5921</t>
  </si>
  <si>
    <t>OTIS-JIGANI-1 TRIP-8KM</t>
  </si>
  <si>
    <t>OTIS-JIGANI-1 TRIP-4KM</t>
  </si>
  <si>
    <t>MANSOOR PASHA</t>
  </si>
  <si>
    <t>57880100000238</t>
  </si>
  <si>
    <t>BARB0HAROHA</t>
  </si>
  <si>
    <t>HR47B5858 RAMESH</t>
  </si>
  <si>
    <t>HR47B5848</t>
  </si>
  <si>
    <t>MALUR-PEENYA-22FT</t>
  </si>
  <si>
    <t>297201000003209</t>
  </si>
  <si>
    <t>IOBA0002972</t>
  </si>
  <si>
    <t>HR47B5848 RAMESH</t>
  </si>
  <si>
    <t>NIZAMUDIN</t>
  </si>
  <si>
    <t>20242675843</t>
  </si>
  <si>
    <t>SBIN0017060</t>
  </si>
  <si>
    <t>HR47B5737 RAMESH</t>
  </si>
  <si>
    <t>HR47B5737</t>
  </si>
  <si>
    <t>ATTIBELE-HOSKOTE-40FT</t>
  </si>
  <si>
    <t>ROSHAN ZAMEER</t>
  </si>
  <si>
    <t>34960100012833</t>
  </si>
  <si>
    <t>BARB0KRPURM</t>
  </si>
  <si>
    <t>SHOUIB PASHA</t>
  </si>
  <si>
    <t>SBIN0040686</t>
  </si>
  <si>
    <t>HR47B8210 RAMESH</t>
  </si>
  <si>
    <t>HR47B8210</t>
  </si>
  <si>
    <t>HR47B5919RAMESH</t>
  </si>
  <si>
    <t>HR47B5744RAMESH</t>
  </si>
  <si>
    <t>HR47B5744</t>
  </si>
  <si>
    <t>SALEEM PASHA</t>
  </si>
  <si>
    <t>40345821802</t>
  </si>
  <si>
    <t>SBIN0011288</t>
  </si>
  <si>
    <t>HR47B8205RAMESH</t>
  </si>
  <si>
    <t>HR47B8205</t>
  </si>
  <si>
    <t>HR55K0998RAMESH</t>
  </si>
  <si>
    <t>PEENYA-HOSKOTE-22FT</t>
  </si>
  <si>
    <t>HR55K1093RAMESH</t>
  </si>
  <si>
    <t>HR47B5848RAMESH</t>
  </si>
  <si>
    <t>38795170941</t>
  </si>
  <si>
    <t>HR47B8210RAMESH</t>
  </si>
  <si>
    <t>HR47B5859RAMESH</t>
  </si>
  <si>
    <t>HR47B8204RAMESH</t>
  </si>
  <si>
    <t>HR47B5924RAMESH</t>
  </si>
  <si>
    <t>ATTIBELE-HOSKOTE-40FT CHASSIS TRAILER</t>
  </si>
  <si>
    <t>MD EKRAM</t>
  </si>
  <si>
    <t>41941052294</t>
  </si>
  <si>
    <t>HR47B5850RAMESH</t>
  </si>
  <si>
    <t>HR47B5850</t>
  </si>
  <si>
    <t>OTIS-JIGANI-LOCAL 1 TRIP/AS PER MR SOMBIR</t>
  </si>
  <si>
    <t>FICOM PALLETS/NARSAPURA-PEENYA-40FT</t>
  </si>
  <si>
    <t>HR47B5737RAMESH</t>
  </si>
  <si>
    <t>KHALIMULLA KHAN</t>
  </si>
  <si>
    <t>SBIN0040190</t>
  </si>
  <si>
    <t>PANKAJ RAVIDAS</t>
  </si>
  <si>
    <t>RATN0000253</t>
  </si>
  <si>
    <t>HOSKOTE-DABASPET-HOSKOTE-40FT</t>
  </si>
  <si>
    <t>PEENYA-DABASPET-HOSKOTE-40FT</t>
  </si>
  <si>
    <t>SADDAM KHAN</t>
  </si>
  <si>
    <t>7870570436</t>
  </si>
  <si>
    <t>AIRP0000001</t>
  </si>
  <si>
    <t>HOSKOTE-PEENYA-40FT CHASSIS TRAILER</t>
  </si>
  <si>
    <t>OTIS-JIGANI-LOCAL 1 TRIP</t>
  </si>
  <si>
    <t>SAFDAR PASHA</t>
  </si>
  <si>
    <t>20275152938</t>
  </si>
  <si>
    <t>THOUSIF</t>
  </si>
  <si>
    <t>SBIN0016235</t>
  </si>
  <si>
    <t>HR47B5740RAMESH</t>
  </si>
  <si>
    <t>HR47B5740</t>
  </si>
  <si>
    <t>HOSKOTE-OTIS-JIGANI-40FT</t>
  </si>
  <si>
    <t>MUBEENA</t>
  </si>
  <si>
    <t>34960100014629</t>
  </si>
  <si>
    <t>HR47C6341RAMESH</t>
  </si>
  <si>
    <t>HR47C6341</t>
  </si>
  <si>
    <t>NARSAPURA-PEENYA-40FT CNG</t>
  </si>
  <si>
    <t>HR47C7566RAMESH</t>
  </si>
  <si>
    <t>HR47C7566</t>
  </si>
  <si>
    <t>ON SALARY ACCOUNT-AS PER MR SOMBIR</t>
  </si>
  <si>
    <t>FABTOOL/RISHI PALLETS/NARSAPURA-PEENYA-22FT</t>
  </si>
  <si>
    <t>DASANPURA/NARSAPURA-PEENYA-22FT</t>
  </si>
  <si>
    <t>OTIS LOCAL 1 TRIP/ATTIBELE-HOSKOTE-40FT</t>
  </si>
  <si>
    <t>DABASPET-HOSKOTE-40FT</t>
  </si>
  <si>
    <t>OTIS-JIGANI-LOCAL 1 TRIP/19-04-2024</t>
  </si>
  <si>
    <t>ATTIBELE-HOSKOTE-40FT/24-04-2024</t>
  </si>
  <si>
    <t>ATTIBELE-HOSKOTE-40FT/25-04-2024</t>
  </si>
  <si>
    <t>NARSAPURA-PEENYA-40FT CNG/24-04-24</t>
  </si>
  <si>
    <t>FERRUM/FICOM PALLETS/NARSAPURA-PEENYA-40FT</t>
  </si>
  <si>
    <t>HR47B5858RAMESH</t>
  </si>
  <si>
    <t>PEENYA-MALUR-22FT</t>
  </si>
  <si>
    <t>HOSKOTE-PEENYA-40FT</t>
  </si>
  <si>
    <t>NARSAPURA-PEENYA</t>
  </si>
  <si>
    <t>HOSKOTE-ELECTRONIC CITY-DABASPET-40FT</t>
  </si>
  <si>
    <t>HR47B5858</t>
  </si>
  <si>
    <t>PEENYA-BOMMASANDRA-22FT 11/05</t>
  </si>
  <si>
    <t>PRAWEZ KHAN</t>
  </si>
  <si>
    <t>SBIN0017426</t>
  </si>
  <si>
    <t>HR47B5920RAMESH</t>
  </si>
  <si>
    <t>HR47B5920</t>
  </si>
  <si>
    <t>JIGANI-HOSKOTE-40FT+CHASSIS TRAILER PARKING</t>
  </si>
  <si>
    <t>ZISAN ALI</t>
  </si>
  <si>
    <t>HDFC0002651</t>
  </si>
  <si>
    <t>ATTIBELE-HOSKOTE/OTIS LOCAL 1 TRIP-40FT</t>
  </si>
  <si>
    <t>KULDEEP KUMAR</t>
  </si>
  <si>
    <t>52120100007570</t>
  </si>
  <si>
    <t>BARB0CHATRA</t>
  </si>
  <si>
    <t>HR47C8489RAMESH</t>
  </si>
  <si>
    <t>HR47C8489</t>
  </si>
  <si>
    <t>ELECTRONIC CITY-DABASPET-40FT-CNG</t>
  </si>
  <si>
    <t>NARSAPURA-PEENYA-40FT-CNG</t>
  </si>
  <si>
    <t>NELMANGLA-PEENYA-40FT-CNG</t>
  </si>
  <si>
    <t>ON SALARY ACCOUNT/FEB-24 HOLD SALARY</t>
  </si>
  <si>
    <t>NARSAPURA-PEENYA-40FT-CNG 25-05</t>
  </si>
  <si>
    <t>PEENYA-MALUR-22FT 25-05</t>
  </si>
  <si>
    <t>PEENYA-BOMMASANDRA-22FT 25-05</t>
  </si>
  <si>
    <t>ON SALARY ACCOUNT</t>
  </si>
  <si>
    <t>HOSKOTE-PEENYA-40FT-CNG</t>
  </si>
  <si>
    <t>BOMMASANDRA-PEENYA-22FT</t>
  </si>
  <si>
    <t>MALUR-PEENYA-40FT-CNG 04-06</t>
  </si>
  <si>
    <t>PEENYA-BOMMASANDRA-22FT 04-06</t>
  </si>
  <si>
    <t>NARSAPURA-PEENYA-40FT-CNG 08-06</t>
  </si>
  <si>
    <t>ATTIBELE-HOSKOTE-40FT+PUC</t>
  </si>
  <si>
    <t>PEENYA-BOMMASANDRA-22FT 08-06</t>
  </si>
  <si>
    <t>OTIS-JIGANI-CHENNAI-40FT</t>
  </si>
  <si>
    <t>RIZWAN</t>
  </si>
  <si>
    <t>34397803627</t>
  </si>
  <si>
    <t>HR47B5855RAMESH</t>
  </si>
  <si>
    <t>HR47B5855</t>
  </si>
  <si>
    <t>MALUR-PEENYA-40FT 12-06</t>
  </si>
  <si>
    <t>FOR FASTAG-AS PER MR SOMBIR</t>
  </si>
  <si>
    <t>PEENYA-NARSAPUR-MARTHAHALLI-PEENYA-40FT</t>
  </si>
  <si>
    <t>ELECTRONIC CITY-DABASPET-40FT 15/06</t>
  </si>
  <si>
    <t>NARAPURA-WHITEFIELD-40FT CNG 15/06</t>
  </si>
  <si>
    <t>ELECTRONIC CITY-DABASPET-40FT 17/06</t>
  </si>
  <si>
    <t>SAJDA KHATOON</t>
  </si>
  <si>
    <t>1632001700082244</t>
  </si>
  <si>
    <t>PUNB0163200</t>
  </si>
  <si>
    <t>HR47C8281RAMESH</t>
  </si>
  <si>
    <t>HR47C8281</t>
  </si>
  <si>
    <t>ELECTRONIC CITY-DABASPET-40FT CNG 20/06</t>
  </si>
  <si>
    <t>CLIMAVENETA-NARSAPURA-MAHADEVPURA-40FT</t>
  </si>
  <si>
    <t>MAHADEVPURA-ATTIBELE-HOSKOTE-40FT</t>
  </si>
  <si>
    <t>HOSKOTE-ATTIBELE-HOSKOTE40FT</t>
  </si>
  <si>
    <t>MALUR-PEENYA-40FT CNG 22-06</t>
  </si>
  <si>
    <t>SANGITA DEVI</t>
  </si>
  <si>
    <t>1522104000068828</t>
  </si>
  <si>
    <t>IBKL0001522</t>
  </si>
  <si>
    <t>PEENYA-HOSKOTE-40FT 22-06</t>
  </si>
  <si>
    <t>PEENYA-BOMMASANDRA-22FT 22-06</t>
  </si>
  <si>
    <t>NARSAPURA-PEENYA-40FT CNG 22-06</t>
  </si>
  <si>
    <t>JIGANI-DABASPET-40FT</t>
  </si>
  <si>
    <t>PEENYA-HOSKOTE-40FT CNG 24-06</t>
  </si>
  <si>
    <t>CLIMAVENETA-NARSAPURA-DEVANHALLI-40FT</t>
  </si>
  <si>
    <t>DEVANHALLI-ATTIBELE-HOSKOTE-40FT</t>
  </si>
  <si>
    <t>CLIMAVENETA-NARSAPURA-DEVANHALLI-40FT 27-06</t>
  </si>
  <si>
    <t>KA01AP8933RAMESH</t>
  </si>
  <si>
    <t>KA01AP8933</t>
  </si>
  <si>
    <t>HR47B5921RAMESH</t>
  </si>
  <si>
    <t>PEENYA-BOMMSANDRA-22FT</t>
  </si>
  <si>
    <t>PEENYA-BOMMSANDRA-22FT 29/06</t>
  </si>
  <si>
    <t>HOSKOTE-YESHWANTHPUR-HOSKOTE-40FT</t>
  </si>
  <si>
    <t>MALUR-PEENYA-22FT 02/07</t>
  </si>
  <si>
    <t>NARSAPURA-PEENYA-40FT CNG 04/07</t>
  </si>
  <si>
    <t>PEENYA-DODDABALLAPUR-HOSKOTE-22FT</t>
  </si>
  <si>
    <t>NARSAPURA-PEENYA-40FT CNG 06/07</t>
  </si>
  <si>
    <t>MALUR-PEENYA-40FT CNG 06/07</t>
  </si>
  <si>
    <t>NOUSHAD KHAN</t>
  </si>
  <si>
    <t>31617182821</t>
  </si>
  <si>
    <t>NARSAPURA-PEENYA-40FT CNG 08/07</t>
  </si>
  <si>
    <t>DABASPET-ATTIBELE-HOSKOTE-40FT</t>
  </si>
  <si>
    <t>NARSAPURA-PEENYA-40FT CNG 10/07</t>
  </si>
  <si>
    <t>PEENYA-MALUR-40FT CNG 11/07</t>
  </si>
  <si>
    <t>NARSAPURA-PEENYA-40FT CNG 11/07</t>
  </si>
  <si>
    <t>OTIS-JIGANI-LOCAL 11/07</t>
  </si>
  <si>
    <t>OTIS-JIGANI-LOCAL 10/07</t>
  </si>
  <si>
    <t>PEENYA-NELMANGLA-40FT CNG 12/07</t>
  </si>
  <si>
    <t>NARSAPURA-PEENYA-40FT CNG 13/07</t>
  </si>
  <si>
    <t>OTIS-JIGANI-LOCAL 12/07</t>
  </si>
  <si>
    <t>NARSAPURA-PEENYA-40FT CNG 16/07</t>
  </si>
  <si>
    <t>DASANPURA-PEENYA-40FT CNG 17/07</t>
  </si>
  <si>
    <t>HOSKOTE-DABASPET-40FT CHASSIS TRAILER</t>
  </si>
  <si>
    <t>ELECTRONIC CITY-DABASPET-40FT CNG 16/07</t>
  </si>
  <si>
    <t>NARSAPURA-PEENYA-40FT CNG 18/07</t>
  </si>
  <si>
    <t>NARSAPURA-PEENYA-22FT/2ND TRIP</t>
  </si>
  <si>
    <t>ABDUL RAHMAN</t>
  </si>
  <si>
    <t>1122500103343601</t>
  </si>
  <si>
    <t>KARB0000112</t>
  </si>
  <si>
    <t>DASANPURA-PEENYA-40FT CNG 19/07</t>
  </si>
  <si>
    <t>NARSAPURA-PEENYA-40FT CNG 20/07</t>
  </si>
  <si>
    <t>HOSKOTE-PEENYA-40FT CNG</t>
  </si>
  <si>
    <t>DASANPURA-PEENYA-40FT CNG</t>
  </si>
  <si>
    <t>ATTIBELE-HOSKOTE-40FT CNG 22-07</t>
  </si>
  <si>
    <t>NARSAPURA-PEENYA-40FT CNG 22/07</t>
  </si>
  <si>
    <t>PEENYA-HOSKOTE-40FT CNG 23/07</t>
  </si>
  <si>
    <t>NARSAPURA-PEENYA-40FT CNG 24/07</t>
  </si>
  <si>
    <t>DASANPURA-PEENYA-40FT CNG 25/07</t>
  </si>
  <si>
    <t>NARSAPURA-PEENYA-40FT CNG 25/07</t>
  </si>
  <si>
    <t>PEENYA-MALUR-22FT 25/07</t>
  </si>
  <si>
    <t>NARSAPURA-PEENYA-40FT CNG 26/07</t>
  </si>
  <si>
    <t>NARSAPURA-PEENYA-40FT CNG 27/07</t>
  </si>
  <si>
    <t>ATTIBELE-HOSKOTE-40FT CNG 27/07</t>
  </si>
  <si>
    <t>PEENYA-BOMMASANDRA-22FT 27/07</t>
  </si>
  <si>
    <t>PEENYA-HOSKOTE-40FT CNG 29/07</t>
  </si>
  <si>
    <t>NARSAPURA-PEENYA-40FT CNG 29/07</t>
  </si>
  <si>
    <t>DABASPET-JIGANI-40FT</t>
  </si>
  <si>
    <t>PEENYA-MALUR-40FT CNG 30/07</t>
  </si>
  <si>
    <t>NARSAPURA-PEENYA-40FT CNG 30/07</t>
  </si>
  <si>
    <t>PEENYA-HOSKOTE-40FT CNG 31/07</t>
  </si>
  <si>
    <t>HARUN KHAN</t>
  </si>
  <si>
    <t>34932700126</t>
  </si>
  <si>
    <t>NARSAPURA-PEENYA-40FT CNG 31/07</t>
  </si>
  <si>
    <t>PEENYA-NARSAPURA-22FT</t>
  </si>
  <si>
    <t>PEENYA-HOSKOTE-40FT CNG 01/08</t>
  </si>
  <si>
    <t>NARSAPURA-PEENYA-40FT CNG 01/08</t>
  </si>
  <si>
    <t>DASANPURA-PEENYA-22FT</t>
  </si>
  <si>
    <t>DASANPURA-PEENYA-40FT CNG 02/08</t>
  </si>
  <si>
    <t>HOSKOTE-DABASPET-40FT</t>
  </si>
  <si>
    <t>TATA POWER-NLM-JIGANI-40FT</t>
  </si>
  <si>
    <t>DASANPURA-PEENYA-40FT CNG 03/08</t>
  </si>
  <si>
    <t>DASANPURA-PEENYA-22FT 03/08</t>
  </si>
  <si>
    <t>MALUR-PEENYA-40FT CNG 03/08</t>
  </si>
  <si>
    <t>ATTIBELE-DABASPET-HOSKOTE-40FT</t>
  </si>
  <si>
    <t>HOSKOTE-PEENYA-22FT</t>
  </si>
  <si>
    <t>DASANPURA-PEENYA-22FT 06/08</t>
  </si>
  <si>
    <t>PEENYA-HOSKOTE-40FT CNG 05/08</t>
  </si>
  <si>
    <t>ASGAR</t>
  </si>
  <si>
    <t>32334307141</t>
  </si>
  <si>
    <t>DASANPURA-PEENYA-22FT 07/08</t>
  </si>
  <si>
    <t>NARSAPURA-PEENYA-40FT CNG 06/08</t>
  </si>
  <si>
    <t>NARSAPURA-PEENYA-40FT CNG 07/08</t>
  </si>
  <si>
    <t>PEENYA-HOSKOTE-40FT CNG 07/08</t>
  </si>
  <si>
    <t>DASANPURA-PEENYA-22FT 08/08</t>
  </si>
  <si>
    <t>NARSAPURA-PEENYA-40FT CNG 08/08</t>
  </si>
  <si>
    <t>PEENYA-HOSKOTE-40FT CNG 09/08</t>
  </si>
  <si>
    <t>NARSAPURA-PEENYA-40FT CNG 09/08</t>
  </si>
  <si>
    <t>NARSAPURA-PEENYA-40FT CNG 10/08</t>
  </si>
  <si>
    <t>NARSAPURA-PEENYA-40FT CNG 11/08</t>
  </si>
  <si>
    <t>PEENYA-MALUR-40FT CNG 12/08</t>
  </si>
  <si>
    <t>DASANPURA-PEENYA-22FT 12/08</t>
  </si>
  <si>
    <t>NARSAPURA-PEENYA-22FT 12/08</t>
  </si>
  <si>
    <t>HOSKOTE-DASANPURA-40FT EMPTY</t>
  </si>
  <si>
    <t>DASANPURA-DABASPET-40FT</t>
  </si>
  <si>
    <t>PEENYA-DASANPURA-DABASPET-40FT</t>
  </si>
  <si>
    <t>HOSKOTE-DASANPURA-DABASPET-40FT</t>
  </si>
  <si>
    <t>DASANPURA-PEENYA-22FT 13/08</t>
  </si>
  <si>
    <t>NARSAPURA-PEENYA-40FT CNG 12/08</t>
  </si>
  <si>
    <t>NARSAPURA-PEENYA-40FT CNG 13/08</t>
  </si>
  <si>
    <t>DASANPURA-PEENYA-22FT 14/08</t>
  </si>
  <si>
    <t>HOSKOTE-CHENNAI-40FT CHASSIS TRAILER</t>
  </si>
  <si>
    <t>DASANPURA-PEENYA-40FT 14/08</t>
  </si>
  <si>
    <t>NARSAPURA-PEENYA-40FT CNG 16/08</t>
  </si>
  <si>
    <t>DASANPURA-PEENYA-22FT 16/08</t>
  </si>
  <si>
    <t>DASANPURA-PEENYA-22FT 17/08</t>
  </si>
  <si>
    <t>DASANPURA-PEENYA-40FT 17/08</t>
  </si>
  <si>
    <t>DASANPURA-PEENYA-22FT 19/08</t>
  </si>
  <si>
    <t>DASANPURA-PEENYA-22FT 20/08</t>
  </si>
  <si>
    <t>MALUR-PEENYA-40FT 20/08</t>
  </si>
  <si>
    <t>HOSKOTE-JIGANI(OTIS)-40FT</t>
  </si>
  <si>
    <t>DASANPURA-PEENYA-22FT 21/08</t>
  </si>
  <si>
    <t>NARSAPURA-PEENYA-40FT 22/08</t>
  </si>
  <si>
    <t>DOBBASPET-JIGANI(OTIS)-40FT</t>
  </si>
  <si>
    <t>DASANPURA-PEENYA-22FT 22/08</t>
  </si>
  <si>
    <t>OTIS-JIGANI-LOCAL 22/08</t>
  </si>
  <si>
    <t>DASANPURA-PEENYA-22FT 23/08</t>
  </si>
  <si>
    <t>NARSAPURA-PEENYA-40FT 23/08</t>
  </si>
  <si>
    <t>DASANPURA-PEENYA-22FT 24/08</t>
  </si>
  <si>
    <t>NARSAPURA-PEENYA-40FT 24/08</t>
  </si>
  <si>
    <t>HOSKOTE(VOLVO)-ATTIBELE-HOSKOTE-40FT</t>
  </si>
  <si>
    <t>HOSKOTE(VOLVO)-DABASPET-HOSKOTE-40FT</t>
  </si>
  <si>
    <t>VOLVO(PEENYA)-ELECTRONIC CITY-DABASPET-40FT</t>
  </si>
  <si>
    <t>DASANPURA-PEENYA-22FT 26/08</t>
  </si>
  <si>
    <t>NARSAPURA-PEENYA-40FT 26/08</t>
  </si>
  <si>
    <t>DASANPURA-PEENYA-22FT 27/08</t>
  </si>
  <si>
    <t>PEENYA(VOLVO)-ATTIBELE-HOSKOTE-40FT</t>
  </si>
  <si>
    <t>DASANPURA-PEENYA-22FT 28/08</t>
  </si>
  <si>
    <t>PEENYA-NELMANGALA-40FT 28/08</t>
  </si>
  <si>
    <t>NARSAPURA-PEENYA-40FT 28/08</t>
  </si>
  <si>
    <t>PEENYA-HOSKOTE-40FT 29/08-FASTAG=260/- 15/08</t>
  </si>
  <si>
    <t>DASANPURA-PEENYA-22FT 29/08</t>
  </si>
  <si>
    <t>DASANPURA-PEENYA-22FT 30/08</t>
  </si>
  <si>
    <t>NARSAPURA-PEENYA-40FT 29/08</t>
  </si>
  <si>
    <t>PEENYA-HOSKOTE-40FT 30/08</t>
  </si>
  <si>
    <t>PEENYA-HOSKOTE-40FT 31/08</t>
  </si>
  <si>
    <t>DASANPURA-PEENYA-22FT 31/08</t>
  </si>
  <si>
    <t>DASANPURA-PEENYA-40FT 30/08</t>
  </si>
  <si>
    <t>PEENYA-NELMANGALA-40FT 31/08</t>
  </si>
  <si>
    <t>PEENYA-ELECTRONIC CITY-DABASPET-40FT</t>
  </si>
  <si>
    <t>DASANPURA-PEENYA-22FT 02/09</t>
  </si>
  <si>
    <t>OTIS-JIGANI-LOCAL</t>
  </si>
  <si>
    <t>PEENYA-MALUR-40FT CNG 02/09</t>
  </si>
  <si>
    <t>NARSAPURA-PEENYA-40FT CNG 02/09</t>
  </si>
  <si>
    <t>DASANPURA-PEENYA-22FT 03/09</t>
  </si>
  <si>
    <t>DASANPURA-PEENYA-22FT 04/09</t>
  </si>
  <si>
    <t>NARSAPURA-PEENYA-40FT CNG 04/09</t>
  </si>
  <si>
    <t>NAIM KHAN</t>
  </si>
  <si>
    <t>388401500587</t>
  </si>
  <si>
    <t>ICIC0000011</t>
  </si>
  <si>
    <t>DASANPURA-PEENYA-22FT 05/09</t>
  </si>
  <si>
    <t>NARSAPURA-PEENYA-40FT CNG 05/09</t>
  </si>
  <si>
    <t>DASANPURA-PEENYA-22FT 06/09</t>
  </si>
  <si>
    <t>NARSAPURA-PEENYA-40FT CNG 07/09</t>
  </si>
  <si>
    <t>OTIS-JIGANI-LOCAL 06/09</t>
  </si>
  <si>
    <t>OTIS-JIGANI-LOCAL 05/09</t>
  </si>
  <si>
    <t>PEENYA-MALUR-40FT CNG 09-09</t>
  </si>
  <si>
    <t>DASANPURA-PEENYA-22FT 09/09</t>
  </si>
  <si>
    <t>NARSAPURA-PEENYA-40FT CNG 09/09</t>
  </si>
  <si>
    <t>NARSAPURA-PEENYA-40FT CNG 10/09</t>
  </si>
  <si>
    <t>NARSAPURA-PEENYA-40FT CNG 11/09</t>
  </si>
  <si>
    <t>MALUR-PEENYA-40FT 12/09</t>
  </si>
  <si>
    <t>NARSAPURA-WHITEFIELD-40FT 12/09</t>
  </si>
  <si>
    <t>ELECTRONIC CITY-DABASPET-40FT 12/09</t>
  </si>
  <si>
    <t>NARSAPURA-PEENYA-40FT CNG 12/09</t>
  </si>
  <si>
    <t>HOSKOTE-YESHWANTHPUR-40FT/FOR REPAIRING AS PER SOMBIR JI</t>
  </si>
  <si>
    <t>DASANPURA-PEENYA-40FT 12/09</t>
  </si>
  <si>
    <t>NARSAPURA-PEENYA-40FT CNG 13/09</t>
  </si>
  <si>
    <t>ELECTRONIC CITY-DABASPET-40FT 13/09</t>
  </si>
  <si>
    <t>ATTIBELE-HOSKOTE-40FT 13/09</t>
  </si>
  <si>
    <t>NARSAPURA-PEENYA-40FT CNG 14/09</t>
  </si>
  <si>
    <t>DASANPURA-PEENYA-22FT 14/09</t>
  </si>
  <si>
    <t>PEENYA-MALUR-40FT CNG 16/09</t>
  </si>
  <si>
    <t>NARSAPURA-PEENYA-40FT 16/09</t>
  </si>
  <si>
    <t>NARSAPURA-PEENYA-40FT CNG 16/09</t>
  </si>
  <si>
    <t>ATTIBELE-HOSKOTE-40FT 16/09</t>
  </si>
  <si>
    <t>NARSAPURA-PEENYA-40FT CNG 17/09</t>
  </si>
  <si>
    <t>ATTIBELE-HOSKOTE-40FT 17/09</t>
  </si>
  <si>
    <t>NARSAPURA-PEENYA-40FT CNG 18/09</t>
  </si>
  <si>
    <t>ELECTRONIC CITY-DABASPET-40FT 18/09</t>
  </si>
  <si>
    <t>KALIM KHAN</t>
  </si>
  <si>
    <t>PEENYA-NELMANGALA-40FT CNG 18/09</t>
  </si>
  <si>
    <t>DASANPURA-PEENYA-40FT CNG 17/09</t>
  </si>
  <si>
    <t>PEENYA-NELMANGALA-40FT CNG 17/09</t>
  </si>
  <si>
    <t>PEENYA-BOMMASANDRA-22FT 18/09</t>
  </si>
  <si>
    <t>PEENYA-NELMANGALA-40FT CNG 19/09</t>
  </si>
  <si>
    <t>NARSAPURA-PEENYA-40FT CNG 19/09</t>
  </si>
  <si>
    <t>ATTIBELE-HOSKOTE-40FT 19/09</t>
  </si>
  <si>
    <t>ELECTRONIC CITY-DABASPET-40FT 19/09</t>
  </si>
  <si>
    <t>33997800780</t>
  </si>
  <si>
    <t>PEENYA-MALUR-40FT CNG 20/09</t>
  </si>
  <si>
    <t>NARSAPURA-PEENYA-40FT CNG 20/09</t>
  </si>
  <si>
    <t>NARSAPURA-PEENYA-40FT CNG 21/09</t>
  </si>
  <si>
    <t>HOSKOTE(VOLVO)-NARSAPURA-MAHADEVAPURA-40FT 21/09</t>
  </si>
  <si>
    <t>ATTIBELE-HOSKOTE-40FT 21/09</t>
  </si>
  <si>
    <t>PEENYA-MALUR-40FT CNG 23/09</t>
  </si>
  <si>
    <t>ATTIBELE-HOSKOTE-40FT 23/09</t>
  </si>
  <si>
    <t>ELECTRONIC CITY-DABASPET-40FT 23/09</t>
  </si>
  <si>
    <t>NARSAPURA-PEENYA-40FT CNG 23/09</t>
  </si>
  <si>
    <t>HOSKOTE-PEENYA-40FT 24/09</t>
  </si>
  <si>
    <t>DASANPURA-PEENYA-40FT CNG 23/09</t>
  </si>
  <si>
    <t>TATA POWER-DABASPET-NLM-GODOWN-40FT 24/09</t>
  </si>
  <si>
    <t>ELECTRONIC CITY-DABASPET-40FT 24/09</t>
  </si>
  <si>
    <t>NARSAPURA-PEENYA-40FT CNG 24/09</t>
  </si>
  <si>
    <t>NARSAPURA-PEENYA-22FT 24/09</t>
  </si>
  <si>
    <t>DASANPURA-PEENYA-22FT 24/09</t>
  </si>
  <si>
    <t>PEENYA-NARSAPURA-40FT CNG 25/09</t>
  </si>
  <si>
    <t>ATTIBELE-HOKSOTE-40FT 25/09</t>
  </si>
  <si>
    <t>ELECTRONIC CITY-DABASPET-40FT 25/09</t>
  </si>
  <si>
    <t>NARSAPURA-PEENYA-40FT CNG 26/09</t>
  </si>
  <si>
    <t>ELECTRONIC CITY-DABASPET-40FT 26/09</t>
  </si>
  <si>
    <t>PEENYA-HOSKOTE-40FT CNG 27/09</t>
  </si>
  <si>
    <t>NARSAPURA-PEENYA-40FT CNG 27/09</t>
  </si>
  <si>
    <t>PEENYA-MALUR-40FT CNG 28/09</t>
  </si>
  <si>
    <t>ATTIBELE-HOKSOTE-40FT 28/09</t>
  </si>
  <si>
    <t>NARSAPURA-PEENYA-22FT 28/09</t>
  </si>
  <si>
    <t>NELMANGALA-PEENYA-40FT CNG 23/09</t>
  </si>
  <si>
    <t>NARSAPURA-PEENYA-40FT CNG 30/09</t>
  </si>
  <si>
    <t>NARSAPURA-PEENYA-22FT 30/09</t>
  </si>
  <si>
    <t>MALUR-PEENYA-40FT 01/10</t>
  </si>
  <si>
    <t>MALUR-PEENYA-40FT 03/10</t>
  </si>
  <si>
    <t>NARSAPURA-PEENYA-40FT CNG 03/10</t>
  </si>
  <si>
    <t>PEENYA-HOSKOTE-40FT CNG 04/10</t>
  </si>
  <si>
    <t>NARSAPURA-PEENYA-40FT CNG 04/10</t>
  </si>
  <si>
    <t>HOSKOTE-ELECTRONIC CITY-DABASPET-40FT 05/10</t>
  </si>
  <si>
    <t>NARSAPURA-PEENYA-40FT CNG 05/10</t>
  </si>
  <si>
    <t>MALUR-PEENYA-40FT 07/10</t>
  </si>
  <si>
    <t>NARSAPURA-PEENYA-40FT CNG 08/10</t>
  </si>
  <si>
    <t>NARSAPURA-PEENYA-22FT 08/10</t>
  </si>
  <si>
    <t>ELECTRONIC CITY-DABASPET-40FT 08/10</t>
  </si>
  <si>
    <t>PEENYA-ELECTRONIC CITY-DABASPET-40FT 08/10</t>
  </si>
  <si>
    <t>NARSAPURA-PEENYA-40FT CNG 09/10</t>
  </si>
  <si>
    <t>PEENYA-JIGANI-EMPTY-40FT 09/10</t>
  </si>
  <si>
    <t>DABASPET-ELECTRONIC CITY-40FT 10/10</t>
  </si>
  <si>
    <t>DABASPET-JIGANI-EMPTY-40FT 10/10</t>
  </si>
  <si>
    <t>HOSKOTE-PEENYA-40FT CNG 14/10</t>
  </si>
  <si>
    <t>MALUR-PEENYA-40FT CNG 14/10</t>
  </si>
  <si>
    <t>DABASPET-ELECTRONIC CITY-40FT 10/10 AS PER MR SOMBIR</t>
  </si>
  <si>
    <t>DASANPURA-PEENYA-40FT CNG 14/10</t>
  </si>
  <si>
    <t>AZIM KHAN</t>
  </si>
  <si>
    <t>PEENYA-HOSKOTE-40FT CNG 15/10</t>
  </si>
  <si>
    <t>MALUR-PEENYA-40FT CNG 15/10</t>
  </si>
  <si>
    <t>HOSKOTE-PEENYA-40FT CNG 16/10</t>
  </si>
  <si>
    <t>NARSAPURA-PEENYA-40FT CNG 16/10</t>
  </si>
  <si>
    <t>PEENYA-HOSKOTE-40FT CNG 17/10</t>
  </si>
  <si>
    <t>NARSAPURA-HOSKOTE-40FT CNG 17/10</t>
  </si>
  <si>
    <t>NARSAPURA-PEENYA-40FT CNG 18/10</t>
  </si>
  <si>
    <t>PEENYA-HOSKOTE-40FT CNG 19/10</t>
  </si>
  <si>
    <t>NARSAPURA-PEENYA-40FT CNG 19/10</t>
  </si>
  <si>
    <t>NARSAPURA-PEENYA-40FT CNG 21/10</t>
  </si>
  <si>
    <t>PEENYA-HOSKOTE-40FT CNG 21/10</t>
  </si>
  <si>
    <t>PEENYA-MALUR-40FT CNG 21/10</t>
  </si>
  <si>
    <t>PEENYA-HOSKOTE-40FT CNG 22/10</t>
  </si>
  <si>
    <t>NARSAPURA-PEENYA-40FT CNG 22/10</t>
  </si>
  <si>
    <t>HOSKOTE-JIGANI-EMPTY-40FT 23/10</t>
  </si>
  <si>
    <t>PEENYA-MALUR-40FT CNG 23/10</t>
  </si>
  <si>
    <t>NARSAPURA-PEENYA-40FT CNG 23/10</t>
  </si>
  <si>
    <t>ATTIBELE-HOKSOTE-40FT 23/10</t>
  </si>
  <si>
    <t>PEENYA-BOMMASANDRA-22FT 23/10</t>
  </si>
  <si>
    <t>PEENYA-HOSKOTE-40FT CNG 24/10</t>
  </si>
  <si>
    <t>HOSKOTE-PEENYA-40FT CNG 24/10</t>
  </si>
  <si>
    <t>NARSAPURA-PEENYA-40FT CNG 24/10</t>
  </si>
  <si>
    <t>ELECTRONIC CITY-DABASPET-40FT 25/10</t>
  </si>
  <si>
    <t>NARSAPURA-PEENYA-40FT 25/10</t>
  </si>
  <si>
    <t>NARSAPURA-PEENYA-40FT CNG 25/10</t>
  </si>
  <si>
    <t>HOSKOTE-JIGANI(OTIS) EMPTY-40FT 26/10</t>
  </si>
  <si>
    <t>NARSAPURA-PEENYA-22FT 28/10</t>
  </si>
  <si>
    <t>NARSAPURA-PEENYA-40FT CNG 26/10</t>
  </si>
  <si>
    <t>NARSAPURA-PEENYA-22FT 26/10</t>
  </si>
  <si>
    <t>HOSKOTE-NELMANGALA-DABASPET-40FT 26/10</t>
  </si>
  <si>
    <t>ASHISH KUMAR</t>
  </si>
  <si>
    <t>77370100003150</t>
  </si>
  <si>
    <t>BARB0VJPATE</t>
  </si>
  <si>
    <t>HR47D4679RAMESH</t>
  </si>
  <si>
    <t>HR47D4679</t>
  </si>
  <si>
    <t>HOSKOTE-ELECTRONIC CITY-DABASPET-40FT 27/10</t>
  </si>
  <si>
    <t>PEENYA-HOSKOTE-40FT CNG 28/10</t>
  </si>
  <si>
    <t>PEENYA-MALUR-40FT CNG 28/10</t>
  </si>
  <si>
    <t>NARSAPURA-PEENYA-40FT CNG 28/10</t>
  </si>
  <si>
    <t>NARSAPURA-PEENYA-22FT 28/10 AS PER MR ANKIT(9976)</t>
  </si>
  <si>
    <t>OTIS-JIGANI-LOCAL-40FT 29/10</t>
  </si>
  <si>
    <t>NARSAPURA-PEENYA-40FT CNG 29/10</t>
  </si>
  <si>
    <t>JIGANI(OTIS)-HOSKOTE EMPTY-40FT 30/10</t>
  </si>
  <si>
    <t>JIGANI(OTIS)-NARSAPURA EMPTY-40FT 30/10</t>
  </si>
  <si>
    <t>HOSKOTE-DABASPET-40FT CHASSIS TRAILER 30/10</t>
  </si>
  <si>
    <t>NARSAPURA-PEENYA-40FT CNG 30/10</t>
  </si>
  <si>
    <t>PEENYA-MALUR-40FT CNG 30/10</t>
  </si>
  <si>
    <t>NARSAPURA-PEENYA-40FT 30/10</t>
  </si>
  <si>
    <t>MALUR-PEENYA-40FT 30/10</t>
  </si>
  <si>
    <t>NARSAPURA-PEENYA-40FT CNG 31/10</t>
  </si>
  <si>
    <t>PEENYA-JIGANI(OTIS)-EMPTY-40FT 04/11</t>
  </si>
  <si>
    <t>MALUR-PEENYA-40FT CNG 04/11</t>
  </si>
  <si>
    <t>HOSKOTE-PEENYA-40FT CNG 04/11</t>
  </si>
  <si>
    <t>PEENYA-HOSKOTE-40FT CNG 04/11</t>
  </si>
  <si>
    <t>PEENYA-HOSKOTE-20FT CNG 06/11(Unloaded by another driver)</t>
  </si>
  <si>
    <t>ATTIBELE-HOKSOTE-40FT 05/11</t>
  </si>
  <si>
    <t>HOSKOTE-PEENYA-22FT 06/11</t>
  </si>
  <si>
    <t>PEENYA-MALUR-40FT CNG 06/11</t>
  </si>
  <si>
    <t>DASANPURA-PEENYA-22FT 05/11</t>
  </si>
  <si>
    <t>DASANPURA-PEENYA-40FT CNG 05/11</t>
  </si>
  <si>
    <t>PEENYA-HOSKOTE-40FT CNG 05/11</t>
  </si>
  <si>
    <t>MALUR-PEENYA-40FT CNG 05/11</t>
  </si>
  <si>
    <t>PEENYA-BOMMASANDRA-22FT 05/11</t>
  </si>
  <si>
    <t>BOMMASANDRA-PEENYA-22FT 05/11</t>
  </si>
  <si>
    <t>HOSKOTE-JIGANI(OTIS)-40FT EMPTY</t>
  </si>
  <si>
    <t>NARSAPURA-PEENYA-40FT CNG 06/11</t>
  </si>
  <si>
    <t>MALUR-PEENYA 40FT 02/11</t>
  </si>
  <si>
    <t>MALUR-PEENYA-40FT CNG 07/11</t>
  </si>
  <si>
    <t>NARSAPURA-PEENYA-40FT CNG 07/11</t>
  </si>
  <si>
    <t>PEENYA-HOSKOTE-40FT CNG 08/11</t>
  </si>
  <si>
    <t>NARSAPURA-PEENYA-40FT CNG 08/11</t>
  </si>
  <si>
    <t>NARSAPURA-PEENYA-40FT CNG 09/11</t>
  </si>
  <si>
    <t>HOSKOTE-PEENYA-40FT CNG 11/11</t>
  </si>
  <si>
    <t>NARSAPURA-PEENYA-40FT CNG 11/11</t>
  </si>
  <si>
    <t>MALUR-PEENYA-40FT 12/11</t>
  </si>
  <si>
    <t>PEENYA-HOSKOTE-40FT CNG 12/11</t>
  </si>
  <si>
    <t>NARSAPURA-PEENYA-40FT CNG 12/11</t>
  </si>
  <si>
    <t>MALUR-PEENYA-40FT CNG 12/11</t>
  </si>
  <si>
    <t>PEENYA-HOSKOTE-40FT CNG 13/11</t>
  </si>
  <si>
    <t>PEENYA-MALUR-40FT CNG 13/11</t>
  </si>
  <si>
    <t>NARSAPURA-PEENYA-40FT CNG 13/11</t>
  </si>
  <si>
    <t>PEENYA-BOMMASANDRA-22FT 13/11</t>
  </si>
  <si>
    <t>PEENYA-HOSKOTE-40FT CNG 14/11</t>
  </si>
  <si>
    <t>NARSAPURA-PEENYA-40FT CNG 14/11</t>
  </si>
  <si>
    <t>HOSKOTE-JIGANI(OTIS) EMPTY-40FT 15/11</t>
  </si>
  <si>
    <t>NARSAPURA-PEENYA-40FT CNG 16/11</t>
  </si>
  <si>
    <t>NARSAPURA-PEENYA 22FT 16/11</t>
  </si>
  <si>
    <t>ELECTRONIC CITY-DABASPET-40FT 18/11</t>
  </si>
  <si>
    <t>NARSAPURA-PEENYA-40FT CNG 18/11</t>
  </si>
  <si>
    <t>PEENYA-JIGANI(OTIS)-EMPTY-40FT 17/11</t>
  </si>
  <si>
    <t>SAMIM KHAN</t>
  </si>
  <si>
    <t>388401501001</t>
  </si>
  <si>
    <t>ICIC0003884</t>
  </si>
  <si>
    <t>NARSAPURA-PEENYA-40FT CNG 19/11</t>
  </si>
  <si>
    <t>ATTIBELE-HOSKOTE-40FT 19/11</t>
  </si>
  <si>
    <t>PEENYA-HOSKOTE-40FT CNG 19/11</t>
  </si>
  <si>
    <t>PEENYA-MALUR-40FT CNG 18/11</t>
  </si>
  <si>
    <t>NARSAPURA-PEENYA-40FT CNG 20/11</t>
  </si>
  <si>
    <t>PEENYA-MALUR-40FT CNG 20/11</t>
  </si>
  <si>
    <t>ATTIBELE-HOSKOTE-40FT 20/11</t>
  </si>
  <si>
    <t>HOSKOTE-JIGANI(OTIS)-EMPTY-40FT 20/11</t>
  </si>
  <si>
    <t>NARSAPURA-PEENYA-40FT CNG 21/11</t>
  </si>
  <si>
    <t>ATTIBELE-HOSKOTE-40FT 21/11</t>
  </si>
  <si>
    <t>PEENYA-MALUR-40FT CNG 22/11</t>
  </si>
  <si>
    <t>PEENYA-HOSKOTE-40FT CNG 22/11</t>
  </si>
  <si>
    <t>NARSAPURA-PEENYA-40FT CNG 22/11</t>
  </si>
  <si>
    <t>PEENYA-KORAMANGLA-PEENYA-22FT 21/11 FOR FC</t>
  </si>
  <si>
    <t>NARSAPURA-PEENYA-22FT 22/11</t>
  </si>
  <si>
    <t>ATTIBELE-HOSKOTE-40FT 23/11</t>
  </si>
  <si>
    <t>NARSAPURA-PEENYA-40FT CNG 23/11</t>
  </si>
  <si>
    <t>NARSAPURA-PEENYA-40FT CNG 25/11</t>
  </si>
  <si>
    <t>PEENYA-HOSKOTE-40FT CNG 25/11</t>
  </si>
  <si>
    <t>ATTIBELE-HOSKOTE-40FT 25/11</t>
  </si>
  <si>
    <t>PEENYA-HOSKOTE-40FT CNG 26/11</t>
  </si>
  <si>
    <t>PEENYA-MALUR-40FT CNG 26/11</t>
  </si>
  <si>
    <t>NARSAPURA-PEENYA-40FT CNG 26/11</t>
  </si>
  <si>
    <t>ATTIBELE-HOSKOTE-40FT 26/11</t>
  </si>
  <si>
    <t>ATTIBELE-HOSKOTE-40FT 27/11</t>
  </si>
  <si>
    <t>NARSAPURA-PEENYA-40FT CNG 27/11</t>
  </si>
  <si>
    <t>PEENYA-MALUR-40FT CNG 27/11</t>
  </si>
  <si>
    <t>MALUR-PEENYA-22FT 27/11</t>
  </si>
  <si>
    <t>NARSAPURA-PEENYA-40FT CNG 28/11</t>
  </si>
  <si>
    <t xml:space="preserve">NARSAPURA-PEENYA-40FT CNG-ADVANCE 28/11 </t>
  </si>
  <si>
    <t>ATTIBELE-HOSKOTE-40FT ADVANCE 28/11</t>
  </si>
  <si>
    <t>NARSAPURA-PEENYA-40FT CNG-ADVANCE 29/11</t>
  </si>
  <si>
    <t>352407234 </t>
  </si>
  <si>
    <t>PEENYA-HOSKOTE-40FT CNG-ADVANCE 29/11</t>
  </si>
  <si>
    <t>NARSAPURA-PEENYA-40FT CNG 29/11</t>
  </si>
  <si>
    <t>HOSKOTE-ELECTRONIC CITY-DABASPET-40FT 29/11</t>
  </si>
  <si>
    <t xml:space="preserve">HOSKOTE-PEENYA-40FT CNG 30/11 </t>
  </si>
  <si>
    <t>C8489RAMESH ADV</t>
  </si>
  <si>
    <t>B5919RAMESH ADV</t>
  </si>
  <si>
    <t>C8281RAMESH ADV</t>
  </si>
  <si>
    <t>B8204RAMESH ADV</t>
  </si>
  <si>
    <t>ATTIBELE-HOSKOTE-40FT 30/11</t>
  </si>
  <si>
    <t>B5848RAMESH ADV</t>
  </si>
  <si>
    <t>B5924RAMESH ADV</t>
  </si>
  <si>
    <t>B8205RAMESH ADV</t>
  </si>
  <si>
    <t>PEENYA-ELECTRONIC CITY-DABASPET-40FT 30/11</t>
  </si>
  <si>
    <t>K1093RAMESH ADV</t>
  </si>
  <si>
    <t>NARSAPURA-PEENYA-22FT 30/11</t>
  </si>
  <si>
    <t>DASANPURA-PEENYA-22FT 30/11</t>
  </si>
  <si>
    <t>C7566RAMESH ADV</t>
  </si>
  <si>
    <t>AP8933RAMESH ADV</t>
  </si>
  <si>
    <t>DASANPURA-PEENYA-40FT CNG 30/11</t>
  </si>
  <si>
    <t>PEENYA-HOSKOTE-40FT CNG 02/12</t>
  </si>
  <si>
    <t>NARSAPURA-PEENYA-40FT CNG 02/12</t>
  </si>
  <si>
    <t>ELECTRONIC CITY-DABASPET-40FT 02/12</t>
  </si>
  <si>
    <t>PEENYA-MALUR-40FT CNG 03/12</t>
  </si>
  <si>
    <t>MALUR-PEENYA-40FT CNG 03/12</t>
  </si>
  <si>
    <t>NARSAPURA-PEENYA-40FT CNG 03/12</t>
  </si>
  <si>
    <t>KUDUS KHAN</t>
  </si>
  <si>
    <t>923010012926148</t>
  </si>
  <si>
    <t>UTIB0002026</t>
  </si>
  <si>
    <t>C6341RAMESH ADV</t>
  </si>
  <si>
    <t>MANTU KUMAR</t>
  </si>
  <si>
    <t>9279218251</t>
  </si>
  <si>
    <t>B8210RAMESH ADV</t>
  </si>
  <si>
    <t>PEENYA-HOSKOTE-40FT CNG 04/12</t>
  </si>
  <si>
    <t>ATTIBELE-HOSKOTE-40FT 40/12</t>
  </si>
  <si>
    <t>NARSAPURA-PEENYA-40FT CNG 04/12</t>
  </si>
  <si>
    <t>MALUR-PEENYA-40FT 05/12</t>
  </si>
  <si>
    <t>DABASPET-JIGANI-40FT 04/12</t>
  </si>
  <si>
    <t>NARSAPURA-PEENYA-40FT CNG 05/12</t>
  </si>
  <si>
    <t>HOSKOTE-DABASPET-HOSKOTE-40FT 05/12</t>
  </si>
  <si>
    <t>MALUR-PEENYA-40FT CNG 05/12</t>
  </si>
  <si>
    <t>MALUR-PEENYA-40FT 06/12</t>
  </si>
  <si>
    <t>HOSKOTE-PEENYA-40FT 06/12</t>
  </si>
  <si>
    <t>MALUR-PEENYA-22FT 04/12</t>
  </si>
  <si>
    <t>NARSAPURA-PEENYA-22FT 06/12</t>
  </si>
  <si>
    <t>PEENYA-HOSKOTE-40FT CNG 06/12</t>
  </si>
  <si>
    <t>NARSAPURA-PEENYA-40FT CNG 06/12</t>
  </si>
  <si>
    <t>HOSKOTE-ELECTRONIC CITY-DABASPET-40FT 06/12</t>
  </si>
  <si>
    <t>MALUR-PEENYA-40FT CNG 06/12</t>
  </si>
  <si>
    <t>NARSAPURA-PEENYA-40FT CNG 07/12</t>
  </si>
  <si>
    <t>B5848RAMESH EMPTY</t>
  </si>
  <si>
    <t>PEENYA-JIGANI(OTIS)-40FT EMPTY 07/12</t>
  </si>
  <si>
    <t>C6341RAMESH HALTING</t>
  </si>
  <si>
    <t>B8210RAMESH HALTING</t>
  </si>
  <si>
    <t>NARSAPURA-PEENYA-40FT CNG 09/12</t>
  </si>
  <si>
    <t>PEENYA-MALUR-40FT CNG 09/12</t>
  </si>
  <si>
    <t>MALUR-PEENYA-40FT CNG 10/12</t>
  </si>
  <si>
    <t>HOSKOTE-ELECTRONIC CITY-DABASPET-40FT 09/12</t>
  </si>
  <si>
    <t>ELECTRONIC CITY-DABASPET-40FT 09/12</t>
  </si>
  <si>
    <t>PEENYA-ELECTRONIC CITY-DABASPET-40FT 09/12</t>
  </si>
  <si>
    <t>VEHICLE HALT AT UNLOADING POINT FROM 10DAYS(CLIMAVENETA)</t>
  </si>
  <si>
    <t>PEENYA-MALUR-40FT CNG 10/12</t>
  </si>
  <si>
    <t>NARSAPURA-PEENYA-40FT CNG 10/12</t>
  </si>
  <si>
    <t>ELECTRONIC CITY-DABASPET-40FT 10/12</t>
  </si>
  <si>
    <t>NELMANGALA(GOPALPURA)-JIGANI-40FT 10/12</t>
  </si>
  <si>
    <t>MALUR-PEENYA-40FT CNG 11/12</t>
  </si>
  <si>
    <t>NARSAPURA-PEENYA-40FT CNG 11/12</t>
  </si>
  <si>
    <t>NARSAPURA-PEENYA-40FT CNG 12/12</t>
  </si>
  <si>
    <t>PEENYA-HOSKOTE-40FT CNG 12/12</t>
  </si>
  <si>
    <t>PEENYA-BOMMASANDRA-22FT 12/12</t>
  </si>
  <si>
    <t>NARSAPURA-PEENYA-40FT CNG 13/12</t>
  </si>
  <si>
    <t>PEENYA-DABASPET-HOSKOTE-40FT 14/12</t>
  </si>
  <si>
    <t>HOSKOTE-DABASPET-HOSKOTE-40FT 14/12</t>
  </si>
  <si>
    <t>DASANPURA-PEENYA-40FT CNG 14/12</t>
  </si>
  <si>
    <t>B5855RAMESH ADV</t>
  </si>
  <si>
    <t>HOSKOTE-PEENYA-40FT CNG 14/12</t>
  </si>
  <si>
    <t>NARSAPURA-PEENYA-40FT CNG 14/12</t>
  </si>
  <si>
    <t>NARSAPURA-PEENYA-22FT 14/12</t>
  </si>
  <si>
    <t>PEENYA-BOMMASANDRA-22FT 14/12</t>
  </si>
  <si>
    <t>PEENYA-HOSKOTE-40FT CNG 16/12</t>
  </si>
  <si>
    <t>NARSAPURA-PEENYA-40FT CNG 16/12</t>
  </si>
  <si>
    <t>PEENYA-HOSKOTE-40FT CNG 17/12</t>
  </si>
  <si>
    <t>NARSAPURA-PEENYA-40FT CNG 17/12</t>
  </si>
  <si>
    <t>ELECTRONIC CITY-DABASPET-40FT 18/12</t>
  </si>
  <si>
    <t>NARSAPURA-PEENYA-40FT CNG 18/12</t>
  </si>
  <si>
    <t>NARSAPURA-PEENYA-22FT 19/12</t>
  </si>
  <si>
    <t>NARSAPURA-PEENYA-40FT CNG 19/12</t>
  </si>
  <si>
    <t>PEENYA-HOSKOTE-40FT CNG 19/12</t>
  </si>
  <si>
    <t>HOSKOTE-JIGANI(OTIS) EMPTY-40FT 20/12</t>
  </si>
  <si>
    <t>NARSAPURA-PEENYA-40FT CNG 20/12</t>
  </si>
  <si>
    <t>HOSKOTE-PEENYA-40FT CNG 20/12</t>
  </si>
  <si>
    <t>B5920RAMESH ADV</t>
  </si>
  <si>
    <t>HOSKOTE-ELECTRONIC CITY-DABASPET-40FT 20/12</t>
  </si>
  <si>
    <t>HOSKOTE-ELECTRONIC CITY-DABASPET-40FT 21/12</t>
  </si>
  <si>
    <t>NARSAPURA-PEENYA-40FT CNG 21/12</t>
  </si>
  <si>
    <t>NARSAPURA-PEENYA-22FT 21/12</t>
  </si>
  <si>
    <t>NARSAPURA-PEENYA-40FT CNG 23/12</t>
  </si>
  <si>
    <t>PEENYA-HOSKOTE-40FT CNG 23/12</t>
  </si>
  <si>
    <t>PEENYA-HOSKOTE-40FT CNG 24/12</t>
  </si>
  <si>
    <t>ELECTRONIC CITY-DABASPET-40FT 23/12</t>
  </si>
  <si>
    <t>47B5850RAMESH ADV</t>
  </si>
  <si>
    <t>NARSAPURA-PEENYA-40FT CNG 24/12</t>
  </si>
  <si>
    <t>NARSAPURA-PEENYA-40FT CNG 26/12</t>
  </si>
  <si>
    <t>NARSAPURA-PEENYA-40FT CNG 27/12</t>
  </si>
  <si>
    <t>NELMANGALA-JIGANI-40FT 27/12</t>
  </si>
  <si>
    <t>NARSAPURA-PEENYA-40FT CNG 28/12</t>
  </si>
  <si>
    <t>B5850RAMESH ADV</t>
  </si>
  <si>
    <t>NARSAPURA-PEENYA-22FT 28/12</t>
  </si>
  <si>
    <t>NARSAPURA-PEENYA-40FT CNG 29/12</t>
  </si>
  <si>
    <t>PEENYA-BOMMASANDRA-22FT 28/12</t>
  </si>
  <si>
    <t>PEENYA-NELMANGALA-40FT CNG 28/12</t>
  </si>
  <si>
    <t>PEENYA-HOSKOTE-40FT CNG 30/12</t>
  </si>
  <si>
    <t>NARSAPURA-PEENYA-40FT CNG 31/12</t>
  </si>
  <si>
    <t>ELECTRONIC CITY-JIGANI(OTIS) UP/DOWN EMPTY-40FT 02/01</t>
  </si>
  <si>
    <t>ELECTRONIC CITY-DABASPET-40FT CNG 06/01</t>
  </si>
  <si>
    <t>ELECTRONIC CITY-DABASPET-40FT CNG 08/01</t>
  </si>
  <si>
    <t>ELECTRONIC CITY-DABASPET-40FT CNG 07/01</t>
  </si>
  <si>
    <t>ELECTRONIC CITY-DABASPET-40FT 07/01</t>
  </si>
  <si>
    <t>HOSKOTE-PEENYA-40FT 08/01</t>
  </si>
  <si>
    <t>ATTIBELE-HOSKOTE-40FT 08/01</t>
  </si>
  <si>
    <t>B5921RAMESH ADV</t>
  </si>
  <si>
    <t>OTIS(JIGANI)-LOCAL-40FT CNG 04/01</t>
  </si>
  <si>
    <t>HOSKOTE-BANNERGHATTA-40FT CNG 08/01</t>
  </si>
  <si>
    <t>MALUR-PEENYA-40FT 09/01</t>
  </si>
  <si>
    <t>ATTIBELE-HOSKOTE-40FT 09/01</t>
  </si>
  <si>
    <t>ELECTRONIC CITY-DABASPET-40FT CNG 09/01</t>
  </si>
  <si>
    <t>HOSKOTE-ELECTRONIC CITY-DABASPET-40FT 10/01</t>
  </si>
  <si>
    <t>HOSKOTE-ELECTRONIC CITY-DABASPET-40FT 11/01</t>
  </si>
  <si>
    <t>C8281RAMESH</t>
  </si>
  <si>
    <t>ON SALARY ACCOUNT/DEDUCT FROM SALARY</t>
  </si>
  <si>
    <t>HOSKOTE-ELECTRONIC CITY-DABASPET-40FT 12/01</t>
  </si>
  <si>
    <t>ELECTRONIC CITY-DABASPET-40FT CNG 12/01</t>
  </si>
  <si>
    <t>B5740RAMESH ADV</t>
  </si>
  <si>
    <t>OTIS(JIGANI)-OTIS(LOCAL)-40FT 13/01</t>
  </si>
  <si>
    <t>SARFARAZ</t>
  </si>
  <si>
    <t>32868066525</t>
  </si>
  <si>
    <t>SBIN0012631</t>
  </si>
  <si>
    <t>ELECTRONIC CITY-DABASPET-40FT CNG 14/01</t>
  </si>
  <si>
    <t>ATTIBELE-HOSKOTE-40FT CNG 15/01</t>
  </si>
  <si>
    <t>ELECTRONIC CITY-DABASPET-40FT CNG 15/01</t>
  </si>
  <si>
    <t>B5737RAMESH ADV</t>
  </si>
  <si>
    <t>ELECTRONIC CITY-DABASPET-40FT 15/01</t>
  </si>
  <si>
    <t>ATTIBELE-HOSKOTE-40FT 16/01</t>
  </si>
  <si>
    <t>MALUR-PEENYA-40FT CNG 16/01</t>
  </si>
  <si>
    <t>ATTIBELE-HOSKOTE-40FT 17/01</t>
  </si>
  <si>
    <t>ATTIBELE-HOSKOTE-40FT CNG 17/01</t>
  </si>
  <si>
    <t>ELECTRONIC CITY-DABASPET-40FT 17/01</t>
  </si>
  <si>
    <t>ATTIBELE-HOSKOTE-40FT 18/01</t>
  </si>
  <si>
    <t>B5744RAMESH ADV</t>
  </si>
  <si>
    <t>JIGANI-HOSKOTE(UD TRUCK) EMPTY-45FT 18/01</t>
  </si>
  <si>
    <t>NELMANGALA-MADAVARA-40FT CNG 16/01</t>
  </si>
  <si>
    <t>NELMANGALA-MADAVARA-40FT CNG 17/01</t>
  </si>
  <si>
    <t>HOSKOTE-DABASPET-HOSKOTE-40FT 20/01</t>
  </si>
  <si>
    <t>HOSKOTE-JIGANI(OTIS)-40FT EMPTY 21/01</t>
  </si>
  <si>
    <t>ELECTRONIC CITY-DABASPET-40FT 22/01</t>
  </si>
  <si>
    <t>ATTIBELE-HOSKOTE-40FT 23/01</t>
  </si>
  <si>
    <t>ATTIBELE-HOSKOTE-40FT CNG 23/01</t>
  </si>
  <si>
    <t>MALUR-PEENYA-40FT CNG 24/01</t>
  </si>
  <si>
    <t>ATTIBELE-HOSKOTE-40FT 24/01</t>
  </si>
  <si>
    <t>ATTIBELE-HOSKOTE-40FT 25/01</t>
  </si>
  <si>
    <t>NELMANGALA-JIGANI-40FT CNG 24/01</t>
  </si>
  <si>
    <t>ELECTRONIC CITY-DABASPET-40FT CNG 25/01</t>
  </si>
  <si>
    <t>WHITEFIELD(ICD)-PEENYA-40FT CNG 23/01</t>
  </si>
  <si>
    <t>WHITEFIELD(ICD)-PEENYA-40FT CNG 24/01</t>
  </si>
  <si>
    <t>ATTIBELE-HOSKOTE-40FT CNG 25/01</t>
  </si>
  <si>
    <t>ELECTRONIC CITY-DABASPET-40FT 25/01</t>
  </si>
  <si>
    <t>HOSKOTE-PEENYA-40FT CNG 25/01</t>
  </si>
  <si>
    <t>ELECTRONIC CITY-DABASPET-40FT 26/01</t>
  </si>
  <si>
    <t>ATTIBELE-HOSKOTE-40FT 28/01</t>
  </si>
  <si>
    <t>ELECTRONIC CITY-DABASPET-40FT CNG 28/01</t>
  </si>
  <si>
    <t>ELECTRONIC CITY-DABASPET-40FT 29/01</t>
  </si>
  <si>
    <t>ELECTRONIC CITY-COIMBATORE-40FT CNG 30/01 (1000/- FOR BORDER)</t>
  </si>
  <si>
    <t>WHITEFIELD(ICD)-HOSKOTE-40FT CNG 31/01</t>
  </si>
  <si>
    <t>HARUN</t>
  </si>
  <si>
    <t>34076297467</t>
  </si>
  <si>
    <t>SBIN0001098</t>
  </si>
  <si>
    <t>HOSKOTE-PEENYA-40FT 01/02</t>
  </si>
  <si>
    <t>ATTIBELE-HOSKOTE-40FT 01/02</t>
  </si>
  <si>
    <t>MADAVARA-NELMANGALA-40FT CNG 01/02</t>
  </si>
  <si>
    <t>MADAVARA-NELMANGALA-40FT 01/02</t>
  </si>
  <si>
    <t>B5859RAMESH ADV</t>
  </si>
  <si>
    <t>JIGANI-NELMANGALA-PEENYA-40FT 31/12</t>
  </si>
  <si>
    <t>MALUR-PEENYA-40FT 04/02</t>
  </si>
  <si>
    <t>ATTIBELE-HOSKOTE-40FT 04/02</t>
  </si>
  <si>
    <t>NELMANGALA-JIGANI-40FT CNG 04/02</t>
  </si>
  <si>
    <t>ELECTRONIC CITY-DABASPET-40FT CNG 04/02</t>
  </si>
  <si>
    <t>ELECTRONIC CITY-DABASPET-40FT 04/02</t>
  </si>
  <si>
    <t>ATTIBELE-HOSKOTE-40FT 05/02</t>
  </si>
  <si>
    <t>ELECTRONIC CITY-DABASPET-40FT 05/02</t>
  </si>
  <si>
    <t>ELECTRONIC CITY-DABASPET-40FT CNG 05/02</t>
  </si>
  <si>
    <t>ELECTRONIC CITY-DABASPET-40FT 06/02</t>
  </si>
  <si>
    <t>PEENYA-HOSKOTE-40FT 06/02</t>
  </si>
  <si>
    <t>WHITEFIELD(ICD)-HOSKOTE-40FT 07/02</t>
  </si>
  <si>
    <t>ELECTRONIC CITY-DABASPET-40FT CNG 08/02</t>
  </si>
  <si>
    <t>ELECTRONIC CITY-DABASPET-40FT 09/02</t>
  </si>
  <si>
    <t>ELECTRONIC CITY-TUMKUR-40FT CNG 11/02</t>
  </si>
  <si>
    <t>ATTIBELE-HOSKOTE-40FT 11/02</t>
  </si>
  <si>
    <t>ATTIBELE-HOSKOTE-40FT CNG 11/02</t>
  </si>
  <si>
    <t>GULSHAN KHATOON</t>
  </si>
  <si>
    <t>ARBAJ KHAN</t>
  </si>
  <si>
    <t>33355318720</t>
  </si>
  <si>
    <t>B5858RAMESH ADV</t>
  </si>
  <si>
    <t>NELMANGALA-ELECTRONIC CITY-40FT 13/02</t>
  </si>
  <si>
    <t>ELECTRONIC CITY-TUMKUR-40FT CNG 12/02</t>
  </si>
  <si>
    <t>ELECTRONIC CITY-DABASPET-40FT 13/02</t>
  </si>
  <si>
    <t>ATTIBELE-HOSKOTE-40FT CNG 10/02</t>
  </si>
  <si>
    <t>WHITEFIELD(ICD)-HOSKOTE-40FT CNG 14/02</t>
  </si>
  <si>
    <t>ATTIBELE-HOSKOTE-40FT CNG 14/02</t>
  </si>
  <si>
    <t>HOSKOTE-ELECTRONIC CITY-DABASPET-40FT 13/02</t>
  </si>
  <si>
    <t>HOSKOTE-YESHWANTPUR-5855 CNG TOWING 16/02</t>
  </si>
  <si>
    <t>ELECTRONIC CITY-DABASPET-40FT 17/02</t>
  </si>
  <si>
    <t>ELECTRONIC CITY-DABASPET-40FT CNG 17/02</t>
  </si>
  <si>
    <t>ELECTRONIC CITY-DABASPET-40FT CNG 18/02</t>
  </si>
  <si>
    <t>ELECTRONIC CITY-DABASPET-40FT 18/02</t>
  </si>
  <si>
    <t>ATTIBELE-HOSKOTE-40FT CNG 18/02</t>
  </si>
  <si>
    <t>ATTIBELE-HOSKOTE-40FT CNG 19/02</t>
  </si>
  <si>
    <t>ELECTRONIC CITY-DABASPET-40FT CNG 19/02</t>
  </si>
  <si>
    <t>ELECTRONIC CITY-DABASPET-40FT 19/02</t>
  </si>
  <si>
    <t>HOSKOTE-ELECTRONIC CITY-DABASPET-40FT 19/02</t>
  </si>
  <si>
    <t>ATTIBELE-HOSKOTE-40FT CNG 20/02</t>
  </si>
  <si>
    <t>ELECTRONIC CITY-DABASPET-40FT CNG 20/02</t>
  </si>
  <si>
    <t>ELECTRONIC CITY-DABASPET-40FT 21/02</t>
  </si>
  <si>
    <t>ELECTRONIC CITY-DABASPET-40FT CNG 21/02</t>
  </si>
  <si>
    <t>ELECTRONIC CITY-DABASPET-40FT CNG 22/02</t>
  </si>
  <si>
    <t>ATTIBELE-HOSKOTE-40FT CNG 22/02</t>
  </si>
  <si>
    <t>ELECTRONIC CITY-DABASPET-40FT CNG 23/02</t>
  </si>
  <si>
    <t>NARSAPURA-VARTHUR-40FT CNG 24/02</t>
  </si>
  <si>
    <t>ELECTRONIC CITY-DABASPET-40FT 24/02</t>
  </si>
  <si>
    <t>ATTIBELE-HOSKOTE-40FT CNG 24/02</t>
  </si>
  <si>
    <t>ATTIBELE-HOSKOTE-40FT CNG 25/02</t>
  </si>
  <si>
    <t>ATTIBELE-HOSKOTE-40FT CNG 27/02</t>
  </si>
  <si>
    <t>ELECTRONIC CITY-DABASPET-40FT 27/02</t>
  </si>
  <si>
    <t>WHITEFIELD(ICD)-HOSKOTE-40FT CNG 27/02</t>
  </si>
  <si>
    <t>MALUR-PEENYA-40FT CNG 01/03</t>
  </si>
  <si>
    <t>ELECTRONIC CITY-DABASPET-40FT 28/02</t>
  </si>
  <si>
    <t>ELECTRONIC CITY-DABASPET-40FT CNG 02/03</t>
  </si>
  <si>
    <t>ELECTRONIC CITY-DABASPET-40FT 03/03</t>
  </si>
  <si>
    <t>HOSKOTE-YESHWANTPUR-8489 CNG TOWING 03/03</t>
  </si>
  <si>
    <t>ATTIBELE-HOSKOTE-40FT CNG 03/03</t>
  </si>
  <si>
    <t>ATTIBELE-HOSKOTE-40FT CNG 04/03</t>
  </si>
  <si>
    <t>NELMANGLA-JIGANI-40FT 04/03</t>
  </si>
  <si>
    <t>ELECTRONIC CITY-DABASPET-40FT 05/03</t>
  </si>
  <si>
    <t>ATTIBELE-HOSKOTE-40FT CNG 05/03</t>
  </si>
  <si>
    <t>JIGANI-DABASPET-40FT 06/03</t>
  </si>
  <si>
    <t>MALUR-PEENYA-40FT CNG 06/03</t>
  </si>
  <si>
    <t>ASLAM</t>
  </si>
  <si>
    <t>2546469594</t>
  </si>
  <si>
    <t>KKBK0007901</t>
  </si>
  <si>
    <t>ATTIBELE-HOSKOTE-40FT 07/03</t>
  </si>
  <si>
    <t>HOSKOTE(VOLVO)-PEENYA 40FT 07/03</t>
  </si>
  <si>
    <t>ATTIBELE-HOSKOTE-40FT CNG 07/03</t>
  </si>
  <si>
    <t>ATTIBELE-HOSKOTE-40FT 08/03</t>
  </si>
  <si>
    <t>ATTIBELE-HOSKOTE-40FT CNG 08/03</t>
  </si>
  <si>
    <t>MALUR-PEENYA-40FT CNG 08/03</t>
  </si>
  <si>
    <t>ATTIBELE-HOSKOTE-40FT 10/03</t>
  </si>
  <si>
    <t>ELECTRONIC CITY-DABASPET-40FT CNG 10/03</t>
  </si>
  <si>
    <t>ATTIBELE-HOSKOTE-40FT 11/03</t>
  </si>
  <si>
    <t>ELECTRONIC CITY-DABASPET-40FT CNG 11/03</t>
  </si>
  <si>
    <t>NELMANGALA-JIGANI-40FT CNG 11/03</t>
  </si>
  <si>
    <t>ATTIBELE-HOSKOTE-40FT 12/03</t>
  </si>
  <si>
    <t>ATTIBELE-HOSKOTE-40FT CNG 12/03</t>
  </si>
  <si>
    <t>ATTIBELE-HOSKOTE-40FT 13/03</t>
  </si>
  <si>
    <t>NELMANGLA-JIGANI-40FT 12/03</t>
  </si>
  <si>
    <t>WHITEFIELD(ICD)-HOSKOTE-40FT CNG 14/03</t>
  </si>
  <si>
    <t>ELECTRONIC CITY-DABASPET-40FT 11/03</t>
  </si>
  <si>
    <t>ATTIBELE-HOSKOTE-40FT 15/03</t>
  </si>
  <si>
    <t>ATTIBELE-HOSKOTE-40FT CNG 15/03</t>
  </si>
  <si>
    <t>NELMANGLA-JIGANI-40FT CNG 15/03</t>
  </si>
  <si>
    <t>ATTIBELE-HOSKOTE-40FT 16/03</t>
  </si>
  <si>
    <t>ELECTRONIC CITY-DABASPET-40FT 16/03</t>
  </si>
  <si>
    <t>ATTIBELE-HOSKOTE-40FT 17/03</t>
  </si>
  <si>
    <t>NARSAPURA-VARTHUR-40FT CNG 17/03</t>
  </si>
  <si>
    <t>NELMANGLA-JIGANI-40FT CNG 17/03</t>
  </si>
  <si>
    <t>ATTIBELE-HOSKOTE-40FT CNG 18/03</t>
  </si>
  <si>
    <t>ELECTRONIC CITY-DABASPET-40FT CNG 18/03</t>
  </si>
  <si>
    <t>ATTIBELE-HOSKOTE-40FT 19/03</t>
  </si>
  <si>
    <t>NARSAPURA-SILK BOARD-40FT 19/03</t>
  </si>
  <si>
    <t>ATTIBELE-HOSKOTE-40FT CNG 19/03</t>
  </si>
  <si>
    <t>ATTIBELE-HOSKOTE-40FT 20/03</t>
  </si>
  <si>
    <t>ATTIBELE-HOSKOTE-40FT CNG 20/03</t>
  </si>
  <si>
    <t>ELECTRONIC CITY-DABASPET-40FT 20/03</t>
  </si>
  <si>
    <t>ATTIBELE-HOSKOTE-40FT 21/03</t>
  </si>
  <si>
    <t>ATTIBELE-HOSKOTE-40FT 22/03</t>
  </si>
  <si>
    <t>HOSKOTE-PEENYA-40FT CNG 22/03</t>
  </si>
  <si>
    <t>ATTIBELE-HOSKOTE-40FT CNG 22/03</t>
  </si>
  <si>
    <t>NELMANGLA-JIGANI-40FT 22/03</t>
  </si>
  <si>
    <t>ATTIBELE-HOSKOTE-40FT 24/03</t>
  </si>
  <si>
    <t>ATTIBELE-HOSKOTE-40FT CNG 24/03</t>
  </si>
  <si>
    <t>ATTIBELE-HOSKOTE-40FT 25/03</t>
  </si>
  <si>
    <t>ATTIBELE-HOSKOTE-40FT CNG 25/03</t>
  </si>
  <si>
    <t>MALUR-PEENYA-40FT 26/03</t>
  </si>
  <si>
    <t>ELECTRONIC CITY-DABASPET-40FT 25/03</t>
  </si>
  <si>
    <t>ATTIBELE-HOSKOTE-40FT 26/03</t>
  </si>
  <si>
    <t>NELMANGLA-JIGANI-40FT 26/03</t>
  </si>
  <si>
    <t>NELMANGLA-JIGANI-40FT 29/03</t>
  </si>
  <si>
    <t>JIGANI-NELMANGALA-JIGANI-40FT 30/03</t>
  </si>
  <si>
    <t>JIGANI-MAHIMAPURA-NELMANGALA-40FT 30/03</t>
  </si>
  <si>
    <t>HOSKOTE-PEENYA-40FT CNG 31/03</t>
  </si>
  <si>
    <t>EXIDE-NELMANGALA-40FT 31/03</t>
  </si>
  <si>
    <t>JIGANI-NELMANGALA-40FT 31/03</t>
  </si>
  <si>
    <t>MALUR-PEENYA-40FT 02/04</t>
  </si>
  <si>
    <t>NEW TRIP</t>
  </si>
  <si>
    <t>ELECTRONIC CITY-DABASPET-40FT 03/04</t>
  </si>
  <si>
    <t>HOSKOTE-ELECTRONIC CITY-DABASPET-40FT 03/04</t>
  </si>
  <si>
    <t>MALUR-PEENYA-40FT 03/04</t>
  </si>
  <si>
    <t>ELECTRONIC CITY-DABASPET-40FT CNG 03/04</t>
  </si>
  <si>
    <t>ATTIBELE-HOSKOTE-40FT 05/04</t>
  </si>
  <si>
    <t>MALUR-PEENYA-40FT 05/04</t>
  </si>
  <si>
    <t>C8210RAMESH ADV</t>
  </si>
  <si>
    <t>ATTIBELE-HOSKOTE-40FT 07/04</t>
  </si>
  <si>
    <t>MALUR-PEENYA-40FT 07/04</t>
  </si>
  <si>
    <t>ELECTRONIC CITY-DABASPET-40FT 07/04</t>
  </si>
  <si>
    <t>ELECTRONIC CITY-DABASPET-40FT 30/03</t>
  </si>
  <si>
    <t>ELECTRONIC CITY-DABASPET-40FT CNG 06/04</t>
  </si>
  <si>
    <t>ELECTRONIC CITY-DABASPET-40FT 08/04</t>
  </si>
  <si>
    <t>HOSKOTE-PEENYA-40FT 08/04</t>
  </si>
  <si>
    <t>ATTIBELE-HOSKOTE-40FT 08/04</t>
  </si>
  <si>
    <t>TRIDENT(CHENNAI) MATERIAL SHIFT-VOLVO HOSKOTE-40FT 08/04</t>
  </si>
  <si>
    <t>ELECTRONIC CITY-DABASPET-40FT CNG 09/04</t>
  </si>
  <si>
    <t>MALUR-PEENYA-40FT 09/04</t>
  </si>
  <si>
    <t>NELMANGLA-JIGANI-40FT 09/04</t>
  </si>
  <si>
    <t>ATTIBELE-HOSKOTE-40FT 09/04</t>
  </si>
  <si>
    <t>ATTIBELE-HOSKOTE-40FT 10/04</t>
  </si>
  <si>
    <t>MALUR-PEENYA-40FT 10/04</t>
  </si>
  <si>
    <t>HOSKOTE-PEENYA-40FT 10/04</t>
  </si>
  <si>
    <t>NARSAPURA(CLIMAVENETA)-BANGALORE-40FT 11/04</t>
  </si>
  <si>
    <t>ATTIBELE-HOSKOTE-40FT 12/04</t>
  </si>
  <si>
    <t>MALUR-PEENYA-40FT 12/04</t>
  </si>
  <si>
    <t>ATTIBELE-HOSKOTE-40FT 28/04</t>
  </si>
  <si>
    <t>TATA POWER(GOPALPURA-MAHIMAPURA)-40FT 28/04</t>
  </si>
  <si>
    <t>ELECTRONIC CITY-DABASPET-40FT CNG 15/05</t>
  </si>
  <si>
    <t>ELECTRONIC CITY-DABASPET-40FT 15/05</t>
  </si>
  <si>
    <t>AS PER MR SOMBIR</t>
  </si>
  <si>
    <t>HOSKOTE-ELECTRONIC CITY-DABASPET-40FT 15/05</t>
  </si>
  <si>
    <t>N4881RAMESH ADV</t>
  </si>
  <si>
    <t>NL01N4881</t>
  </si>
  <si>
    <t>MALUR-PEENYA-40FT 15/05</t>
  </si>
  <si>
    <t>N5457RAMESH ADV</t>
  </si>
  <si>
    <t>NL01N5457</t>
  </si>
  <si>
    <t>ATTIBELE-HOSKOTE-40FT 16/06</t>
  </si>
  <si>
    <t>NL01N5451</t>
  </si>
  <si>
    <t>N5451RAMESH ADV</t>
  </si>
  <si>
    <t>N4885RAMESH ADV</t>
  </si>
  <si>
    <t>NL01N4885</t>
  </si>
  <si>
    <t>HOSKOTE-PEENYA-40FT 16/06</t>
  </si>
  <si>
    <t>ELECTRONIC CITY-DABASPET-40FT 16/06</t>
  </si>
  <si>
    <t>ATTIBELE-HOSKOTE-40FT 16/06 / DIESEL OTP-1930/-</t>
  </si>
  <si>
    <t>NELMANGALA-JIGANI-40FT 03/06</t>
  </si>
  <si>
    <t>DOBBASPET-HOSKOTE-EMPTY-40FT 17/06</t>
  </si>
  <si>
    <t>MALUR-PEENYA-40FT 17/06</t>
  </si>
  <si>
    <t>ATTIBELE-HOSKOTE-40FT 18/06</t>
  </si>
  <si>
    <t>ATTIBELE-HOSKOTE-40FT 17/06</t>
  </si>
  <si>
    <t>ATTIBELE-HOSKOTE-40FT 19/06</t>
  </si>
  <si>
    <t>ELECTRONIC CITY-DABASPET-40FT 19/06</t>
  </si>
  <si>
    <t>HOSKOTE-ELECTRONIC CITY-DABASPET-40FT 19/06 / DIESEL OTP-3500/-</t>
  </si>
  <si>
    <t>CHENNAI-BANGALORE-40FT CNG / AS PER MR SOMBIR JI</t>
  </si>
  <si>
    <t>HOSKOTE-DABASPET-HOSKOTE-40FT 20/06</t>
  </si>
  <si>
    <t>MALUR-PEENYA-40FT 20/06</t>
  </si>
  <si>
    <t>HOSKOTE-ELECTRONIC CITY-DABASPET-40FT 20/06</t>
  </si>
  <si>
    <t>ATTIBELE-HOSKOTE-40FT 21/06</t>
  </si>
  <si>
    <t>MALUR-PEENYA-40FT 21/06</t>
  </si>
  <si>
    <t>EXIDE-NELMANGLA-40FT CNG  21/06</t>
  </si>
  <si>
    <t>HOSKOTE-ELECTRONIC CITY-DABASPET-40FT 23/06</t>
  </si>
  <si>
    <t>ATTIBELE-HOSKOTE-40FT 23/06</t>
  </si>
  <si>
    <t>MALUR-PEENYA-40FT 23/06</t>
  </si>
  <si>
    <t>ELECTRONIC CITY-DABASPET-40FT CNG 23/06</t>
  </si>
  <si>
    <t>DABASPET-HOSKOTE-40FT 24/06</t>
  </si>
  <si>
    <t>PEENYA-DABASPET-HOSKOTE-40FT 24/06</t>
  </si>
  <si>
    <t>ATTIBELE-HOSKOTE-40FT 24/06</t>
  </si>
  <si>
    <t>MALUR-PEENYA-40FT 24/06</t>
  </si>
  <si>
    <t>ELECTRONIC CITY-DABASPET-40FT CNG 24/06</t>
  </si>
  <si>
    <t>HOSKOTE-ELECTRONIC CITY-DABASPET-40FT 25/06</t>
  </si>
  <si>
    <t>MALUR-PEENYA-40FT 25/06</t>
  </si>
  <si>
    <t>ATTIBELE-HOSKOTE-40FT 25/06 / DIESEL OTP-1400/-</t>
  </si>
  <si>
    <t>ATTIBELE-HOSKOTE-40FT 25/06</t>
  </si>
  <si>
    <t>MD WASIM AKRAM</t>
  </si>
  <si>
    <t>BARB0HAZARI</t>
  </si>
  <si>
    <t>PEENYA-ELECTRONIC CITY-DABASPET-40FT 25/06</t>
  </si>
  <si>
    <t>ATTIBELE-HOSKOTE-40FT 26/06</t>
  </si>
  <si>
    <t>MALUR-PEENYA-40FT 26/06</t>
  </si>
  <si>
    <t>EXIDE-NELMANGLA GODOWN-40FT 26/06</t>
  </si>
  <si>
    <t>ATTIBELE-HOSKOTE-40FT 28/06</t>
  </si>
  <si>
    <t>MALUR-PEENYA-40FT 28/06</t>
  </si>
  <si>
    <t>MAHIMAPURA-NELMANGALA-40FT CNG 28/06</t>
  </si>
  <si>
    <t>ELECTRONIC CITY-DABASPET-40FT 29/06</t>
  </si>
  <si>
    <t>ELECTRONIC CITY-DABASPET-40FT 28/06 / ONE DAY HALT AT EXIDE</t>
  </si>
  <si>
    <t>ELECTRONIC CITY-DABASPET-40FT 30/06</t>
  </si>
  <si>
    <t>NARSAPURA(CLIMAVENETA)-WHITEFIELD-40FT 30/06</t>
  </si>
  <si>
    <t>DRIVER MOBILE</t>
  </si>
  <si>
    <t>ATTIBELE-HOSKOTE-40FT 07/07</t>
  </si>
  <si>
    <t>ELECTRONIC CITY-DABASPET-40FT CNG 05/07</t>
  </si>
  <si>
    <t>MAHIMAPURA-HOSKOTE-40FT CNG 30/06</t>
  </si>
  <si>
    <t>CLIMAVENETA LOCAL SHIFTING-40FT 30/06</t>
  </si>
  <si>
    <t>MALUR-PEENYA-40FT 01/07</t>
  </si>
  <si>
    <t>ATTIBELE-HOSKOTE-40FT 02/07</t>
  </si>
  <si>
    <t>HOSKOTE-PEENYA-40FT 02/07</t>
  </si>
  <si>
    <t>ELECTRONIC CITY-DABASPET-40FT 02/07</t>
  </si>
  <si>
    <t>ATTIBELE-HOSKOTE-40FT 03/07</t>
  </si>
  <si>
    <t>ELECTRONIC CITY-DABASPET-40FT 03/07</t>
  </si>
  <si>
    <t>MALUR-PEENYA-40FT 04/07</t>
  </si>
  <si>
    <t>ELECTRONIC CITY-DABASPET-40FT 04/07</t>
  </si>
  <si>
    <t>HOSKOTE-ELECTRONIC CITY-DABASPET-40FT 04/07</t>
  </si>
  <si>
    <t>MALUR-PEENYA-40FT 05/07</t>
  </si>
  <si>
    <t>ATTIBELE-HOSKOTE-40FT 05/07</t>
  </si>
  <si>
    <t>ELECTRONIC CITY-DABASPET-40FT CNG 04/07</t>
  </si>
  <si>
    <t>B8206RAMESH ADV</t>
  </si>
  <si>
    <t>HR47B8206</t>
  </si>
  <si>
    <t>ELECTRONIC CITY-DABASPET-40FT 08/07</t>
  </si>
  <si>
    <t>HOSKOTE-ELECTRONIC CITY-DABASPET-40FT 08/07</t>
  </si>
  <si>
    <t>HOSKOTE-ELECTRONIC CITY-DABASPET-40FT 09/07</t>
  </si>
  <si>
    <t>EXIDE-NELMANGLA-40FT 10/07</t>
  </si>
  <si>
    <t>ELECTRONIC CITY-DABASPET-40FT 09/07</t>
  </si>
  <si>
    <t>ELECTRONIC CITY-DABASPET-40FT 10/07</t>
  </si>
  <si>
    <t>EXIDE-NELMANGLA-40FT 11/07</t>
  </si>
  <si>
    <t>ELECTRONIC CITY-DABASPET-40FT 11/07</t>
  </si>
  <si>
    <t>EXIDE-ABOVE 34 TON-40FT 10/07</t>
  </si>
  <si>
    <t>DABASPET-PEENYA-MALUR-40FT 12/07</t>
  </si>
  <si>
    <t>RAJ KUMAR RAM</t>
  </si>
  <si>
    <t>UTIB0003784</t>
  </si>
  <si>
    <t>NARSAPURA(CLIMAVENETA)-VARTHUR-45FT 12/07</t>
  </si>
  <si>
    <t>EXIDE-ABOVE 38 TON-40FT 12/07</t>
  </si>
  <si>
    <t>ELECTRONIC CITY-DABASPET-40FT 14/07</t>
  </si>
  <si>
    <t>MALUR-PEENYA-40FT 14/07</t>
  </si>
  <si>
    <t>ELECTRONIC CITY-DABASPET-40FT 15/07</t>
  </si>
  <si>
    <t>ELECTRONIC CITY-DABASPET-40FT 16/07</t>
  </si>
  <si>
    <t>EXIDE-NELMANGLA-40FT 16/07</t>
  </si>
  <si>
    <t>NELMANGLA-WHITEFIELD(ICD)-HOSKOTE-40FT 17/07</t>
  </si>
  <si>
    <t>MALUR-PEENYA-40FT 17/07</t>
  </si>
  <si>
    <t>ELECTRONIC CITY-DABASPET-40FT 18/07</t>
  </si>
  <si>
    <t>MALUR-PEENYA-40FT 18/07</t>
  </si>
  <si>
    <t>EXIDE-ABOVE 34 TON-40FT 18/07</t>
  </si>
  <si>
    <t>ELECTRONIC CITY-DABASPET-40FT 19/07</t>
  </si>
  <si>
    <t>MD NAJIM KHAN</t>
  </si>
  <si>
    <t>HDFC0003418</t>
  </si>
  <si>
    <t>ATTIBELE-HOSKOTE-40FT 19/07</t>
  </si>
  <si>
    <t>MALUR-PEENYA-40FT 19/07</t>
  </si>
  <si>
    <t>MALUR-PEENYA-40FT 21/07</t>
  </si>
  <si>
    <t>ATTIBELE-HOSKOTE-40FT 21/07</t>
  </si>
  <si>
    <t>DABASPET-HOSKOTE-45FT EMPTY 21/07</t>
  </si>
  <si>
    <t>ATTIBELE-HOSKOTE-40FT 22/07</t>
  </si>
  <si>
    <t>MALUR-PEENYA-40FT 22/07</t>
  </si>
  <si>
    <t>ELECTRONIC CITY-DABASPET-40FT 22/07</t>
  </si>
  <si>
    <t>EXIDE-NELMANGLA-40FT 22/07</t>
  </si>
  <si>
    <t>HOSKOTE-NARSAPURA-45FT 22/07</t>
  </si>
  <si>
    <t>ATTIBELE-HOSKOTE-40FT 23/07</t>
  </si>
  <si>
    <t>NARSAPURA(CLIMAVENETA)-VARTHUR-45FT 23/07</t>
  </si>
  <si>
    <t>DABASPET-NARSAPURA(CLIMAVENETA)-VARTHUR-45FT 23/07</t>
  </si>
  <si>
    <t>HOSKOTE-NARSAPURA-45FT 23/07</t>
  </si>
  <si>
    <t>ELECTRONIC CITY-DABASPET-40FT 24/07</t>
  </si>
  <si>
    <t>HOSKOTE-ELECTRONIC CITY-DABASPET-40FT 24/07</t>
  </si>
  <si>
    <t>ATTIBELE-HOSKOTE-40FT 24/07</t>
  </si>
  <si>
    <t>HOSKOTE-DABASPET-NARSAPURA-40FT 24/07</t>
  </si>
  <si>
    <t>HOSKOTE-DABASPET-NARSAPURA-45FT 24/07</t>
  </si>
  <si>
    <t>EXIDE-ABOVE 42 TON-40FT 24/07</t>
  </si>
  <si>
    <t>PEENYA-HOSKOTE-40FT 24/07</t>
  </si>
  <si>
    <t>WHITEFIELD(ICD)-HOSKOTE-40FT 24/07</t>
  </si>
  <si>
    <t>ELECTRONIC CITY-DABASPET-40FT 25/07</t>
  </si>
  <si>
    <t>HOSKOTE-ELECTRONIC CITY-DABASPET-40FT 25/07</t>
  </si>
  <si>
    <t>EXIDE-NELMANGLA-40FT 26/07</t>
  </si>
  <si>
    <t>HOSKOTE-ELECTRONIC CITY-DABASPET-40FT 26/07</t>
  </si>
  <si>
    <t>ATTIBELE-HOSKOTE-40FT 26/07</t>
  </si>
  <si>
    <t>MALUR-PEENYA-40FT 26/07</t>
  </si>
  <si>
    <t>ELECTRONIC CITY-DABASPET-40FT 26/07</t>
  </si>
  <si>
    <t>EXIDE-ABOVE 42 TON-40FT 26/07</t>
  </si>
  <si>
    <t>EXIDE-ABOVE 38 TON-40FT 26/07</t>
  </si>
  <si>
    <t>ATTIBELE-HOSKOTE-40FT 28/07</t>
  </si>
  <si>
    <t>PEENYA-HOSKOTE-40FT 28/07</t>
  </si>
  <si>
    <t>EXIDE-NELMANGLA-40FT 28/07</t>
  </si>
  <si>
    <t>ATTIBELE-HOSKOTE-40FT 29/07</t>
  </si>
  <si>
    <t>EXIDE-ABOVE 42 TON-40FT 28/07</t>
  </si>
  <si>
    <t>EXIDE-NELMANGLA-40FT 29/07</t>
  </si>
  <si>
    <t>EXIDE-NELMANGLA-40FT 30/07</t>
  </si>
  <si>
    <t>WHITEFIELD(ICD)-HOSKOTE-40FT 30/07</t>
  </si>
  <si>
    <t>EXIDE-ABOVE 42 TON-40FT 29/07</t>
  </si>
  <si>
    <t>ELECTRONIC CITY-DABASPET-40FT 30/07</t>
  </si>
  <si>
    <t>HOSKOTE-ELECTRONIC CITY-DABASPET-40FT 30/07</t>
  </si>
  <si>
    <t>HOSKOTE-JIGANI-EMPTY-40FT 30/07</t>
  </si>
  <si>
    <t>ELECTRONIC CITY-DABASPET-40FT 31/07</t>
  </si>
  <si>
    <t>MALUR-PEENYA-40FT 31/07</t>
  </si>
  <si>
    <t>HOSKOTE-PEENYA-40FT 31/07</t>
  </si>
  <si>
    <t>ELECTRONIC CITY-DABASPET-40FT 01/08</t>
  </si>
  <si>
    <t>MALUR-PEENYA-40FT 01/08</t>
  </si>
  <si>
    <t>EXIDE-ABOVE 34 TON-40FT 31/07</t>
  </si>
  <si>
    <t>MALUR-PEENYA-40FT 02/08</t>
  </si>
  <si>
    <t>ELECTRONIC CITY-DABASPET-40FT 02/08</t>
  </si>
  <si>
    <t>NELMANGLA-JIGANI-OTIS EMPTY-40FT 01/08</t>
  </si>
  <si>
    <t>EXIDE-2 POINTS DELIVERY-40FT 31/07-AS PER MR SOMBIR</t>
  </si>
  <si>
    <t>JIGANI-NELMANGALA-40FT 02/08</t>
  </si>
  <si>
    <t>JIGANI-NELMANGALA-40FT 03/08</t>
  </si>
  <si>
    <t>ELECTRONIC CITY-DABASPET-40FT 04/08</t>
  </si>
  <si>
    <t>MALUR-PEENYA-40FT 04/08</t>
  </si>
  <si>
    <t>ATTIBELE-HOSKOTE-40FT 04/08</t>
  </si>
  <si>
    <t>ATTIBELE-HOSKOTE-40FT 05/08</t>
  </si>
  <si>
    <t>ELECTRONIC CITY-DABASPET-40FT 05/08</t>
  </si>
  <si>
    <t>DABASPET-JIGANI-EMPTY-40FT 05/08</t>
  </si>
  <si>
    <t>MALUR-PEENYA-40FT 05/08</t>
  </si>
  <si>
    <t>ATTIBELE-HOSKOTE-40FT 06/08</t>
  </si>
  <si>
    <t>ELECTRONIC CITY-DABASPET-40FT 06/08</t>
  </si>
  <si>
    <t>MALUR-PEENYA-40FT 06/08</t>
  </si>
  <si>
    <t>NELMANGLA-JIGANI-OTIS EMPTY-40FT 07/08</t>
  </si>
  <si>
    <t>ELECTRONIC CITY-DABASPET-40FT 07/08</t>
  </si>
  <si>
    <t>MALUR-PEENYA-40FT 07/08</t>
  </si>
  <si>
    <t>ELECTRONIC CITY-DABASPET-40FT 08/08</t>
  </si>
  <si>
    <t>MALUR-PEENYA-40FT 08/08</t>
  </si>
  <si>
    <t>ATTIBELE-HOSKOTE-40FT 09/08</t>
  </si>
  <si>
    <t>ELECTRONIC CITY-DABASPET-40FT 09/08</t>
  </si>
  <si>
    <t>MALUR-PEENYA-40FT 11/08</t>
  </si>
  <si>
    <t>MALUR-PEENYA-40FT 09/08</t>
  </si>
  <si>
    <t>ATTIBELE-HOSKOTE-40FT 11/08</t>
  </si>
  <si>
    <t>ELECTRONIC CITY-DABASPET-40FT 11/08</t>
  </si>
  <si>
    <t>ATTIBELE-HOSKOTE-40FT 12/08</t>
  </si>
  <si>
    <t>ELECTRONIC CITY-DABASPET-40FT 12/08</t>
  </si>
  <si>
    <t>NARSAPURA(CLIMAVENETA)-BOMMASANDRA-40FT 12/08</t>
  </si>
  <si>
    <t>DABASPET-NARSAPURA(CLIMAVENETA)-BOMMASANDRA-40FT 12/08</t>
  </si>
  <si>
    <t>DABASPET-NARSAPURA(CLIMAVENETA)-YESHWANTPUR-40FT 12/08</t>
  </si>
  <si>
    <t>ATTIBELE-HOSKOTE-40FT 13/08</t>
  </si>
  <si>
    <t>MALUR-PEENYA-40FT 13/08</t>
  </si>
  <si>
    <t>ELECTRONIC CITY-DABASPET-40FT 13/08</t>
  </si>
  <si>
    <t>MALUR-PEENYA-40FT 14/08</t>
  </si>
  <si>
    <t>ELECTRONIC CITY-DABASPET-40FT 15/08</t>
  </si>
  <si>
    <t>DABASPET(SATRAC)-HOSKOTE-40FT 16/08</t>
  </si>
  <si>
    <t>PEENYA-DABASPET(SATRAC)-HOSKOTE-40FT 16/08</t>
  </si>
  <si>
    <t>ATTIBELE-HOSKOTE-40FT 16/08</t>
  </si>
  <si>
    <t>NARSAPURA(CLIMAVENETA)-BOMMASANDRA-40FT FOODING 12/08</t>
  </si>
  <si>
    <t>DABASPET-DEVANHALLI-EMPTY VEHICLE, AS PER MR SOMBIR JI</t>
  </si>
  <si>
    <t>C6363RAMESH ADV</t>
  </si>
  <si>
    <t>HR47C6363</t>
  </si>
  <si>
    <t>MALUR-PEENYA-40FT 18/08</t>
  </si>
  <si>
    <t>ATTIBELE-HOSKOTE-40FT 18/08</t>
  </si>
  <si>
    <t>MALUR-PEENYA-40FT 19/08</t>
  </si>
  <si>
    <t>ATTIBELE-HOSKOTE-40FT 20/08</t>
  </si>
  <si>
    <t>ATTIBELE-HOSKOTE-40FT 21/08</t>
  </si>
  <si>
    <t>ELECTRONIC CITY-DABASPET-40FT 21/08</t>
  </si>
  <si>
    <t>HOSKOTE-JIGANI(OTIS)-40FT EMPTY 21/08</t>
  </si>
  <si>
    <t>PEENYA-DABASPET(SATRAC)-HOSKOTE-40FT 21/08</t>
  </si>
  <si>
    <t>NELMANGLA-JIGANI-OTIS EMPTY-40FT 21/08</t>
  </si>
  <si>
    <t>HOSKOTE-ELECTRONIC CITY-DABASPET-40FT 22/08</t>
  </si>
  <si>
    <t>ATTIBELE-HOSKOTE-40FT 23/08</t>
  </si>
  <si>
    <t>HOSKOTE-DABASPET(SATRAC)-HOSKOTE-40FT 23/08</t>
  </si>
  <si>
    <t>DABASPET(SATRAC)-HOSKOTE-40FT 23/08</t>
  </si>
  <si>
    <t>MAGADI ROAD(SUNGROW)-PAVAGADA-40FT 23/08</t>
  </si>
  <si>
    <t>HOSKOTE-ELECTRONIC CITY-DABASPET-40FT 25/08</t>
  </si>
  <si>
    <t>ATTIBELE-HOSKOTE-40FT 25/08</t>
  </si>
  <si>
    <t>ELECTRONIC CITY-DABASPET-40FT 24/08</t>
  </si>
  <si>
    <t>ELECTRONIC CITY-DABASPET-40FT 26/08</t>
  </si>
  <si>
    <t>HOSKOTE-ELECTRONIC CITY-DABASPET-40FT 26/08</t>
  </si>
  <si>
    <t>NELMANGLA-JIGANI(TATA POWER)-40FT 26/08</t>
  </si>
  <si>
    <t>ELECTRONIC CITY-DABASPET-40FT 28/08</t>
  </si>
  <si>
    <t>ATTIBELE-HOSKOTE-40FT 30/08</t>
  </si>
  <si>
    <t>JIGANI-ATTIBELE-HOSKOTE-40FT 30/08</t>
  </si>
  <si>
    <t>HOSKOTE-PEENYA-40FT 30/08</t>
  </si>
  <si>
    <t>MALUR-PEENYA-40FT 30/08</t>
  </si>
  <si>
    <t>ELECTRONIC CITY-DABASPET-40FT 30/08</t>
  </si>
  <si>
    <t>NELMANGLA-JIGANI(TATA POWER)-40FT 30/08</t>
  </si>
  <si>
    <t>ATTIBELE-HOSKOTE-40FT 01/09</t>
  </si>
  <si>
    <t>PEENYA-ATTIBELE-HOSKOTE-40FT 01/09</t>
  </si>
  <si>
    <t>ELECTRONIC CITY-DABASPET-40FT 01/09</t>
  </si>
  <si>
    <t>HOSKOTE(VOLVO)-MALUR ROAD-40FT 01/09</t>
  </si>
  <si>
    <t>HOSKOTE(VOLVO)-MALUR ROAD-40FT 21/08</t>
  </si>
  <si>
    <t>HOSKOTE(VOLVO)-MALUR ROAD-40FT 02/09</t>
  </si>
  <si>
    <t>ATTIBELE-HOSKOTE-40FT 02/09</t>
  </si>
  <si>
    <t>HOSKOTE-PEENYA-40FT 02/09</t>
  </si>
  <si>
    <t>ELECTRONIC CITY-DABASPET-40FT 02/09</t>
  </si>
  <si>
    <t>MALUR-PEENYA-40FT 02/09</t>
  </si>
  <si>
    <t>WHITEFIELD(ICD)-HOSKOTE-40FT 03/09</t>
  </si>
  <si>
    <t>ATTIBELE-HOSKOTE-40FT 03/09</t>
  </si>
  <si>
    <t>HOSKOTE(VOLVO)-MALUR ROAD-40FT 03/09</t>
  </si>
  <si>
    <t>PEENYA-ATTIBELE-HOSKOTE-40FT 03/09</t>
  </si>
  <si>
    <t>ELECTRONIC CITY-DABASPET-40FT 03/09</t>
  </si>
  <si>
    <t>MALUR-PEENYA-40FT 03/09</t>
  </si>
  <si>
    <t>HOSKOTE-EXIDE-NELMANGLA-40FT 04/09</t>
  </si>
  <si>
    <t>HOSKOTE(VOLVO)-MALUR ROAD-40FT 04/09</t>
  </si>
  <si>
    <t>MALUR-PEENYA-40FT 04/09</t>
  </si>
  <si>
    <t>WHITEFIELD(ICD)-HOSKOTE-40FT 05/09</t>
  </si>
  <si>
    <t>EXIDE-NELMANGLA-40FT 04/09</t>
  </si>
  <si>
    <t>EXIDE-ABOVE 38 TON-40FT 04/09</t>
  </si>
  <si>
    <t>ELECTRONIC CITY-DABASPET-40FT 06/09</t>
  </si>
  <si>
    <t>HOSKOTE-ELECTRONIC CITY-DABASPET-40FT 06/09</t>
  </si>
  <si>
    <t>MALUR-PEENYA-40FT 06/09</t>
  </si>
  <si>
    <t>NELMANGLA-JIGANI(TATA POWER)-40FT 06/09 (2 POINTS LOADING)</t>
  </si>
  <si>
    <t>ELECTRONIC CITY-DABASPET-40FT 08/09</t>
  </si>
  <si>
    <t>DOBBASPET-HOSKOTE EMPTY-40FT 08/09</t>
  </si>
  <si>
    <t>HOSKOTE(VOLVO)-MALUR ROAD-40FT 08/09 DEDICATED</t>
  </si>
  <si>
    <t>ELECTRONIC CITY-DABASPET-40FT 09/09</t>
  </si>
  <si>
    <t>MALUR-PEENYA-40FT 09/09</t>
  </si>
  <si>
    <t>HOSKOTE(VOLVO)-MALUR ROAD-40FT 09/09 DEDICATED</t>
  </si>
  <si>
    <t>ELECTRONIC CITY-DABASPET-40FT 10/09</t>
  </si>
  <si>
    <t>PEENYA-DABASPET PARKING EMPTY-40FT 10/09</t>
  </si>
  <si>
    <t>HOSKOTE(VOLVO)-MALUR ROAD-40FT 10/09 DEDICATED</t>
  </si>
  <si>
    <t>HOSKOTE(VOLVO)-MALUR ROAD-40FT 11/09 DEDICATED</t>
  </si>
  <si>
    <t>MALUR-PEENYA-40FT 11/09</t>
  </si>
  <si>
    <t>NELMANGLA-WHITEFIELD(ICD)-HOSKOTE-40FT 11/09</t>
  </si>
  <si>
    <t>ELECTRONIC CITY-DABASPET-40FT 11/09</t>
  </si>
  <si>
    <t>WHITEFIELD(ICD)-HOSKOTE-40FT 12/09</t>
  </si>
  <si>
    <t>HOSKOTE(VOLVO)-MALUR ROAD-40FT 12/09 DEDICATED</t>
  </si>
  <si>
    <t>ATTIBELE-HOSKOTE-40FT 15/09</t>
  </si>
  <si>
    <t>HOSKOTE-ELECTRONIC CITY-DABASPET-40FT 15/09</t>
  </si>
  <si>
    <t>HOSKOTE-PEENYA-40FT 16/09</t>
  </si>
  <si>
    <t>HOSKOTE(VOLVO)-MALUR ROAD-40FT 16/09</t>
  </si>
  <si>
    <t>MALUR-PEENYA-40FT 16/09</t>
  </si>
  <si>
    <t>MALUR-PEENYA-40FT 17/09</t>
  </si>
  <si>
    <t>HOSKOTE(VOLVO)-MALUR ROAD-40FT 17/09</t>
  </si>
  <si>
    <t>ATTIBELE-HOSKOTE-40FT 18/09</t>
  </si>
  <si>
    <t>MALUR-PEENYA-40FT 18/09</t>
  </si>
  <si>
    <t>HOSKOTE(VOLVO)-MALUR ROAD-40FT 18/09</t>
  </si>
  <si>
    <t>HOSKOTE(VOLVO)-MALUR ROAD-40FT 19/09</t>
  </si>
  <si>
    <t>HOSKOTE-PEENYA-40FT 19/09</t>
  </si>
  <si>
    <t>ATTIBELE-HOSKOTE-40FT 20/09</t>
  </si>
  <si>
    <t>WHITEFIELD(ICD)-HOSKOTE-40FT 20/09</t>
  </si>
  <si>
    <t>HOSKOTE-EXIDE-NELMANGLA-40FT 20/09</t>
  </si>
  <si>
    <t>ATTIBELE-HOSKOTE-40FT 22/09</t>
  </si>
  <si>
    <t>ELECTRONIC CITY-DABASPET-40FT 21/09</t>
  </si>
  <si>
    <t>MALUR-PEENYA-40FT 22/09</t>
  </si>
  <si>
    <t>HOSKOTE(VOLVO)-MALUR ROAD-40FT 22/09</t>
  </si>
  <si>
    <t>EXIDE-ABOVE 38 TON-40FT 21/09</t>
  </si>
  <si>
    <t>HOSKOTE(VOLVO)-MALUR ROAD-40FT 23/09</t>
  </si>
  <si>
    <t>HOSKOTE-DABASPET-HOSKOTE-40FT 23/09</t>
  </si>
  <si>
    <t>HOSKOTE-EXIDE-NELMANGLA-40FT 24/09</t>
  </si>
  <si>
    <t>ATTIBELE-HOSKOTE-40FT 24/09</t>
  </si>
  <si>
    <t>HOSKOTE(VOLVO)-MALUR ROAD-40FT 24/09</t>
  </si>
  <si>
    <t>HOSKOTE-DABASPET-HOSKOTE-40FT 24/09</t>
  </si>
  <si>
    <t>HOSKOTE-CHENNAI(CHASSIS TRAILER)-40FT 23/09</t>
  </si>
  <si>
    <t>EXIDE-ABOVE 38 TON-40FT 24/09</t>
  </si>
  <si>
    <t>ATTIBELE-HOSKOTE-40FT 25/09</t>
  </si>
  <si>
    <t>D4679RAMESH ADV</t>
  </si>
  <si>
    <t>HOSKOTE(VOLVO)-MALUR ROAD-40FT 25/09</t>
  </si>
  <si>
    <t>HOSKOTE(VOLVO)-MALUR ROAD-40FT 26/09</t>
  </si>
  <si>
    <t>HOSKOTE-EXIDE-NELMANGLA-40FT 27/09</t>
  </si>
  <si>
    <t>ATTIBELE-HOSKOTE-40FT 27/09</t>
  </si>
  <si>
    <t>MALUR-PEENYA-40FT 27/09</t>
  </si>
  <si>
    <t>HOSKOTE-DABASPET(EMPTY-CHASSIS TRAILER)-40FT 27/09</t>
  </si>
  <si>
    <t>EXIDE-ABOVE 38 TON-40FT 27/09</t>
  </si>
  <si>
    <t>ELECTRONIC CITY-DABASPET-40FT 27/09</t>
  </si>
  <si>
    <t>HOSKOTE-PEENYA-40FT 29/09</t>
  </si>
  <si>
    <t>HOSKOTE(VOLVO)-MALUR ROAD-40FT 29/09</t>
  </si>
  <si>
    <t>PEENYA-DABASPET-HOSKOTE-40FT 29/09</t>
  </si>
  <si>
    <t>ATTIBELE-HOSKOTE-40FT 29/09</t>
  </si>
  <si>
    <t>NELMANGLA-EXIDE-JIGANI-40FT 29/09</t>
  </si>
  <si>
    <t>HOSKOTE(VOLVO)-MALUR ROAD-40FT 30/09</t>
  </si>
  <si>
    <t>HOSKOTE-EXIDE-JIGANI-40FT 30/09</t>
  </si>
  <si>
    <t>JIGANI-EXIDE-NELMANGLA-40FT 04/10</t>
  </si>
  <si>
    <t>EXIDE-ABOVE 38 TON-40FT 03/10</t>
  </si>
  <si>
    <t>HOSKOTE-EXIDE-NELMANGLA-40FT 04/10</t>
  </si>
  <si>
    <t>ATTIBELE-HOSKOTE-40FT 04/10</t>
  </si>
  <si>
    <t>EXIDE-ABOVE 38 TON-40FT 04/10</t>
  </si>
  <si>
    <t>MALUR-PEENYA-40FT 06/10</t>
  </si>
  <si>
    <t>HOSKOTE(VOLVO)-NARSAPURA(CLIMAVENETA)-DODDABALLAPUR-40FT 06/10</t>
  </si>
  <si>
    <t>PEENYA-ATTIBELE-HOSKOTE-40FT 18/09</t>
  </si>
  <si>
    <t>PEENYA-ATTIBELE-HOSKOTE-40FT 20/09</t>
  </si>
  <si>
    <t>PEENYA-ATTIBELE-HOSKOTE-40FT 24/09</t>
  </si>
  <si>
    <t>PEENYA-ATTIBELE-HOSKOTE-40FT 04/10</t>
  </si>
  <si>
    <t>JIGANI-ATTIBELE-HOSKOTE-40FT 06/10</t>
  </si>
  <si>
    <t>ELECTRONIC CITY-DABASPET-40FT 07/10</t>
  </si>
  <si>
    <t>ATTIBELE-HOSKOTE-40FT 07/10</t>
  </si>
  <si>
    <t>HOSKOTE(DHL)-NARSAPURA(CLIMAVENETA)-DODDABALLAPUR-40FT 06/10</t>
  </si>
  <si>
    <t>HOSKOTE(VOLVO)-MALUR ROAD-40FT 07/10</t>
  </si>
  <si>
    <t>EXIDE-NELMANGLA-40FT 08/10</t>
  </si>
  <si>
    <t>PEENYA-EXIDE-NELMANGLA-40FT 08/10</t>
  </si>
  <si>
    <t>HOSKOTE-EXIDE-NELMANGLA-40FT 08/10</t>
  </si>
  <si>
    <t>MALUR-PEENYA-40FT 08/10</t>
  </si>
  <si>
    <t>PEENYA-ATTIBELE-HOSKOTE-40FT 08/10</t>
  </si>
  <si>
    <t>ATTIBELE-HOSKOTE-40FT 08/10</t>
  </si>
  <si>
    <t>EXIDE-ABOVE 38 TON-40FT 07/10</t>
  </si>
  <si>
    <t>HOSKOTE(VOLVO)-MALUR ROAD-40FT 08/10</t>
  </si>
  <si>
    <t>HOSKOTE-PEENYA-40FT 09/10</t>
  </si>
  <si>
    <t>PEENYA-ATTIBELE-HOSKOTE-40FT 09/10</t>
  </si>
  <si>
    <t>MALUR-PEENYA-40FT 09/10</t>
  </si>
  <si>
    <t>EXIDE-ABOVE 38 TON-40FT 08/10</t>
  </si>
  <si>
    <t>HOSKOTE(VOLVO)-MALUR ROAD-40FT 10/10</t>
  </si>
  <si>
    <t>MALUR-PEENYA-40FT 10/10</t>
  </si>
  <si>
    <t>ELECTRONIC CITY-DABASPET-40FT 10/10</t>
  </si>
  <si>
    <t>PEENYA-WHITEFIELD-HOSKOTE(DHL)-40FT 11/10</t>
  </si>
  <si>
    <t>ATTIBELE-HOSKOTE-40FT 11/10</t>
  </si>
  <si>
    <t>HOSKOTE-PEENYA-40FT 11/10</t>
  </si>
  <si>
    <t>ELECTRONIC CITY-DABASPET-40FT 12/10</t>
  </si>
  <si>
    <t>MALUR-PEENYA-40FT 13/10</t>
  </si>
  <si>
    <t>ATTIBELE-HOSKOTE-40FT 13/10</t>
  </si>
  <si>
    <t>PEENYA-ATTIBELE-HOSKOTE-40FT 13/10</t>
  </si>
  <si>
    <t>ELECTRONIC CITY-DABASPET-40FT 13/10</t>
  </si>
  <si>
    <t>ELECTRONIC CITY-DABASPET-40FT 14/10</t>
  </si>
  <si>
    <t>PEENYA-ATTIBELE-HOSKOTE-40FT 14/10</t>
  </si>
  <si>
    <t>ATTIBELE-HOSKOTE-40FT 14/10</t>
  </si>
  <si>
    <t>HOSKOTE(VOLVO)-MALUR ROAD-40FT 14/10</t>
  </si>
  <si>
    <t>HOSKOTE-PEENYA-40FT 15/10</t>
  </si>
  <si>
    <t>HOSKOTE(VOLVO)-HOSKOTE(FERRUM)-40FT 15/10</t>
  </si>
  <si>
    <t>HOSKOTE(VOLVO)-MALUR ROAD-40FT 15/10</t>
  </si>
  <si>
    <t>HOSKOTE-ELECTRONIC CITY-DABASPET-40FT 15/10</t>
  </si>
  <si>
    <t>ELECTRONIC CITY-DABASPET-40FT 15/10</t>
  </si>
  <si>
    <t>ATTIBELE-HOSKOTE-40FT 15/10</t>
  </si>
  <si>
    <t>MALUR-PEENYA-40FT 15/10</t>
  </si>
  <si>
    <t>PEENYA-ATTIBELE-HOSKOTE-40FT 15/10</t>
  </si>
  <si>
    <t>EXIDE-ABOVE 34 TON-40FT 14/10</t>
  </si>
  <si>
    <t>HOSKOTE-ELECTRONIC CITY-DABASPET-40FT 16/10</t>
  </si>
  <si>
    <t>ATTIBELE-HOSKOTE-40FT 16/10</t>
  </si>
  <si>
    <t>PEENYA-ATTIBELE-HOSKOTE-40FT 16/10</t>
  </si>
  <si>
    <t>HOSKOTE-PEENYA-40FT 16/10</t>
  </si>
  <si>
    <t>HOSKOTE-JIGANI(OTIS) EMPTY-40FT 16/10</t>
  </si>
  <si>
    <t>HOSKOTE(VOLVO)-MALUR ROAD-40FT 16/10</t>
  </si>
  <si>
    <t>MALUR-PEENYA-40FT 16/10</t>
  </si>
  <si>
    <t>MALUR-PEENYA-40FT 17/10</t>
  </si>
  <si>
    <t>ELECTRONIC CITY-DABASPET-40FT 17/10</t>
  </si>
  <si>
    <t>HOSKOTE(VOLVO)-MALUR ROAD-40FT 17/10</t>
  </si>
  <si>
    <t>HOSKOTE-PEENYA-40FT 18/10</t>
  </si>
  <si>
    <t>HOSKOTE-ELECTRONIC CITY-DABASPET-40FT 18/10</t>
  </si>
  <si>
    <t>NELMANGLA-JIGANI(TATA POWER)-40FT 18/10</t>
  </si>
  <si>
    <t>ELECTRONIC CITY-DABASPET-40FT 19/10</t>
  </si>
  <si>
    <t>ELECTRONIC CITY-DABASPET-40FT 21/10</t>
  </si>
  <si>
    <t>MALUR-PEENYA-40FT 21/10</t>
  </si>
  <si>
    <t>PEENYA-EXIDE-NELMANGLA-40FT 22/10</t>
  </si>
  <si>
    <t>ELECTRONIC CITY-DABASPET-40FT 22/10</t>
  </si>
  <si>
    <t>JIGANI-ATTIBELE-HOSKOTE-40FT 22/10</t>
  </si>
  <si>
    <t>NELMANGLA-JIGANI(OTIS) EMPTY-40FT 14/10</t>
  </si>
  <si>
    <t>ATTIBELE-HOSKOTE-40FT 22/10</t>
  </si>
  <si>
    <t>ALAM KHAN</t>
  </si>
  <si>
    <t>ATTIBELE-HOSKOTE-40FT 23/10</t>
  </si>
  <si>
    <t>HOSKOTE(VOLVO)-MALUR ROAD-40FT 23/10</t>
  </si>
  <si>
    <t>EXIDE-ABOVE 38 TON-40FT 22/10</t>
  </si>
  <si>
    <t>NELMANGLA-WHITEFIELD-HOSKOTE(DHL)-40FT 24/10</t>
  </si>
  <si>
    <t>ATTIBELE-HOSKOTE-40FT 24/10</t>
  </si>
  <si>
    <t>HOSKOTE-EXIDE-NELMANGLA-40FT 24/10</t>
  </si>
  <si>
    <t>MALUR-PEENYA-40FT 24/10</t>
  </si>
  <si>
    <t>HOSKOTE(VOLVO)-MALUR ROAD-40FT 24/10</t>
  </si>
  <si>
    <t>HOSKOTE(VOLVO)-MALUR ROAD-40FT 25/10</t>
  </si>
  <si>
    <t>HOSKOTE-EXIDE-NELMANGLA-40FT 25/10</t>
  </si>
  <si>
    <t>WHITEFIELD-HOSKOTE(DHL)-40FT 25/10</t>
  </si>
  <si>
    <t>HOSKOTE(VOLVO)-WHITEFIELD-HOSKOTE(DHL)-40FT 25/10</t>
  </si>
  <si>
    <t>EXIDE-ABOVE 38 TON-40FT 24/10</t>
  </si>
  <si>
    <t>ATTIBELE-HOSKOTE-40FT 27/10</t>
  </si>
  <si>
    <t>PEENYA-ATTIBELE-HOSKOTE-40FT 27/10</t>
  </si>
  <si>
    <t>ATTIBELE-HOSKOTE-40FT 28/10</t>
  </si>
  <si>
    <t>HOSKOTE(VOLVO)-MALUR ROAD-40FT 28/10</t>
  </si>
  <si>
    <t>ATTIBELE-HOSKOTE-40FT 29/10</t>
  </si>
  <si>
    <t>HOSKOTE(VOLVO)-MALUR ROAD-40FT 29/10</t>
  </si>
  <si>
    <t>HOSKOTE(VOLVO)-DASANPURA(KENAMETAL)-40FT EMPTY 29/10</t>
  </si>
  <si>
    <t>EXIDE-ABOVE 38 TON-40FT 28/10</t>
  </si>
  <si>
    <t>MD SAHBAN</t>
  </si>
  <si>
    <t>KKBK0000463</t>
  </si>
  <si>
    <t>NELMANGLA-DABASPET-40FT EMPTY 30/10</t>
  </si>
  <si>
    <t>HOSKOTE(VOLVO)-WHITEFIELD-HOSKOTE(DHL)-40FT 30/10</t>
  </si>
  <si>
    <t>ATTIBELE-HOSKOTE-40FT 30/10</t>
  </si>
  <si>
    <t>HOSKOTE(VOLVO)-MALUR ROAD-40FT 30/10</t>
  </si>
  <si>
    <t>HOSKOTE-JIGANI(OTIS) EMPTY-40FT 31/10</t>
  </si>
  <si>
    <t>HOSKOTE-PEENYA-40FT 31/10</t>
  </si>
  <si>
    <t>HOSKOTE(VOLVO)-WHITEFIELD-HOSKOTE(DHL)-40FT 31/10</t>
  </si>
  <si>
    <t>HOSKOTE-EXIDE-NELMANGLA-40FT 01/11</t>
  </si>
  <si>
    <t>HOSKOTE-ELECTRONIC CITY-DABASPET-40FT 02/11</t>
  </si>
  <si>
    <t>HOSKOTE-PEENYA-40FT 03/11</t>
  </si>
  <si>
    <t>JIGANI(OTIS)LOCAL 31/10</t>
  </si>
  <si>
    <t>EXIDE-ABOVE 38 TON-40FT 03/11</t>
  </si>
  <si>
    <t>NELMANGLA-HOSKOTE(VOLVO)-40FT EMPTY 04/11</t>
  </si>
  <si>
    <t>EXIDE-ABOVE 38 TON-40FT 04/11</t>
  </si>
  <si>
    <t>ATTIBELE-HOSKOTE-40FT 05/11</t>
  </si>
  <si>
    <t>HOSKOTE(VOLVO)-MALUR ROAD-40FT 04/11</t>
  </si>
  <si>
    <t>HOSKOTE(VOLVO)-MALUR ROAD-40FT 05/11</t>
  </si>
  <si>
    <t>MALUR-PEENYA-40FT 05/11</t>
  </si>
  <si>
    <t>HOSKOTE(VOLVO)-MALUR ROAD-40FT 06/11</t>
  </si>
  <si>
    <t>PEENYA-ATTIBELE-HOSKOTE-40FT 06/11</t>
  </si>
  <si>
    <t>MALUR-PEENYA-40FT 06/11</t>
  </si>
  <si>
    <t>ATTIBELE-HOSKOTE-40FT 06/11</t>
  </si>
  <si>
    <t>EXIDE-1/11-6/11 HALTING/FOODING APPROVED BY MR SOMBIR-40FT 03/11</t>
  </si>
  <si>
    <t>EXIDE-1/11-6/11 HALTING/FOODING APPROVED BY MR SOMBIR-40FT 04/11</t>
  </si>
  <si>
    <t>HOSKOTE-EXIDE-NELMANGLA-40FT 07/11</t>
  </si>
  <si>
    <t>NELMANGLA-DABASPET-40FT EMPTY 07/11</t>
  </si>
  <si>
    <t>PEENYA-EXIDE-NELMANGLA-40FT 07/11</t>
  </si>
  <si>
    <t>EXIDE-ABOVE 38 TON-40FT 08/11</t>
  </si>
  <si>
    <t>JIGANI-EXIDE-NELMANGLA-40FT 08/11</t>
  </si>
  <si>
    <t>EXIDE-ABOVE 38 TON-40FT 07/11</t>
  </si>
  <si>
    <t>NELMANGLA-JIGANI(OTIS) EMPTY-40FT 08/11</t>
  </si>
  <si>
    <t>JIGANI-EXIDE-NELMANGLA-40FT 10/11</t>
  </si>
  <si>
    <t>OTIS(INDAPUR)-02/11-06/11 HALTING/FOODING APPROVED BY MR SOMBIR-40FT 10/11</t>
  </si>
  <si>
    <t>HOSKOTE-PEENYA-40FT 10/11</t>
  </si>
  <si>
    <t>ATTIBELE-HOSKOTE-40FT 10/11</t>
  </si>
  <si>
    <t>EXIDE-ABOVE 38 TON-40FT 10/11</t>
  </si>
  <si>
    <t>HOSKOTE(VOLVO)-MALUR ROAD-40FT 11/11</t>
  </si>
  <si>
    <t>MALUR-PEENYA-40FT 11/11</t>
  </si>
  <si>
    <t>NELMANGLA-DABASPET-HOSKOTE-40FT 11/11</t>
  </si>
  <si>
    <t>HOSKOTE-PEENYA-40FT 11/11</t>
  </si>
  <si>
    <t>PEENYA-ATTIBELE-HOSKOTE-40FT 12/11</t>
  </si>
  <si>
    <t>ATTIBELE-HOSKOTE-40FT 12/11</t>
  </si>
  <si>
    <t>NELMANGLA-JIGANI(OTIS) EMPTY-40FT 11/11</t>
  </si>
  <si>
    <t>JIGANI-ATTIBELE-HOSKOTE-40FT 12/11</t>
  </si>
  <si>
    <t>HOSKOTE(VOLVO)-MALUR ROAD-40FT 13/11</t>
  </si>
  <si>
    <t>HOSKOTE-JIGANI(OTIS) EMPTY-40FT 13/11</t>
  </si>
  <si>
    <t>ATTIBELE-HOSKOTE-40FT 13/11</t>
  </si>
  <si>
    <t>ELECTRONIC CITY-DABASPET-40FT 13/11</t>
  </si>
  <si>
    <t>HSOKOTE(VOLVO)-MALUR(MARIGOLD)-UP/DOWN-40FT 13/11</t>
  </si>
  <si>
    <t>HOSKOTE-ELECTRONIC CITY-DABASPET-40FT 13/11</t>
  </si>
  <si>
    <t>HOSKOTE-NARSAPURA-40FT 11/11</t>
  </si>
  <si>
    <t>JIGANI(OTIS)LOCAL 11/11</t>
  </si>
  <si>
    <t>ELECTRONIC CITY-DABASPET-40FT 14/11</t>
  </si>
  <si>
    <t>ATTIBELE-HOSKOTE-40FT 15/11</t>
  </si>
  <si>
    <t>MALUR-PEENYA-40FT 15/11</t>
  </si>
  <si>
    <t>HOSKOTE-PEENYA-40FT 15/11</t>
  </si>
  <si>
    <t>HOSKOTE(VOLVO)-MALUR ROAD-40FT 17/11</t>
  </si>
  <si>
    <t>ELECTRONIC CITY-DABASPET-40FT 17/11</t>
  </si>
  <si>
    <t>JIGANI(OTIS)LOCAL 14/11</t>
  </si>
  <si>
    <t>ELECTRONIC CITY-DABASPET-40FT 19/11</t>
  </si>
  <si>
    <t>JIGANI-ATTIBELE-HOSKOTE-40FT 20/11</t>
  </si>
  <si>
    <t>HOSKOTE-CLIMAVENETA(NARSAPURA)-LOCAL-40FT 20/11</t>
  </si>
  <si>
    <t>PEENYA-CLIMAVENETA(NARSAPURA)-LOCAL-40FT 20/11</t>
  </si>
  <si>
    <t>NELMANGALA-CLIMAVENETA(NARSAPURA)-LOCAL-40FT 20/11</t>
  </si>
  <si>
    <t>TAUHID</t>
  </si>
  <si>
    <t>SBIN0012615</t>
  </si>
  <si>
    <t>JIGANI(OTIS)LOCAL 19/11</t>
  </si>
  <si>
    <t>JIGANI(OTIS)LOCAL 20/11</t>
  </si>
  <si>
    <t>HOSKOTE-ELECTRONIC CITY-DABASPET-40FT 21/11</t>
  </si>
  <si>
    <t>HOSKOTE(VOLVO)-MALUR ROAD-40FT 21/11</t>
  </si>
  <si>
    <t>ELECTRONIC CITY-DABASPET-40FT 21/11</t>
  </si>
  <si>
    <t>NELMANGLA-JIGANI(OTIS) EMPTY-40FT 19/11</t>
  </si>
  <si>
    <t>NELMANGLA-JIGANI(OTIS) EMPTY-40FT 22/11</t>
  </si>
  <si>
    <t>ATTIBELE-HOSKOTE-40FT 22/11</t>
  </si>
  <si>
    <t>JIGANI-ELECTRONIC CITY-DABASPET-40FT 22/11</t>
  </si>
  <si>
    <t>ELECTRONIC CITY-DABASPET-40FT 22/11</t>
  </si>
  <si>
    <t>JIGANI(OTIS)LOCAL 22/11</t>
  </si>
  <si>
    <t>JIGANI(OTIS)LOCAL 15/11</t>
  </si>
  <si>
    <t>JIGANI(OTIS)LOCAL 17/11</t>
  </si>
  <si>
    <t>JIGANI(OTIS)LOCAL 18/11</t>
  </si>
  <si>
    <t>HOSKOTE-ELECTRONIC CITY-DABASPET-40FT 24/11</t>
  </si>
  <si>
    <t>JIGANI-EXIDE-NELMANGLA-40FT 29/11</t>
  </si>
  <si>
    <t>ELECTRONIC CITY-DABASPET-40FT 29/11</t>
  </si>
  <si>
    <t>JIGANI(OTIS)LOCAL 26/11</t>
  </si>
  <si>
    <t>NELMANGALA(TATA POWER-TCI)-RAJAJINAGAR-40FT 28/11</t>
  </si>
  <si>
    <t>EXIDE-ABOVE 34 TON-40FT 30/11</t>
  </si>
  <si>
    <t>HOSKOTE-JIGANI(OTIS) EMPTY 40FT 22/11</t>
  </si>
  <si>
    <t>MALUR-PEENYA-40FT 01/12</t>
  </si>
  <si>
    <t>JIGANI-EXIDE-NELMANGLA-40FT 02/12</t>
  </si>
  <si>
    <t>HOSKOTE-PEENYA-40FT 02/12</t>
  </si>
  <si>
    <t>PEENYA-HOSKOTE(VOLVO)-40FT EMPTY 03/12</t>
  </si>
  <si>
    <t>EXIDE-NELMANGLA-40FT 03/12</t>
  </si>
  <si>
    <t>HOSKOTE(VOLVO)-MALUR ROAD-40FT 03/12</t>
  </si>
  <si>
    <t>JIGANI-EXIDE-NELMANGLA-40FT 03/12</t>
  </si>
  <si>
    <t>EXIDE-ABOVE 38 TON-40FT 03/12</t>
  </si>
  <si>
    <t>NELMANGALA-JIGANI(OTIS) EMPTY 40FT 04/12</t>
  </si>
  <si>
    <t>EXIDE-ABOVE 34 TON-40FT 03/12</t>
  </si>
  <si>
    <t>MALUR-PEENYA-40FT 04/12</t>
  </si>
  <si>
    <t>ELECTRONIC CITY-DABASPET-40FT 04/12</t>
  </si>
  <si>
    <t>NELMANGALA-HOSKOTE(VOLVO)-40FT EMPTY 04/12</t>
  </si>
  <si>
    <t>NELMANGALA-JIGANI(OTIS) EMPTY 40FT 05/12</t>
  </si>
  <si>
    <t>EXIDE-NELMANGLA-40FT 05/12</t>
  </si>
  <si>
    <t>HOSKOTE(VOLVO)-MALUR ROAD-40FT 05/12</t>
  </si>
  <si>
    <t>PEENYA-DABASPET-HOSKOTE-40FT 05/12</t>
  </si>
  <si>
    <t>JIGANI(OTIS)LOCAL 04/12</t>
  </si>
  <si>
    <t>EXIDE-ABOVE 34 TON-40FT 05/12</t>
  </si>
  <si>
    <t>PEENYA-EXIDE-NELMANGLA-40FT 06/12</t>
  </si>
  <si>
    <t>EXIDE-NELMANGLA-40FT 06/12</t>
  </si>
  <si>
    <t>SHAHID AFRIDI</t>
  </si>
  <si>
    <t>UBIN0564567</t>
  </si>
  <si>
    <t>PEENYA-ELECTRONIC CITY-DABASPET-40FT 08/12</t>
  </si>
  <si>
    <t>HOSKOTE-PEENYA-40FT 08/12</t>
  </si>
  <si>
    <t>JIGANI-ATTIBELE-HOSKOTE-40FT 08/12</t>
  </si>
  <si>
    <t>EXIDE-ABOVE 38 TON-40FT 06/12</t>
  </si>
  <si>
    <t>EXIDE-ABOVE 34 TON-40FT 06/12</t>
  </si>
  <si>
    <t>ELECTRONIC CITY-DABASPET-40FT 08/12</t>
  </si>
  <si>
    <t>MALUR-PEENYA-40FT 08/12</t>
  </si>
  <si>
    <t>EXIDE-ABOVE 38 TON-40FT 08/12</t>
  </si>
  <si>
    <t>PEENYA-DABASPET-HOSKOTE-40FT 09/12</t>
  </si>
  <si>
    <t>ATTIBELE-HOSKOTE-40FT 09/12</t>
  </si>
  <si>
    <t>HOSKOTE(VOLVO)-MALUR ROAD-40FT 09/12</t>
  </si>
  <si>
    <t>HOSKOTE-PEENYA-40FT 09/12</t>
  </si>
  <si>
    <t>HOSKOTE-DABASPET-HOSKOTE-40FT 10/12</t>
  </si>
  <si>
    <t>PEENYA-ELECTRONIC CITY-DABASPET-40FT 10/12</t>
  </si>
  <si>
    <t>HOSKOTE-JIGANI(OTIS) EMPTY 40FT 10/12</t>
  </si>
  <si>
    <t>ATTIBELE-HOSKOTE-40FT 10/12</t>
  </si>
  <si>
    <t>MALUR-PEENYA-40FT 10/12</t>
  </si>
  <si>
    <t>NELMANGALA-JIGANI(OTIS) EMPTY 40FT 09/12</t>
  </si>
  <si>
    <t>PEENYA-ELECTRONIC CITY-DABASPET-40FT 11/12</t>
  </si>
  <si>
    <t>ATTIBELE-HOSKOTE-40FT 11/12</t>
  </si>
  <si>
    <t>JIGANI-ATTIBELE-HOSKOTE-40FT 11/12</t>
  </si>
  <si>
    <t>JIGANI(OTIS)LOCAL 10/12</t>
  </si>
  <si>
    <t>HOSKOTE(VOLVO)-MALUR ROAD-40FT 11/12</t>
  </si>
  <si>
    <t>HOSKOTE-EXIDE-NELMANGLA-40FT 12/12</t>
  </si>
  <si>
    <t>ATTIBELE-HOSKOTE-40FT 12/12</t>
  </si>
  <si>
    <t>HOSKOTE(VOLVO)-MALUR ROAD-40FT 12/12</t>
  </si>
  <si>
    <t>JIGANI(OTIS)LOCAL 11/12</t>
  </si>
  <si>
    <t>JIGANI(OTIS)LOCAL 12/12</t>
  </si>
  <si>
    <t>ATTIBELE-HOSKOTE-40FT 13/12</t>
  </si>
  <si>
    <t>MALUR-PEENYA-40FT 13/12</t>
  </si>
  <si>
    <t>EXIDE-ABOVE 34 TON-40FT 12/12</t>
  </si>
  <si>
    <t>HOSKOTE-PEENYA-40FT 13/12</t>
  </si>
  <si>
    <t>NELMANGALA-JIGANI(OTIS) EMPTY 40FT 02/12</t>
  </si>
  <si>
    <t>EXIDE-ABOVE 38 TON-40FT 13/12</t>
  </si>
  <si>
    <t>ATTIBELE-HOSKOTE-40FT 15/12</t>
  </si>
  <si>
    <t>HOSKOTE(VOLVO)-MALUR ROAD-40FT 15/12</t>
  </si>
  <si>
    <t>MALUR-PEENYA-40FT 15/12</t>
  </si>
  <si>
    <t>HOSKOTE-EXIDE-NELMANGLA-40FT 15/12</t>
  </si>
  <si>
    <t>MALUR-PEENYA-40FT 16/12</t>
  </si>
  <si>
    <t>HOSKOTE-PEENYA-40FT 16/12</t>
  </si>
  <si>
    <t>JIGANI(OTIS)LOCAL 16/12</t>
  </si>
  <si>
    <t>EXIDE-ABOVE 38 TON-40FT 16/12</t>
  </si>
  <si>
    <t>PEENYA-ATTIBELE-HOSKOTE-40FT 17/12</t>
  </si>
  <si>
    <t>JIGANI-EXIDE-NELMANGALA-40FT 17/12</t>
  </si>
  <si>
    <t>HOSKOTE-JIGANI(OTIS) EMPTY-40FT 17/12</t>
  </si>
  <si>
    <t>PEENYA-ATTIBELE-HOSKOTE-40FT 18/12</t>
  </si>
  <si>
    <t>ELECTRONIC CITY(TATA POWER)-PAVAGADA-40FT 15/12</t>
  </si>
  <si>
    <t>HOSKOTE(VOLVO)-MALUR ROAD-40FT 18/12</t>
  </si>
  <si>
    <t>EXIDE-ABOVE 38 TON-40FT 17/12</t>
  </si>
  <si>
    <t>HOSKOTE(DHL)-NARSAPURA(CLIMAVENETA)-DOMLUR-40FT 19/12</t>
  </si>
  <si>
    <t>NELMANGALA-EXIDE-JIGANI-40FT 18/12</t>
  </si>
  <si>
    <t>NELMANGALA-EXIDE-JIGANI-40FT 18/12(NICE ROAD PARKING-400/- APPROVED MR SOMBIR)</t>
  </si>
  <si>
    <t>JIGANI(OTIS)-EXIDE-JIGANI-40FT 18/12</t>
  </si>
  <si>
    <t>ATTIBELE-HOSKOTE-40FT 19/12</t>
  </si>
  <si>
    <t>HOSKOTE(VOLVO)-MALUR ROAD-40FT 19/12</t>
  </si>
  <si>
    <t>HOSKOTE(VOLVO)-EXIDE-JIGANI-40FT 19/12</t>
  </si>
  <si>
    <t>JIGANI-EXIDE-JIGANI-40FT 20/12</t>
  </si>
  <si>
    <t>MALUR-PEENYA-40FT 20/12</t>
  </si>
  <si>
    <t>JIGANI-ATTIBELE-HOSKOTE-40FT 20/12</t>
  </si>
  <si>
    <t>ELECTRONIC CITY-NELMANGALA-40FT 19/12((NICE ROAD PARKING-200/- APPROVED MR SOMBIR)</t>
  </si>
  <si>
    <t>HOSKOTE(VOLVO)-EXIDE-JIGANI-40FT 20/12</t>
  </si>
  <si>
    <t>EXIDE-12/12-17/12 HALTING/FOODING &amp; NICE ROAD PARKING-200/- APPROVED BY MR SOMBIR-40FT</t>
  </si>
  <si>
    <t>JIGANI-ATTIBELE-HOSKOTE-40FT 20/12(NICE ROAD PARKING-200/- APPROVED MR SOMBIR)</t>
  </si>
  <si>
    <t>JIGANI(OTIS)LOCAL 18/12</t>
  </si>
  <si>
    <t>JIGANI(OTIS)LOCAL 20/12</t>
  </si>
  <si>
    <t>ELECTRONIC CITY-NELMANGALA-40FT 21/12</t>
  </si>
  <si>
    <t>YESHWANTPUR-EXIDE-JIGANI-40FT 22/12</t>
  </si>
  <si>
    <t>ATTIBELE-HOSKOTE-40FT 22/12</t>
  </si>
  <si>
    <t>PEENYA-HOSKOTE-PEENYA-40FT 22/12</t>
  </si>
  <si>
    <t>HOSKOTE(VOLVO)-EXIDE-JIGANI-40FT 22/12</t>
  </si>
  <si>
    <t>HOSKOTE(VOLVO)-MALUR ROAD-40FT 23/12</t>
  </si>
  <si>
    <t>ATTIBELE-HOSKOTE-40FT 23/12</t>
  </si>
  <si>
    <t>ELECTRONIC CITY-NELMANGALA-40FT 23/12</t>
  </si>
  <si>
    <t>HOSKOTE(VOLVO)-EXIDE-JIGANI-40FT 21/12</t>
  </si>
  <si>
    <t>JIGANI-ATTIBELE-HOSKOTE-40FT 23/12</t>
  </si>
  <si>
    <t>N5450RAMESH ADV</t>
  </si>
  <si>
    <t>NL01N5450</t>
  </si>
  <si>
    <t>N4840RAMESH ADV</t>
  </si>
  <si>
    <t>NL01N4840</t>
  </si>
  <si>
    <t>JIGANI-EXIDE-NELMANGALA-40FT 23/12</t>
  </si>
  <si>
    <t>EXIDE-ABOVE 38 TON-40FT 23/12</t>
  </si>
  <si>
    <t xml:space="preserve">FASTAG CHARGE-40FT </t>
  </si>
  <si>
    <t>ATTIBELE-HOSKOTE-40FT 24/12</t>
  </si>
  <si>
    <t>HOSKOTE-ELECTRONIC CITY-DABASPET-40FT 24/12</t>
  </si>
  <si>
    <t>HOSKOTE-EXIDE-NELMANGLA-40FT 24/12</t>
  </si>
  <si>
    <t>EXIDE-NELMANGALA-40FT 25/12</t>
  </si>
  <si>
    <t>N4884AMESH ADV</t>
  </si>
  <si>
    <t>NL01N4884</t>
  </si>
  <si>
    <t>ATTIBELE-HOSKOTE-40FT 25/12</t>
  </si>
  <si>
    <t>N5455RAMESH ADV</t>
  </si>
  <si>
    <t>NL01N5455</t>
  </si>
  <si>
    <t>JIGANI-ATTIBELE-HOSKOTE-40FT 25/12</t>
  </si>
  <si>
    <t>NELMANGLA-DABASPET-40FT EMPTY 23/12</t>
  </si>
  <si>
    <t>NELMANGALA-JIGANI-40FT (TATA POWER PENDING ADV) 23/12</t>
  </si>
  <si>
    <t>HOSKOTE-EXIDE-JIGANI-40FT 25/12</t>
  </si>
  <si>
    <t>JIGANI(OTIS)-EXIDE-JIGANI-40FT 25/12</t>
  </si>
  <si>
    <t>HOSKOTE(VOLVO)-MALUR ROAD-40FT 26/12</t>
  </si>
  <si>
    <t>HOSKOTE(DHL)-NARSAPURA(CLIMAVENETA)-DOMLUR-40FT 26/12</t>
  </si>
  <si>
    <t>HOSKOTE-EXIDE-NELMANGLA-40FT 26/12</t>
  </si>
  <si>
    <t>EXIDE-ABOVE 38 TON-40FT 26/12</t>
  </si>
  <si>
    <t>JIGANI-ATTIBELE-HOSKOTE-40FT 27/12</t>
  </si>
  <si>
    <t>EXIDE-NELMANGALA-40FT 27/12</t>
  </si>
  <si>
    <t>DOMLUR-EXIDE-JIGANI-40FT 27/12</t>
  </si>
  <si>
    <t>DABASPET-YESWANTPUR-EMPTY-REPAIRING-40FT(200/- NICE ROAD PARKING) 25/12</t>
  </si>
  <si>
    <t>DOMLUR-EXIDE-JIGANI-40FT 28/12</t>
  </si>
  <si>
    <t>N4884RAMESH ADV</t>
  </si>
  <si>
    <t>EXIDE-ABOVE 38 TON-40FT 27/12</t>
  </si>
  <si>
    <t>DOMLUR-EXIDE-NELMANGLA-40FT 27/12</t>
  </si>
  <si>
    <t>DOMLUR-EXIDE-JIGANI-NELMANGLA-40FT 27/12</t>
  </si>
  <si>
    <t>HOSKOTE(VOLVO)-DASANPURA(KENAMETAL)-40FT EMPTY 29/12</t>
  </si>
  <si>
    <t>HOSKOTE(VOLVO)-WHITEFIELD-HOSKOTE(DHL)-40FT 29/12</t>
  </si>
  <si>
    <t>N4839RAMESH ADV</t>
  </si>
  <si>
    <t>NL01N4839</t>
  </si>
  <si>
    <t>NELMANGLA-EXIDE-NELMANGLA-40FT 28/12</t>
  </si>
  <si>
    <t>EXIDE-ABOVE 34 TON-40FT 27/12</t>
  </si>
  <si>
    <t>JIGANI-EXIDE-PEENYA-40FT 28/12</t>
  </si>
  <si>
    <t>EXIDE-JIGANI-ABOVE 38 TON-40FT(200/- NICE ROAD PARKING) 27/12</t>
  </si>
  <si>
    <t>EXIDE-ABOVE 38 TON-40FT 29/12</t>
  </si>
  <si>
    <t>200/- NICE ROAD PARKING 27/12</t>
  </si>
  <si>
    <t>NELMANGLA-HOSKOTE-NELMANGLA-40FT 30/12</t>
  </si>
  <si>
    <t>PEENYA-EXIDE-NELMANGALA-40FT 30/12</t>
  </si>
  <si>
    <t>ELECTRONIC CITY-NELMANGALA-40FT 30/12</t>
  </si>
  <si>
    <t>NELMANGLA-EXIDE-NELMANGLA-40FT 30/12</t>
  </si>
  <si>
    <t>400/- NICE ROAD PARKING 25/12</t>
  </si>
  <si>
    <t>NELMANGALA-JIGANI(OTIS) EMPTY 40FT 29/12</t>
  </si>
  <si>
    <t>NELMANGALA-EXIDE-JIGANI-40FT 28/12</t>
  </si>
  <si>
    <t>HOSKOTE-EXIDE-NELMANGLA-40FT 31/12</t>
  </si>
  <si>
    <t>JIGANI-EXIDE-NELMANGLA-40FT 31/12</t>
  </si>
  <si>
    <t>HOSKOTE(VOLVO)-DASANPURA(KENAMETAL)-NARSAPURA-40FT 29/12</t>
  </si>
  <si>
    <t>HOSKOTE-PEENYA-40FT 31/12</t>
  </si>
  <si>
    <t>EXIDE-ABOVE 38 TON-40FT 30/12</t>
  </si>
  <si>
    <t>EXIDE-ABOVE 34 TON-40FT 30/12</t>
  </si>
  <si>
    <t>EXIDE-ABOVE 38 TON-40FT (700/- EXTRA ADV-DOMLUR) 30/12</t>
  </si>
  <si>
    <t>MALUR-PEENYA-40FT 31/12</t>
  </si>
  <si>
    <t>ELECTRONIC CITY-NELMANGALA-40FT 31/12</t>
  </si>
  <si>
    <t>NELMANGALA-JIGANI(OTIS) EMPTY 40FT 01/01</t>
  </si>
  <si>
    <t>200/- NICE ROAD PARKING 31/12</t>
  </si>
  <si>
    <t>EXIDE 2 POINTS DELIVERY(JIGANI+NELMANGLA)-40FT 30/12</t>
  </si>
  <si>
    <t>NELMANGLA-EXIDE-NELMANGLA-40FT 01/01</t>
  </si>
  <si>
    <t>NELMANGLA-HOSKOTE(VOLVO)-40FT EMPTY 01/01</t>
  </si>
  <si>
    <t>HOSKOTE(VOLVO)-MALUR ROAD-40FT 01/01</t>
  </si>
  <si>
    <t>HOSKOTE(VOLVO)-MALUR ROAD-40FT 02/01</t>
  </si>
  <si>
    <t>PEENYA-HOSKOTE(VOLVO)-40FT EMPTY 01/01</t>
  </si>
  <si>
    <t>MALUR-PEENYA-40FT 02/01</t>
  </si>
  <si>
    <t>HOSKOTE-PEENYA-40FT 02/01</t>
  </si>
  <si>
    <t>MALUR-PEENYA-40FT 03/01</t>
  </si>
  <si>
    <t>NELMANGLA-HOSKOTE(VOLVO)-40FT EMPTY 04/01</t>
  </si>
  <si>
    <t>DABASPET-HOSKOTE(VOLVO)-40FT EMPTY 04/01</t>
  </si>
  <si>
    <t>JIGANI(OTIS)LOCAL 02/01</t>
  </si>
  <si>
    <t>JIGANI(OTIS)LOCAL 03/01</t>
  </si>
  <si>
    <t>HOSKOTE(VOLVO)-MALUR ROAD-40FT 05/01</t>
  </si>
  <si>
    <t>MALUR-PEENYA-40FT 05/01</t>
  </si>
  <si>
    <t>PEENYA-HOSKOTE(VOLVO)-40FT EMPTY 05/01</t>
  </si>
  <si>
    <t>EXIDE-ABOVE 38 TON-40FT 03/01</t>
  </si>
  <si>
    <t>PEENYA-EXIDE-NELMANGLA-40FT 06/01</t>
  </si>
  <si>
    <t>JIGANI(OTIS)LOCAL 05/01</t>
  </si>
  <si>
    <t>HOSKOTE(VOLVO)-MALUR ROAD-40FT 06/01</t>
  </si>
  <si>
    <t>HOSKOTE-PEENYA-40FT 07/01</t>
  </si>
  <si>
    <t>JIGANI(OTIS)LOCAL 06/01</t>
  </si>
  <si>
    <t>EXIDE-ABOVE 38 TON-40FT 06/01</t>
  </si>
  <si>
    <t>NELMANGLA-DABASPET-40FT EMPTY 06/01</t>
  </si>
  <si>
    <t>PEENYA-EXIDE-NELMANGLA-40FT 08/01</t>
  </si>
  <si>
    <t>NELMANGLA-EXIDE-NELMANGLA-40FT 08/01</t>
  </si>
  <si>
    <t>MALUR-PEENYA-40FT 08/01</t>
  </si>
  <si>
    <t>JIGANI(OTIS)LOCAL 23/12</t>
  </si>
  <si>
    <t>200/- NICE ROAD PARKING 08/01</t>
  </si>
  <si>
    <t>EXIDE-ABOVE 38 TON-40FT 08/01</t>
  </si>
  <si>
    <t>JIGANI-ATTIBELE-HOSKOTE-40FT 09/01</t>
  </si>
  <si>
    <t>JIGANI(OTIS)LOCAL 08/01</t>
  </si>
  <si>
    <t>NELMANGALA-JIGANI(OTIS) EMPTY 40FT 10/01</t>
  </si>
  <si>
    <t>EXIDE-ABOVE 38 TON-40FT 09/01</t>
  </si>
  <si>
    <t>JIGANI(OTIS)LOCAL 09/01</t>
  </si>
  <si>
    <t>HOSKOTE(VOLVO)-MALUR ROAD-40FT 10/01</t>
  </si>
  <si>
    <t>ATTIBELE-HOSKOTE-40FT 10/01</t>
  </si>
  <si>
    <t>HOSKOTE-EXIDE-NELMANGLA-40FT 10/01</t>
  </si>
  <si>
    <t>MALUR-PEENYA-40FT 10/01</t>
  </si>
  <si>
    <t>HOSKOTE-PEENYA-40FT 10/01</t>
  </si>
  <si>
    <t>HOSKOTE(VOLVO)-MALUR ROAD-40FT 12/01</t>
  </si>
  <si>
    <t>MALUR-PEENYA-40FT 12/01</t>
  </si>
  <si>
    <t>PEENYA-ATTIBELE-HOSKOTE-40FT 12/01</t>
  </si>
  <si>
    <t>ATTIBELE-HOSKOTE-40FT 12/01</t>
  </si>
  <si>
    <t>JIGANI(OTIS)-EXIDE-NELMANGLA-40FT 11/01</t>
  </si>
  <si>
    <t>EXIDE-ABOVE 34 TON-40FT 11/01</t>
  </si>
  <si>
    <t>NELMANGLA-EXIDE-NELMANGLA-40FT 13/01</t>
  </si>
  <si>
    <t>HOSKOTE(VOLVO)-MALUR ROAD-40FT 13/01</t>
  </si>
  <si>
    <t>MALUR-PEENYA-40FT 13/01</t>
  </si>
  <si>
    <t>ATTIBELE-HOSKOTE-40FT 13/01</t>
  </si>
  <si>
    <t>PEENYA-ATTIBELE-HOSKOTE-40FT 13/01</t>
  </si>
  <si>
    <t>HOSKOTE(VOLVO)-MALUR ROAD-40FT 14/01</t>
  </si>
  <si>
    <t>EXIDE-ABOVE 38 TON-40FT 13/01</t>
  </si>
  <si>
    <t>MALUR-PEENYA-40FT 15/01</t>
  </si>
  <si>
    <t>200/- NICE ROAD PARKING 15/01</t>
  </si>
  <si>
    <t>HOSKOTE-PEENYA-40FT 16/01</t>
  </si>
  <si>
    <t>NELMANGLA-ATTIBELE-HOSKOTE-40FT 16/01</t>
  </si>
  <si>
    <t>PEENYA-ATTIBELE-HOSKOTE-40FT 16/01</t>
  </si>
  <si>
    <t>NELMANGLA-KRISHNAGIRI-HINDUPUR-40FT 154KM 14/01</t>
  </si>
  <si>
    <t>NELMANGLA-KRISHNAGIRI-HINDUPUR-40FT 350KM(CASH-1500/-) 14/01</t>
  </si>
  <si>
    <t>200/- NICE ROAD PARKING 16/01</t>
  </si>
  <si>
    <t>PEENYA-ATTIBELE-HOSKOTE-40FT 17/01</t>
  </si>
  <si>
    <t>NELMANGALA-ATTIBELE-HOSKOTE-40FT 17/01</t>
  </si>
  <si>
    <t>NELMANGALA-WHITEFIELD-HOSKOTE(DHL)-40FT 15/01</t>
  </si>
  <si>
    <t>NELMANGALA-MALUR-PEENYA-40FT 17/01</t>
  </si>
  <si>
    <t>MD ABID KHAN</t>
  </si>
  <si>
    <t>SBIN0010776</t>
  </si>
  <si>
    <t>JIGANI(OTIS)LOCAL 16/01</t>
  </si>
  <si>
    <t>DABASPET-EXIDE-NELMANGALA-40FT 17/01</t>
  </si>
  <si>
    <t>HOSKOTE-JIGANI(OTIS) EMPTY 40FT 19/01</t>
  </si>
  <si>
    <t>ATTIBELE-HOSKOTE-40FT 19/01</t>
  </si>
  <si>
    <t>HOSKOTE(VOLVO)-HOSKOTE(FERRUM)-40FT 19/01</t>
  </si>
  <si>
    <t>HOSKOTE-ELECTRONIC CITY-DABASPET-40FT 19/01</t>
  </si>
  <si>
    <t>HOSKOTE(VOLVO)-WHITEFIELD-HOSKOTE(DHL)-40FT 19/01</t>
  </si>
  <si>
    <t>JIGANI(OTIS)LOCAL 19/01</t>
  </si>
  <si>
    <t>MALUR-PEENYA-40FT 20/01</t>
  </si>
  <si>
    <t>HOSKOTE-EXIDE-NELMANGALA-40FT 20/01</t>
  </si>
  <si>
    <t>NELMANGALA-EXIDE-NELMANGALA-40FT 20/01</t>
  </si>
  <si>
    <t>ATTIBELE-HOSKOTE-40FT 20/01</t>
  </si>
  <si>
    <t>JIGANI(OTIS)LOCAL 20/01</t>
  </si>
  <si>
    <t>HOSKOTE-JIGANI(OTIS) EMPTY 40FT 21/01</t>
  </si>
  <si>
    <t>JIGANI-ATTIBELE-HOSKOTE-40FT 20/01</t>
  </si>
  <si>
    <t>ATTIBELE-HOSKOTE-40FT 21/01</t>
  </si>
  <si>
    <t>HOSKOTE(VOLVO)-MALUR ROAD-40FT 21/01</t>
  </si>
  <si>
    <t>JIGANI(OTIS)LOCAL 21/01</t>
  </si>
  <si>
    <t>EXIDE-ABOVE 38 TON-40FT 21/01</t>
  </si>
  <si>
    <t>NELMANGALA-EXIDE-NELMANGALA-40FT 22/01</t>
  </si>
  <si>
    <t>MALUR-PEENYA-40FT 22/01</t>
  </si>
  <si>
    <t>PEENYA-DABASPET-HOSKOTE-40FT 22/01</t>
  </si>
  <si>
    <t>HOSKOTE-DABASPET-HOSKOTE-40FT 22/01</t>
  </si>
  <si>
    <t>JIGANI-ATTIBELE-HOSKOTE-40FT 22/01</t>
  </si>
  <si>
    <t>ATTIBELE-HOSKOTE-40FT 22/01</t>
  </si>
  <si>
    <t>DABASPET-EXIDE-NELMANGALA-PEENYA-40FT 193KM 17/01</t>
  </si>
  <si>
    <t>EXIDE-ABOVE 38 TON-40FT 22/01</t>
  </si>
  <si>
    <t>PEENYA-EXIDE-NELMANGALA-40FT 23/01</t>
  </si>
  <si>
    <t>200/- NICE ROAD PARKING 23/01</t>
  </si>
  <si>
    <t>FASTAG CHARGE 23/01</t>
  </si>
  <si>
    <t>NELMANGALA-WHITEFIELD-HOSKOTE(DHL)-40FT 23/01</t>
  </si>
  <si>
    <t>HOSKOTE(VOLVO)-WHITEFIELD-HOSKOTE(DHL)-40FT 23/01</t>
  </si>
  <si>
    <t>HOSKOTE(VOLVO)-MALUR ROAD-40FT 23/01</t>
  </si>
  <si>
    <t>MALUR-PEENYA-40FT 23/01</t>
  </si>
  <si>
    <t>PEENYA-ATTIBELE-HOSKOTE-40FT 24/01</t>
  </si>
  <si>
    <t>EXIDE-ABOVE 38 TON-40FT 23/01</t>
  </si>
  <si>
    <t>MALUR-PEENYA-40FT 27/01</t>
  </si>
  <si>
    <t>ATTIBELE-HOSKOTE-40FT 27/01</t>
  </si>
  <si>
    <t>HOSKOTE-KRISHNAGIRI-HINDUPUR-40FT  27/01</t>
  </si>
  <si>
    <t>HOSKOTE-EXIDE-NELMANGALA-40FT 27/01</t>
  </si>
  <si>
    <t>PEENYA-EXIDE-NELMANGALA-40FT 27/01</t>
  </si>
  <si>
    <t>FASTAG CHARGE 27/01</t>
  </si>
  <si>
    <t>HOSKOTE-ELECTRONIC CITY-DABASPET-40FT 28/01</t>
  </si>
  <si>
    <t>HOSKOTE(VOLVO)-MALUR ROAD-40FT 28/01</t>
  </si>
  <si>
    <t>MALUR-PEENYA-40FT 28/01</t>
  </si>
  <si>
    <t>ATTIBELE-HOSKOTE-40FT 29/01</t>
  </si>
  <si>
    <t>EXIDE-ABOVE 38 TON-40FT 28/01</t>
  </si>
  <si>
    <t>HOSKOTE(VOLVO)-MALUR ROAD-40FT 29/01</t>
  </si>
  <si>
    <t>MALUR-PEENYA-40FT 29/01</t>
  </si>
  <si>
    <t>NELMANGLA-JIGANI(TATA POWER)-40FT 29/01</t>
  </si>
  <si>
    <t>HOSKOTE(VOLVO)-MALUR ROAD-40FT 30/01</t>
  </si>
  <si>
    <t>HOSKOTE-EXIDE-NELMANGALA-40FT 30/01</t>
  </si>
  <si>
    <t>NELMANGALA-EXIDE-NELMANGALA-40FT 30/01</t>
  </si>
  <si>
    <t>HOSKOTE-EXIDE-NELMANGALA-40FT 31/01</t>
  </si>
  <si>
    <t>MALUR-PEENYA-40FT 31/01</t>
  </si>
  <si>
    <t>ATTIBELE-HOSKOTE-40FT 31/01</t>
  </si>
  <si>
    <t>NICE ROAD PARKING 29-30/01</t>
  </si>
  <si>
    <t>FASTAG CHARGE 31/01</t>
  </si>
  <si>
    <t>JIGANI(OTIS)LOCAL 30/01</t>
  </si>
  <si>
    <t>JIGANI(OTIS)LOCAL 31/01</t>
  </si>
  <si>
    <t>EXIDE-ABOVE 38 TON-40FT 31/01</t>
  </si>
  <si>
    <t>ATTIBELE-HOSKOTE-40FT 02/02</t>
  </si>
  <si>
    <t>HOSKOTE(VOLVO)-MALUR ROAD-40FT 02/02</t>
  </si>
  <si>
    <t>PEENYA-ATTIBELE-HOSKOTE-40FT 02/02</t>
  </si>
  <si>
    <t>HOSKOTE-EXIDE-NELMANGALA-40FT 02/02</t>
  </si>
  <si>
    <t>JIGANI(OTIS)LOCAL 02/02</t>
  </si>
  <si>
    <t>ATTIBELE-HOSKOTE-40FT 03/02</t>
  </si>
  <si>
    <t>JIGANI(OTIS)LOCAL 03/02</t>
  </si>
  <si>
    <t>HOSKOTE-JIGANI(OTIS) EMPTY 40FT 04/02</t>
  </si>
  <si>
    <t>HOSKOTE-EXIDE-NELMANGALA-40FT 04/02</t>
  </si>
  <si>
    <t>EXIDE-ABOVE 38 TON-40FT 03/02</t>
  </si>
  <si>
    <t>SARJAPURA-ATTIBELE-HOSKOTE-04/02 / EXIDE-ABOVE 34 TON-40FT 31/01</t>
  </si>
  <si>
    <t>SARJAPURA-ATTIBELE-HOSKOTE-04/02 / EXIDE-ABOVE 38 TON-40FT 31/01</t>
  </si>
  <si>
    <t>HOSKOTE(VOLVO)-WHITEFIELD-HOSKOTE(DHL)-40FT 05/02</t>
  </si>
  <si>
    <t>PEENYA-ATTIBELE-HOSKOTE-40FT 05/02</t>
  </si>
  <si>
    <t>MALUR-PEENYA-40FT 05/02</t>
  </si>
  <si>
    <t>HOSKOTE-PEENYA-40FT 05/02</t>
  </si>
  <si>
    <t>HOSKOTE(VOLVO)-MALUR ROAD-40FT 05/02</t>
  </si>
  <si>
    <t>JIGANI(OTIS)LOCAL 04/02</t>
  </si>
  <si>
    <t>JIGANI(OTIS)LOCAL 05/02</t>
  </si>
  <si>
    <t>EXIDE-ABOVE 38 TON-40FT 04/02</t>
  </si>
  <si>
    <t>JIGANI-ATTIBELE-HOSKOTE-40FT 05/02</t>
  </si>
  <si>
    <t>NELMANGALA-WHITEFIELD-HOSKOTE(DHL)-40FT 05/02</t>
  </si>
  <si>
    <t>FASTAG CHARGE 04/02</t>
  </si>
  <si>
    <t>FASTAG CHARGE 05/02</t>
  </si>
  <si>
    <t>MALUR-PEENYA-40FT 06/02</t>
  </si>
  <si>
    <t>WHITEFIELD-HOSKOTE(DHL)-WHITEFIELD-40FT 06/02</t>
  </si>
  <si>
    <t>WHITEFIELD-HOSKOTE(DHL)-WHITEFIELD-40FT 07/02</t>
  </si>
  <si>
    <t>NELMANGALA-EXIDE-NELMANGALA-40FT 07/02</t>
  </si>
  <si>
    <t>MALUR-PEENYA-40FT 07/02</t>
  </si>
  <si>
    <t>NICE ROAD PARKING 02-03/02</t>
  </si>
  <si>
    <t>HOSKOTE-JIGANI(OTIS) EMPTY 40FT 09/02</t>
  </si>
  <si>
    <t>PEENYA-ATTIBELE-HOSKOTE-40FT 09/02</t>
  </si>
  <si>
    <t>ATTIBELE-HOSKOTE-40FT 09/02</t>
  </si>
  <si>
    <t>MALUR-PEENYA-40FT 09/02</t>
  </si>
  <si>
    <t>EXIDE-ABOVE 38 TON-40FT 08/02</t>
  </si>
  <si>
    <t>EXIDE-ABOVE 38 TON-40FT 09/02</t>
  </si>
  <si>
    <t>ATTIBELE-HOSKOTE-40FT 09/02 (PARKING-200/- 23/01)</t>
  </si>
  <si>
    <t>HOSKOTE-PEENYA-40FT 09/02 (PARKING-200/- 29/30-01)</t>
  </si>
  <si>
    <t>HOSKOTE(VOLVO)-MALUR ROAD-40FT 10/02</t>
  </si>
  <si>
    <t>PEENYA-ATTIBELE-HOSKOTE-40FT 10/02</t>
  </si>
  <si>
    <t>ATTIBELE-HOSKOTE-40FT 10/02</t>
  </si>
  <si>
    <t>HOSKOTE(VOLVO)-MALUR ROAD-40FT 11/02</t>
  </si>
  <si>
    <t>MALUR-PEENYA-40FT 11/02</t>
  </si>
  <si>
    <t>JIGANI(OTIS)LOCAL 10/02</t>
  </si>
  <si>
    <t>JIGANI-EXIDE-NELMANGLA-40FT 11/02</t>
  </si>
  <si>
    <t>EXIDE-ABOVE 38 TON-40FT 10/02</t>
  </si>
  <si>
    <t>ATTIBELE-HOSKOTE-40FT 12/02</t>
  </si>
  <si>
    <t>MALUR-PEENYA-40FT 12/02</t>
  </si>
  <si>
    <t>HOSKOTE-KRISHNAGIRI-HINDUPUR-HOSKOTE-40FT  12/02</t>
  </si>
  <si>
    <t>JIGANI(OTIS)LOCAL 11/02</t>
  </si>
  <si>
    <t>ATTIBELE-HOSKOTE-40FT 13/02</t>
  </si>
  <si>
    <t>ATTIBELE-HOSKOTE-40FT 14/02</t>
  </si>
  <si>
    <t>MALUR-PEENYA-40FT 14/02</t>
  </si>
  <si>
    <t>JIGANI(OTIS)LOCAL 13/02</t>
  </si>
  <si>
    <t>JIGANI(OTIS)LOCAL 14/02</t>
  </si>
  <si>
    <t>EXIDE-ABOVE 38 TON-40FT 14/02</t>
  </si>
  <si>
    <t>HOSKOTE(VOLVO)-WHITEFIELD-HOSKOTE(DHL)-40FT 17/02</t>
  </si>
  <si>
    <t>MALUR-PEENYA-40FT 17/02</t>
  </si>
  <si>
    <t>HOSKOTE-PEENYA-40FT 17/02</t>
  </si>
  <si>
    <t>HOSKOTE(VOLVO)-MALUR ROAD-40FT(RTO-300/- APPROVED BY MR NITIN JAIN) 17/02</t>
  </si>
  <si>
    <t>HOSKOTE(VOLVO)-MALUR ROAD-40FT 17/02</t>
  </si>
  <si>
    <t>MALUR-PEENYA-40FT 18/02</t>
  </si>
  <si>
    <t>HOSKOTE(VOLVO)-WHITEFIELD-HOSKOTE(DHL)-40FT 18/02</t>
  </si>
  <si>
    <t>HOSKOTE-EXIDE-NELMANGALA-40FT 19/02</t>
  </si>
  <si>
    <t>PEENYA-EXIDE-NELMANGALA-40FT 19/02</t>
  </si>
  <si>
    <t>PEENYA-ELECTRONIC CITY-DABASPET-40FT 19/02</t>
  </si>
  <si>
    <t>EXIDE-ABOVE 38 TON-40FT 19/02</t>
  </si>
  <si>
    <t>NELMANGLA-HOSKOTE(VOLVO)-40FT EMPTY 20/02</t>
  </si>
  <si>
    <t>WHITEFIELD-HOSKOTE(VOLVO)-40FT EMPTY 20/02</t>
  </si>
  <si>
    <t>PEENYA-ELECTRONIC CITY-DABASPET-40FT 20/02</t>
  </si>
  <si>
    <t>HOSKOTE(VOLVO)-MALUR ROAD-40FT 20/02</t>
  </si>
  <si>
    <t>MALUR-PEENYA-40FT 20/02</t>
  </si>
  <si>
    <t>HOSKOTE-PEENYA-40FT 20/02</t>
  </si>
  <si>
    <t>EXIDE-ABOVE 38 TON-40FT 20/02</t>
  </si>
  <si>
    <t>MALUR-PEENYA-40FT 21/02</t>
  </si>
  <si>
    <t>JIGANI-ATTIBELE-HOSKOTE-40FT 21/02</t>
  </si>
  <si>
    <t>ATTIBELE-HOSKOTE-40FT 21/02</t>
  </si>
  <si>
    <t>JIGANI(OTIS)LOCAL 20/02</t>
  </si>
  <si>
    <t>NELMANGALA-HOSKOTE-PEENYA-40FT 21/02</t>
  </si>
  <si>
    <t>ATTIBELE-HOSKOTE-40FT 23/02</t>
  </si>
  <si>
    <t>MALUR-PEENYA-40FT 23/02</t>
  </si>
  <si>
    <t>PEENYA-NELMANGALA-REPAIRING(BHARATBENZ)-40FT 19/02</t>
  </si>
  <si>
    <t>EXIDE-ABOVE 38 TON-40FT 21/02</t>
  </si>
  <si>
    <t>PEENYA-ATTIBELE-HOSKOTE-40FT 23/02</t>
  </si>
  <si>
    <t>ATTIBELE-HOSKOTE-40FT 24/02</t>
  </si>
  <si>
    <t>HOSKOTE(VOLVO)-MALUR ROAD-40FT 24/02</t>
  </si>
  <si>
    <t>MALUR-PEENYA-40FT 24/02</t>
  </si>
  <si>
    <t>HOSKOTE-EXIDE-NELMANGALA-40FT 24/02</t>
  </si>
  <si>
    <t>PEENYA-EXIDE-NELMANGALA-40FT 24/02</t>
  </si>
  <si>
    <t>HOSKOTE(VOLVO)-MALUR ROAD-40FT 25/02</t>
  </si>
  <si>
    <t>ATTIBELE-HOSKOTE-40FT 25/02</t>
  </si>
  <si>
    <t>ATTIBELE-HOSKOTE-40FT 26/02</t>
  </si>
  <si>
    <t>HOSKOTE-JIGANI(OTIS) EMPTY 40FT 26/02</t>
  </si>
  <si>
    <t>MALUR-PEENYA-40FT 26/02</t>
  </si>
  <si>
    <t>EXIDE-ABOVE 38 TON-40FT 25/02</t>
  </si>
  <si>
    <t>NELMANGALA(EXIDE)-DABASPET(TATA POWER)-JIGANI-40FT 26/02</t>
  </si>
  <si>
    <t>HOSKOTE(VOLVO)-MALUR ROAD-40FT 27/02</t>
  </si>
  <si>
    <t>JIGANI(OTIS)LOCAL 26/02</t>
  </si>
  <si>
    <t>MALUR-PEENYA-40FT 28/02</t>
  </si>
  <si>
    <t>JIGANI(OTIS)LOCAL 27/02</t>
  </si>
  <si>
    <t>JIGANI-ATTIBELE-HOSKOTE-40FT 28/02</t>
  </si>
  <si>
    <t>ATTIBELE-HOSKOTE-40FT 28/02</t>
  </si>
  <si>
    <t>PEENYA-ATTIBELE-HOSKOTE-40FT 28/02</t>
  </si>
  <si>
    <t>HOSKOTE-PEENYA-40FT 28/02</t>
  </si>
  <si>
    <t>C2516RAMESH ADV</t>
  </si>
  <si>
    <t>HR47C2516</t>
  </si>
  <si>
    <t>HOSKOTE-EXIDE-NELMANGALA-40FT 28/02</t>
  </si>
  <si>
    <t>JIGANI(OTIS)LOCAL 28/02</t>
  </si>
  <si>
    <t>ATTIBELE-HOSKOTE-40FT 02/03</t>
  </si>
  <si>
    <t>NELMANGALA-WHITEFIELD-HOSKOTE(DHL)-40FT 02/03</t>
  </si>
  <si>
    <t>HOSKOTE(VOLVO)-MALUR ROAD-40FT 02/03</t>
  </si>
  <si>
    <t>MALUR-PEENYA-40FT 02/03</t>
  </si>
  <si>
    <t>PEENYA-JIGANI(OTIS) EMPTY 40FT 03/03</t>
  </si>
  <si>
    <t>HOSKOTE-PEENYA-40FT 03/03</t>
  </si>
  <si>
    <t>MALUR-PEENYA-40FT 03/03</t>
  </si>
  <si>
    <t>HOSKOTE-EXIDE-NELMANGALA-40FT 03/03</t>
  </si>
  <si>
    <t>PEENYA-EXIDE-NELMANGALA-40FT 03/03</t>
  </si>
  <si>
    <t>ATTIBELE-HOSKOTE-40FT 03/03</t>
  </si>
  <si>
    <t>HOSKOTE-ATTIBELE-40FT 03/03</t>
  </si>
  <si>
    <t>EXIDE-ABOVE 38 TON-40FT 03/03</t>
  </si>
  <si>
    <t>PEENYA-EXIDE-NELMANGALA-40FT 04/03</t>
  </si>
  <si>
    <t>HOSKOTE(VOLVO)-MALUR ROAD-40FT 04/03</t>
  </si>
  <si>
    <t>PEENYA-ATTIBELE-HOSKOTE-40FT 04/03</t>
  </si>
  <si>
    <t>ATTIBELE-HOSKOTE-40FT 04/03</t>
  </si>
  <si>
    <t>JIGANI(OTIS)LOCAL 03/03</t>
  </si>
  <si>
    <t>JIGANI(OTIS)LOCAL 04/03</t>
  </si>
  <si>
    <t>ATTIBELE-HOSKOTE-40FT 05/03</t>
  </si>
  <si>
    <t>HOSKOTE-KRISHNAGIRI-HINDUPUR-HOSKOTE-40FT  05/03</t>
  </si>
  <si>
    <t>PEENYA-ATTIBELE-HOSKOTE-40FT 05/03</t>
  </si>
  <si>
    <t>NICE ROAD PARKING 04/03</t>
  </si>
  <si>
    <t>JIGANI(OTIS)LOCAL 05/03</t>
  </si>
  <si>
    <t>HOSKOTE-EXIDE-NELMANGALA-40FT 06/03</t>
  </si>
  <si>
    <t>HOSKOTE(VOLVO)-MALUR ROAD-40FT 06/03</t>
  </si>
  <si>
    <t>MALUR-PEENYA-40FT 06/03</t>
  </si>
  <si>
    <t>ATTIBELE-HOSKOTE-40FT 06/03</t>
  </si>
  <si>
    <t>NICE ROAD PARKING 05/03</t>
  </si>
  <si>
    <t>MALUR-PEENYA-40FT 07/03</t>
  </si>
  <si>
    <t>EXIDE-ABOVE 38 TON-40FT 05/03</t>
  </si>
  <si>
    <t>PEENYA-KRISHNAGIRI-HINDUPUR-HOSKOTE-40FT  07/03</t>
  </si>
  <si>
    <t>EXIDE-ABOVE 38 TON-40FT 07/03</t>
  </si>
  <si>
    <t>TATA POWER-HOSUR BORDER- APPROVED BY NITIN JI</t>
  </si>
  <si>
    <t>JIGANI(OTIS)LOCAL 06/03</t>
  </si>
  <si>
    <t>PEENYA-WHITEFIELD-HOSKOTE(DHL)-40FT 09/03</t>
  </si>
  <si>
    <t>ATTIBELE-HOSKOTE-40FT 09/03</t>
  </si>
  <si>
    <t>MALUR-PEENYA-40FT 07/01</t>
  </si>
  <si>
    <t>PEENYA-DABASPET(TATA POWER)-JIGANI-40FT 09/03</t>
  </si>
  <si>
    <t>HOSKOTE(VOLVO)-MALUR ROAD-40FT 09/03</t>
  </si>
  <si>
    <t>MALUR-PEENYA-40FT 09/03</t>
  </si>
  <si>
    <t>KRISHNAGIRI-HINDUPUR-BORDER-40FT  07/03</t>
  </si>
  <si>
    <t>MALUR-PEENYA-40FT 10/03</t>
  </si>
  <si>
    <t>HOSKOTE-WHITEFIELD-HOSKOTE(DHL)-40FT 09/03</t>
  </si>
  <si>
    <t>HOSKOTE(VOLVO)-MALUR ROAD-40FT 10/03</t>
  </si>
  <si>
    <t>NICE ROAD PARKING 09/03</t>
  </si>
  <si>
    <t>JIGANI(TATA POWER)-DABASPET-JIGANI-40FT 10/03</t>
  </si>
  <si>
    <t>HOSKOTE(VOLVO)-WHITEFIELD-HOSKOTE(DHL)-40FT 11/03</t>
  </si>
  <si>
    <t>MALUR-PEENYA-40FT 11/03</t>
  </si>
  <si>
    <t>MAHIMAPURA(TATA POWER)-MINNAPURA-40FT 11/03</t>
  </si>
  <si>
    <t>JIGANI(OTIS)LOCAL 09/03</t>
  </si>
  <si>
    <t>MAHIMAPURA(TATA POWER)-MINNAPURA-40FT 12/03</t>
  </si>
  <si>
    <t>HOSKOTE-PEENYA-40FT 12/03</t>
  </si>
  <si>
    <t>HOSKOTE(VOLVO)-MALUR ROAD-40FT 12/03</t>
  </si>
  <si>
    <t>MALUR-PEENYA-40FT 12/03</t>
  </si>
  <si>
    <t>WITHOUT UNIFORM FINE-40FT 11/03 (MR ANKIT APPROVED)</t>
  </si>
  <si>
    <t>JIGANI(OTIS)LOCAL 12/03</t>
  </si>
  <si>
    <t>MALUR-PEENYA-40FT 13/03</t>
  </si>
  <si>
    <t>MAHIMAPURA(TATA POWER)-MINNAPURA-40FT 13/03</t>
  </si>
  <si>
    <t>HOSKOTE(VOLVO)-FERRUM-40FT 14/03</t>
  </si>
  <si>
    <t>ATTIBELE-HOSKOTE-40FT 14/03</t>
  </si>
  <si>
    <t>PEENYA-ATTIBELE-HOSKOTE-40FT 14/03</t>
  </si>
  <si>
    <t>JIGANI(OTIS)LOCAL 13/03</t>
  </si>
  <si>
    <t>MAHIMAPURA(TATA POWER)-MINNAPURA-40FT 14/03</t>
  </si>
  <si>
    <t>MALUR-PEENYA-40FT 14/03</t>
  </si>
  <si>
    <t>NELMANGALA-EXIDE-NELMANGALA-40FT 14/03</t>
  </si>
  <si>
    <t>HOSKOTE(VOLVO)-MALUR ROAD-40FT 16/03</t>
  </si>
  <si>
    <t>HOSKOTE-WHITEFIELD(BREAKDOWN)-MALUR-PEENYA-40FT 16/03</t>
  </si>
  <si>
    <t>HOSKOTE-EXIDE-NELMANGALA-40FT 16/03</t>
  </si>
  <si>
    <t>EXIDE-ABOVE 38 TON-40FT 15/03</t>
  </si>
  <si>
    <t>EXIDE-ABOVE 38 TON-40FT 16/03</t>
  </si>
  <si>
    <t>MAHIMAPURA(TATA POWER)-MINNAPURA-40FT 16/03</t>
  </si>
  <si>
    <t>MALUR-PEENYA-40FT 17/03</t>
  </si>
  <si>
    <t>MAHIMAPURA(TATA POWER)-MINNAPURA-40FT 17/03</t>
  </si>
  <si>
    <t>HOSKOTE-JIGANI(OTIS) EMPTY 40FT 18/03</t>
  </si>
  <si>
    <t>HOSKOTE(VOLVO)-MALUR ROAD-40FT 18/03</t>
  </si>
  <si>
    <t>HOSKOTE-EXIDE-NELMANGALA-40FT 18/03</t>
  </si>
  <si>
    <t>HOSKOTE-EXIDE-NELMANGALA-40FT 18/03 (PENDING-650/-)</t>
  </si>
  <si>
    <t>PEENYA-ATTIBELE-HOSKOTE-40FT 18/03</t>
  </si>
  <si>
    <t>ATTIBELE-HOSKOTE-40FT 18/03</t>
  </si>
  <si>
    <t>EXIDE-ABOVE 38 TON-40FT 17/03</t>
  </si>
  <si>
    <t>JIGANI(OTIS)LOCAL 18/03</t>
  </si>
  <si>
    <t>JIGANI-EXIDE-NELMANGLA-40FT 18/03</t>
  </si>
  <si>
    <t>JIGANI-EXIDE-NELMANGLA-40FT 04/02</t>
  </si>
  <si>
    <t>MAHIMAPURA(TATA POWER)-MINNAPURA-40FT 18/03</t>
  </si>
  <si>
    <t>EXIDE-ABOVE 38 TON-40FT 18/03</t>
  </si>
  <si>
    <t>EXIDE-ABOVE 38 TON-40FT 19/03</t>
  </si>
  <si>
    <t>HOSKOTE-PEENYA-40FT 20/03</t>
  </si>
  <si>
    <t>MALUR-PEENYA-40FT 20/03</t>
  </si>
  <si>
    <t>EXIDE-ABOVE 38 TON-40FT 20/03</t>
  </si>
  <si>
    <t>HOSKOTE-DABASPET-HOSKOTE-40FT 21/03</t>
  </si>
  <si>
    <t>MALUR-PEENYA-40FT 21/03</t>
  </si>
  <si>
    <t>NELMANGALA(EXIDE)-MAHIMAPURA(TATA POWER)-MINNAPURA-40FT 20/03</t>
  </si>
  <si>
    <t>MAHIMAPURA(TATA POWER)-MINNAPURA-40FT 22/03</t>
  </si>
  <si>
    <t>EXIDE-ABOVE 34 TON-40FT 22/03</t>
  </si>
  <si>
    <t>HOSKOTE(VOLVO)-MALUR ROAD-40FT 23/03</t>
  </si>
  <si>
    <t>MALUR-PEENYA-40FT 23/03</t>
  </si>
  <si>
    <t>HOSKOTE-DABASPET-HOSKOTE-40FT 23/03</t>
  </si>
  <si>
    <t>ATTIBELE-HOSKOTE-40FT 23/03</t>
  </si>
  <si>
    <t>HOSKOTE-EXIDE-NELMANGALA-40FT 23/03</t>
  </si>
  <si>
    <t>PEENYA-EXIDE-NELMANGLA-40FT 22/03</t>
  </si>
  <si>
    <t>HOSKOTE(VOLVO)-MALUR ROAD-40FT 24/03</t>
  </si>
  <si>
    <t>MALUR-PEENYA-40FT 24/03</t>
  </si>
  <si>
    <t>MAHIMAPURA(TATA POWER)-MINNAPURA-40FT 23/03</t>
  </si>
  <si>
    <t>HOSKOTE-EXIDE-NELMANGALA-40FT 24/03</t>
  </si>
  <si>
    <t>DABASPET-JIGANI(OTIS) EMPTY 40FT 24/03</t>
  </si>
  <si>
    <t>PEENYA-DABASPET-HOSKOTE-40FT 24/03</t>
  </si>
  <si>
    <t>MAHIMAPURA(TATA POWER)-MINNAPURA-40FT 24/03</t>
  </si>
  <si>
    <t>PEENYA-ATTIBELE-HOSKOTE-40FT 25/03</t>
  </si>
  <si>
    <t>JIGANI(OTIS)LOCAL 24/03</t>
  </si>
  <si>
    <t>JIGANI-EXIDE-NELMANGLA-40FT 25/03</t>
  </si>
  <si>
    <t>HOSKOTE(VOLVO)-MALUR ROAD-40FT 25/03</t>
  </si>
  <si>
    <t>HOSKOTE(VOLVO)-WHITEFIELD-HOSKOTE(DHL)-40FT 25/03</t>
  </si>
  <si>
    <t>MAHIMAPURA(TATA POWER)-MINNAPURA-40FT 25/03</t>
  </si>
  <si>
    <t>NELMANGALA(TATA POWER)-JIGANI-40FT 25/03</t>
  </si>
  <si>
    <t>NELMANGALA(EXIDE)-PEENYA-40FT 24/03</t>
  </si>
  <si>
    <t>HOSKOTE(VOLVO)-MALUR ROAD-40FT 26/03</t>
  </si>
  <si>
    <t>HOSKOTE-DABASPET-HOSKOTE-40FT 26/03</t>
  </si>
  <si>
    <t>NELMANGALA(TATA POWER)-JIGANI-40FT 26/03</t>
  </si>
  <si>
    <t>EXIDE-ABOVE 38 TON-40FT 25/03</t>
  </si>
  <si>
    <t>NELMANGALA(EXIDE)-MAHIMAPURA / ATTIBELE-HOSKOTE-40FT 26/03</t>
  </si>
  <si>
    <t>HOSKOTE-PEENYA-40FT 27/03</t>
  </si>
  <si>
    <t>HOSKOTE-DABASPET-HOSKOTE-40FT 27/03</t>
  </si>
  <si>
    <t>MALUR-PEENYA-40FT 27/03</t>
  </si>
  <si>
    <t>PEENYA-ATTIBELE-HOSKOTE-40FT 27/03</t>
  </si>
  <si>
    <t>ATTIBELE-HOSKOTE-40FT 27/03</t>
  </si>
  <si>
    <t>HOSKOTE(VOLVO)-MALUR ROAD-40FT 27/03</t>
  </si>
  <si>
    <t>MAHIMAPURA(TATA POWER)-MINNAPURA-40FT 26/03</t>
  </si>
  <si>
    <t>MAHIMAPURA(TATA POWER)-MINNAPURA-40FT 27/03</t>
  </si>
  <si>
    <t>HOSKOTE(DHL)-WHITEFIELD-HOSKOTE(DHL)-40FT 28/03</t>
  </si>
  <si>
    <t>HOSKOTE-DABASPET-HOSKOTE-40FT 28/03</t>
  </si>
  <si>
    <t>ATTIBELE-HOSKOTE-40FT 28/03</t>
  </si>
  <si>
    <t>PEENYA-ATTIBELE-HOSKOTE-40FT 28/03</t>
  </si>
  <si>
    <t>MALUR-PEENYA-40FT 28/03</t>
  </si>
  <si>
    <t>EXIDE-ABOVE 38 TON-40FT 28/03</t>
  </si>
  <si>
    <t>MAHIMAPURA(TATA POWER)-MINNAPURA-40FT 28/03</t>
  </si>
  <si>
    <t>MAHIMAPURA(TATA POWER)-MINNAPURA-40FT 29/03</t>
  </si>
  <si>
    <t>HOSKOTE-DABASPET-HOSKOTE-40FT 30/03</t>
  </si>
  <si>
    <t>PEENYA-ATTIBELE-HOSKOTE-40FT 30/03</t>
  </si>
  <si>
    <t>ATTIBELE-HOSKOTE-40FT 30/03</t>
  </si>
  <si>
    <t>MAHIMAPURA(TATA POWER)-MINNAPURA-40FT 30/03</t>
  </si>
  <si>
    <t>HOSKOTE(VOLVO)-MALUR ROAD-40FT 31/03</t>
  </si>
  <si>
    <t>HOSKOTE-PEENYA-40FT 31/03</t>
  </si>
  <si>
    <t>MALUR-PEENYA-40FT 31/03</t>
  </si>
  <si>
    <t>HOSKOTE-JIGANI(OTIS) EMPTY 40FT 31/03</t>
  </si>
  <si>
    <t>HOSKOTE-EXIDE-NELMANGALA-40FT 31/03</t>
  </si>
  <si>
    <t>NELMANGALA-EXIDE-NELMANGALA-40FT 31/03</t>
  </si>
  <si>
    <t>MAHIMAPURA(TATA POWER)-MINNAPURA-40FT 31/03</t>
  </si>
  <si>
    <t>MALUR-PEENYA-40FT 01/04</t>
  </si>
  <si>
    <t>JIGANI(TATA POWER)-NELMANGALA-40FT 01/04</t>
  </si>
  <si>
    <t>JIGANI(OTIS)LOCAL 31/03</t>
  </si>
  <si>
    <t>PEENYA-NELMANGALA(TATA POWER)-BUDIGERE CROSS-40FT 01/04</t>
  </si>
  <si>
    <t>DABASPET-NARSAPURA(CLIMAVENETA)-HOSKOTE(VOLVO)-40FT 02/04</t>
  </si>
  <si>
    <t>DABASPET-NARSAPURA(CLIMAVENETA)-NAGAVARA-DABASPET-40FT 30/03</t>
  </si>
  <si>
    <t>HOSKOTE(VOLVO)-NARSAPURA(CLIMAVENETA)-BANGALORE-40FT 30/03</t>
  </si>
  <si>
    <t>DABASPET-NARSAPURA(CLIMAVENETA)-BANGALORE-40FT 30/03</t>
  </si>
  <si>
    <t>HOSKOTE(VOLVO)-NARSAPURA(CLIMAVENETA)-HOSKOTE(VOLVO)-40FT 02/04</t>
  </si>
  <si>
    <t>BUDIGERE CROSS-NARSAPURA(CLIMAVENETA)-HOSKOTE(VOLVO)-40FT 02/04</t>
  </si>
  <si>
    <t>PEENYA-EXIDE-NELMANGLA-40FT 03/04</t>
  </si>
  <si>
    <t>HOSKOTE(VOLVO)-WHITEFIELD-HOSKOTE(DHL)-40FT 04/04</t>
  </si>
  <si>
    <t>HOSKOTE-PEENYA-40FT 04/04</t>
  </si>
  <si>
    <t xml:space="preserve">Date </t>
  </si>
  <si>
    <t>Vehicle No</t>
  </si>
  <si>
    <t>Amount</t>
  </si>
  <si>
    <t>Remarks</t>
  </si>
  <si>
    <t>Payment Satus</t>
  </si>
  <si>
    <t>ü</t>
  </si>
  <si>
    <t>NELMANGALA-JIGANI(OTIS) EMPTY 40FT</t>
  </si>
  <si>
    <t>WHITEFIELD-HOSKOTE(DHL)-WHITEFIELD-40FT</t>
  </si>
  <si>
    <t>TYRE FITTING/WHEEL NET/AIR-40FT</t>
  </si>
  <si>
    <t>EXIDE-ABOVE 38 TON-40FT</t>
  </si>
  <si>
    <t>JIGANI(OTIS)LOCAL-40FT</t>
  </si>
  <si>
    <t>HOSKOTE(VOLVO)-MALUR ROAD-40FT</t>
  </si>
  <si>
    <t>HOSKOTE(PDC)-PEENYA(VOLVO)-40FT</t>
  </si>
  <si>
    <t>NICE ROAD PARKING-40FT</t>
  </si>
  <si>
    <t>JIGANI-ATTIBELE-HOSKOTE-40FT</t>
  </si>
  <si>
    <t>NELMANGALA-PEENYA EMPTY 40FT</t>
  </si>
  <si>
    <t>HOSKOTE-WHITEFIELD-HOSKOTE(DHL)-40FT</t>
  </si>
  <si>
    <t>ATTIBELE-ELECTRONIC CITY-DABASPET-40FT</t>
  </si>
  <si>
    <t>ATTIBELE-EXIDE-NELMANGALA-40FT</t>
  </si>
  <si>
    <t>HOSKOTE-EXIDE-NELMANGALA-40FT</t>
  </si>
  <si>
    <t>NELMANGALA-EXIDE-NELMANGALA-40FT</t>
  </si>
  <si>
    <t>HOSKOTE-JIGANI(OTIS) EMPTY 40FT</t>
  </si>
  <si>
    <t>REPAIRING-MR SOMBIR APPROVED</t>
  </si>
  <si>
    <t>JIGANI-EXIDE-NELMANGALA-40FT</t>
  </si>
  <si>
    <t>HOSKOTE(FERRUM)-PEENYA-40FT</t>
  </si>
  <si>
    <t>JIGANI-WHITEFIELD-HOSKOTE(DHL)-40FT</t>
  </si>
  <si>
    <t>NELMANGALA-WHITEFIELD-HOSKOTE(DHL)-40FT</t>
  </si>
  <si>
    <t>EXIDE-FOODING 2 DAYS</t>
  </si>
  <si>
    <t>TYRE REPAIRING-AS PER MR SOMBIR</t>
  </si>
  <si>
    <t>PEENYA-JIGANI(OTIS) EMPTY 40FT</t>
  </si>
  <si>
    <t>JIGANI-DABASPET-HOSKOTE-40FT</t>
  </si>
  <si>
    <t>PEENYA-ATTIBELE-HOSKOTE-40FT</t>
  </si>
  <si>
    <t>ACCIDENT SETTLEMET-AS PER MR SOMBIR-40FT</t>
  </si>
  <si>
    <t>DABASPET-HOSKOTE-EMPTY-40FT CHASSIS TRAILER</t>
  </si>
  <si>
    <t>HOSKOTE(VOLVO)-FERRUM-40FT</t>
  </si>
  <si>
    <t>HOSKOTE(VOLVO)-CHENNAI-40FT CHASSIS TRAILER</t>
  </si>
  <si>
    <t>HOSKOTE-C V RAMAN NAGAR-HOSKOTE(VOLVO)-40FT</t>
  </si>
  <si>
    <t>HOSKOTE(VOLVO)-ATTIBELE(HYVA)-40FT</t>
  </si>
  <si>
    <t>NICE ROAD PARKING 24-25/05</t>
  </si>
  <si>
    <t>JIGANI-ELECTRONIC CITY-NELMANGALA-40FT</t>
  </si>
  <si>
    <t>HOSKOTE-NELMANGALA-JIGANI-40FT</t>
  </si>
  <si>
    <t>JIGANI-NELMANGALA-JIGANI-40FT</t>
  </si>
  <si>
    <t>HOSKOTE-ELECTRONIC CITY-NELMANGALA-40FT</t>
  </si>
  <si>
    <t>HOSKOTE(VOLVO)-WHITEFIELD-HOSKOTE(DHL)-40FT</t>
  </si>
  <si>
    <t>NELMANGALA-ATTIBELE-HOSKOTE-40FT</t>
  </si>
  <si>
    <t>KM</t>
  </si>
  <si>
    <t>HOSKOTE(VOLVO)-MALUR-PEENYA</t>
  </si>
  <si>
    <t>Route</t>
  </si>
  <si>
    <t>HOSKOTE(VOLVO)WHITEFIELD-HOSKOTE(DHL)-WHITEFIELD</t>
  </si>
  <si>
    <t>JIGANI-ATTIBELE(HYVA)-HOSKOTE(VOLVO)</t>
  </si>
  <si>
    <t>PEENYA-ATTIBELE(HYVA)-HOSKOTE(VOLVO)</t>
  </si>
  <si>
    <t>NELMANGALA(TATA POWER)-JIGANI(OTIS)</t>
  </si>
  <si>
    <t>HOSKOTE(VOLVO)-ATTIBELE(HYVA)-HOSKOTE(VOLVO)</t>
  </si>
  <si>
    <t>HOSKOTE(VOLVO)-EXIDE-NELMANGALA</t>
  </si>
  <si>
    <t>JIGANI-ELECTRONIC CITY(TATA POWER)-MINNAPURA</t>
  </si>
  <si>
    <t>HOSKOTE(VOLVO)-MINNAPURA-JIGANI(TATA POWER)</t>
  </si>
  <si>
    <t>JIGANI(TATA POWER)-MINNAPURA-JIGANI(TATA POWER)</t>
  </si>
  <si>
    <t>HOSKOTE(VOLVO)-FERRUM(HOSKOTE)-PEENYA(VOLVO)</t>
  </si>
  <si>
    <t>HOSKOTE(VOLVO)-JIGANI(OTIS)</t>
  </si>
  <si>
    <t>HOSKOTE(VOLVO)-ELECTRONIC CITY-MINNAPURA</t>
  </si>
  <si>
    <t>JIGANI(OTIS)-WHITEFIELD-HOSKOTE(DHL)-WHITEFIELD</t>
  </si>
  <si>
    <t>MINNAPURA-ATTIBELE(HYVA)-HOSKOTE(VOLVO)</t>
  </si>
  <si>
    <t>HOSKOTE(VOLVO)-HOSKOTE(DHL)</t>
  </si>
  <si>
    <t>FOODING 6 DAYS</t>
  </si>
  <si>
    <t>NICE ROAD PARKING 04-05/06</t>
  </si>
  <si>
    <t>DABASPET PARKING DIESEL</t>
  </si>
  <si>
    <t>HOSKOTE-PEENYA-HOSKOTE-40FT</t>
  </si>
  <si>
    <t>EXIDE-NELMANGALA-40FT</t>
  </si>
  <si>
    <t>2050+150</t>
  </si>
  <si>
    <t>Divert to Otis</t>
  </si>
  <si>
    <t>Divert to Hyva</t>
  </si>
  <si>
    <t>3950+200</t>
  </si>
  <si>
    <t>REPAIRING CHARGE-MR SOMBIR APPROVED</t>
  </si>
  <si>
    <t>Divert to ICD</t>
  </si>
  <si>
    <t>Hyva pending adv</t>
  </si>
  <si>
    <t>ATTIBELE-HOSKOTE CHASSIS 40FT</t>
  </si>
  <si>
    <t>HOSKOTE-JIGANI-NELMANGALA-40FT</t>
  </si>
  <si>
    <t>HOSKOTE-DABASPET(SATRAC)-HOSKOTE-40FT</t>
  </si>
  <si>
    <t>PEENYA-DABASPET(SATRAC)-HOSKOTE-40FT</t>
  </si>
  <si>
    <t>Divert to Exide</t>
  </si>
  <si>
    <t>HYVA-RTO-APPROVED BY MR NITIN JAIN</t>
  </si>
  <si>
    <t>NL01N4841</t>
  </si>
  <si>
    <t>Pending Adv</t>
  </si>
  <si>
    <t>HOSKOTE(VOLVO)-WHITEFIELD-HOSKOTE(DHL)-40FT 17/06</t>
  </si>
  <si>
    <t>25300+6000</t>
  </si>
  <si>
    <t>CHASSIS TRAILER GUIDE CHARGE, MR SOMBIR APPROVED</t>
  </si>
  <si>
    <t>3700-950</t>
  </si>
  <si>
    <t>PEENYA-ELECTRONIC CITY-NELMANGALA-40FT</t>
  </si>
  <si>
    <t>Extra Adv 2150/-</t>
  </si>
  <si>
    <t>Extra Adv deduct</t>
  </si>
  <si>
    <t>Extra Adv deduct-650/-</t>
  </si>
  <si>
    <t>745 KM</t>
  </si>
  <si>
    <t>745 KM- Extra Adv 800/-</t>
  </si>
  <si>
    <t>FOODING 17/18/19-3 DAYS, MR SOMBIR APPROVED</t>
  </si>
  <si>
    <t>Extra Adv deduct-800/-</t>
  </si>
  <si>
    <t>14500+6000</t>
  </si>
  <si>
    <t>PEENYA-HOSKOTE(VOLVO)-MALUR ROAD-40FT</t>
  </si>
  <si>
    <t>Half Adv Pending</t>
  </si>
  <si>
    <t>25/06 Trip Pending 400/-</t>
  </si>
  <si>
    <t>HOSKOTE(DHL)-HOSKOTE(VOLVO)-HOSKOTE(DHL)-40FT</t>
  </si>
  <si>
    <t>HOSKOTE-HOSKOTE(VOLVO)-HOSKOTE(DHL)-40FT</t>
  </si>
  <si>
    <t>FOODING 22/23/24-3 DAYS, MR SOMBIR APPROVED</t>
  </si>
  <si>
    <t>NICE ROAD PARKING 27-28/06</t>
  </si>
  <si>
    <t>NL01N4883</t>
  </si>
  <si>
    <t>DABASPET-ATTIABELE-HOSKOTE-DABASPET-CHASSIS TRAILER</t>
  </si>
  <si>
    <t>267 KM, 89 Ltr</t>
  </si>
  <si>
    <t>1000+1500</t>
  </si>
  <si>
    <t>CHASSIS TRAILER FOR BORDER</t>
  </si>
  <si>
    <t>CHASSIS TRAILER FOR FOODING</t>
  </si>
  <si>
    <t>AHMEDABAD-HOSKOTE-40FT CHASSIS TRAILER</t>
  </si>
  <si>
    <t>CHASSIS TRAILER- FOODING 1 DAY (11/07)</t>
  </si>
  <si>
    <t>CHASSIS TRAILER- FOODING 5 DAYS (06/07-10/07)</t>
  </si>
  <si>
    <t>CHASSIS TRAILER- FOODING</t>
  </si>
  <si>
    <t>HOSKOTE-DEVENHALLI-DABASPET-CHASSIS TRAILER</t>
  </si>
  <si>
    <t>128KM</t>
  </si>
  <si>
    <t>HOSKOTE-VOLVO-DEVENHALLI-DABASPET-CHASSIS TRAILER</t>
  </si>
  <si>
    <t>PEENYA-WHITEFIELD-HOSKOTE(DHL)-40FT</t>
  </si>
  <si>
    <t>JIGANI-DABASPET-EMPTY-40FT</t>
  </si>
  <si>
    <t>DABASPET-EXIDE-NELMANGALA-40FT</t>
  </si>
  <si>
    <t>NICE ROAD PARKING 21-22/07</t>
  </si>
  <si>
    <t>DABASPET-NELMANGALA-EMPTY-40FT 21/07</t>
  </si>
  <si>
    <t>EXIDE FOODING/HALTING 25-26/07 40FT</t>
  </si>
  <si>
    <t>HOSKOTE(DHL)-HOSKOTE(MARIGOLD)-CONTAINER-40FT</t>
  </si>
  <si>
    <t>55KM</t>
  </si>
  <si>
    <t>JIGANI-ATTIBELE-HOSKOTE-40FT 27/07</t>
  </si>
  <si>
    <t>Mr Sombir approved</t>
  </si>
  <si>
    <t>NICE ROAD PARKING 28/07</t>
  </si>
  <si>
    <t>HOSKOTE-DABASPET-HOSKOTE-COT 31/07</t>
  </si>
  <si>
    <t>191KM</t>
  </si>
  <si>
    <t>KA-4500/-, MH-500/-</t>
  </si>
  <si>
    <t>Divert to Hyva-5 Day Halt</t>
  </si>
  <si>
    <t>Exide Adv 4900/- deduct</t>
  </si>
  <si>
    <t>SL No</t>
  </si>
  <si>
    <t>Hoskote(Volvo)-Attibele(Hyva)-Hoskote(Volvo)</t>
  </si>
  <si>
    <t>5850/-</t>
  </si>
  <si>
    <t>Up/Down</t>
  </si>
  <si>
    <t>Hoskote(Ferrum)-Volvo(Peenya)</t>
  </si>
  <si>
    <t>5350/-</t>
  </si>
  <si>
    <t>Hoskote(Volvo)-Malur(Fabtool)-Volvo(Peenya)</t>
  </si>
  <si>
    <t>5600/-</t>
  </si>
  <si>
    <t>Volvo(Peenya)-Attibele(Hyva)-Hoskote(Volvo)</t>
  </si>
  <si>
    <t>3950/-</t>
  </si>
  <si>
    <t>Half Adv Consider 1700/-</t>
  </si>
  <si>
    <t>Volvo(Peenya)-Sarjapura(Exide)-Nelmangala(Exide)</t>
  </si>
  <si>
    <t>6200/-</t>
  </si>
  <si>
    <t>Volvo(Peenya)-Jigani/Electronic City(Tata Power)-Nelmangala</t>
  </si>
  <si>
    <t>5400/-</t>
  </si>
  <si>
    <t>Volvo(Peenya)-Dabaspet(Satrac)-Hoskote(Volvo)</t>
  </si>
  <si>
    <t>5700/-</t>
  </si>
  <si>
    <t>Dabaspet(Satrac)-Hoskote(Volvo)</t>
  </si>
  <si>
    <t>5200/-</t>
  </si>
  <si>
    <t>2500+8100</t>
  </si>
  <si>
    <t>WHITEFIELD-ATTIBELE-NELMANGALA-SRI SATYA SAI(AP)</t>
  </si>
  <si>
    <t>245KM</t>
  </si>
  <si>
    <t>NL01N5459</t>
  </si>
  <si>
    <t>CAR ACCIDENT SETTLEMENT-MR SOMBIR APPROVED</t>
  </si>
  <si>
    <t>AUTO ACCIDENT SETTLEMENT-MR SOMBIR APPROVED</t>
  </si>
  <si>
    <t>1500/- Deduct, 1700/- Extra Adv 21/07</t>
  </si>
  <si>
    <t>200/- Deduct, 1700/- Extra Adv 21/07</t>
  </si>
  <si>
    <t>Volvo(Peenya)-Whitefield-Hoskote(DHL)-Whitefield</t>
  </si>
  <si>
    <t>3700/-</t>
  </si>
  <si>
    <t>80km</t>
  </si>
  <si>
    <t>195KM</t>
  </si>
  <si>
    <t>AP BORDER, MR NITIN JAIN APPROVED</t>
  </si>
  <si>
    <t>3700+1000</t>
  </si>
  <si>
    <t>NELMANGALA-ANANTAPURA-40FT</t>
  </si>
  <si>
    <t>125KM</t>
  </si>
  <si>
    <t>AP BORDER, ROHIT JAIN APPROVED</t>
  </si>
  <si>
    <t>175KM</t>
  </si>
  <si>
    <t>Unloaded on 08/08/26</t>
  </si>
  <si>
    <t>OTP-8211/- 83 Ltr, 250KM</t>
  </si>
  <si>
    <t>OTP, 95Ltr , 285KM</t>
  </si>
  <si>
    <t>285KM</t>
  </si>
  <si>
    <t>PUNE-HOSKOTE-CHASSIS TRAILER</t>
  </si>
  <si>
    <t>CHASSIS TRAILER, FOR BORDER</t>
  </si>
  <si>
    <t>NELMANGALA-SRI SATYA SAI(AP), MR SOMBIR APPROVED</t>
  </si>
  <si>
    <t>NELMANGALA-ANANTAPURA,  MR SOMBIR APPROVED</t>
  </si>
  <si>
    <t>Divert to Satrac</t>
  </si>
  <si>
    <t>KA-4000/-, MH-500/-, Fooding-1500/-</t>
  </si>
  <si>
    <t>CHASSIS TRAILER, FOR BORDER- MR SOMBIR APPROVED</t>
  </si>
  <si>
    <t>NICE ROAD PARKING 10/08</t>
  </si>
  <si>
    <t>1500/- Deduct, 1700/- Extra Adv 31/07</t>
  </si>
  <si>
    <t>200/- Deduct, 1700/- Extra Adv 31/07</t>
  </si>
  <si>
    <t>HOSKOTE-YESHWANTPUR OFFICE, AUTO CHARGE-MR SOMBIR APPROVED</t>
  </si>
  <si>
    <t>COT-HOSKOTE-PUNE-DABASPET-HOSKOTE-45LTR</t>
  </si>
  <si>
    <t>Total 2024 km</t>
  </si>
  <si>
    <t>COT-AHMEDABAD-INCENTIVE-MR SOMBIR APPROVED</t>
  </si>
  <si>
    <t>COT-PUNE-INCENTIVE-MR SOMBIR APPROVED</t>
  </si>
  <si>
    <t>DABASPET-NELMANGALA-EMPTY-40FT</t>
  </si>
  <si>
    <t>NEW DIESEL TANK CAP-MR SOMBIR APPROVED</t>
  </si>
  <si>
    <t>NELMANGALA-YESWANTHPUR-REPAIRING-DIESEL AMOUNT-MR SOMBIR APPROVED</t>
  </si>
  <si>
    <t>2 Times</t>
  </si>
  <si>
    <t>HOSKOTE-CHENNAI-CHASSIS TRAILER</t>
  </si>
  <si>
    <t>Up/Down-736KM, OTP-233Ltr-23000/-</t>
  </si>
  <si>
    <t>2050/- Deduct</t>
  </si>
  <si>
    <t>HOSKOTE(VOLVO)-DABASPET-40FT</t>
  </si>
  <si>
    <t>NL01N4882</t>
  </si>
  <si>
    <t>3 DAYS HALTING-MR SOMBIR APPROVED</t>
  </si>
  <si>
    <t>HOSKOTE(VOLVO)-BANGALORE(CONRAD HOTEL)-CHASSIS TRAILER</t>
  </si>
  <si>
    <t>80KM</t>
  </si>
  <si>
    <t>HOSKOTE(VOLVO)-CLIMAVENETA-LOCAL-40FT</t>
  </si>
  <si>
    <t>OTIS-FOODING-5 DAYS HALT-40FT</t>
  </si>
  <si>
    <t>Up/Down-740KM, OTP-246Ltr-24300/-</t>
  </si>
  <si>
    <t>HOSKOTE(VOLVO)-CLIMAVENETA-MAHADEVAPURA-ATTIBELE-40FT</t>
  </si>
  <si>
    <t>95KM</t>
  </si>
  <si>
    <t>PEENYA-CLIMAVENETA-MAHADEVAPURA-ATTIBELE-40FT</t>
  </si>
  <si>
    <t>145KM</t>
  </si>
  <si>
    <t>HOSKOTE(VOLVO)-CLIMAVENETA-MAHADEVAPURA-ATTIBELE-40FT 27/08</t>
  </si>
  <si>
    <t>PEENYA-CLIMAVENETA-MAHADEVAPURA-ATTIBELE-40FT 27/08</t>
  </si>
  <si>
    <t>HOSKOTE-DABASPET-EMPTY-40FT CHASSIS TRAILER</t>
  </si>
  <si>
    <t>MALUR ROAD(DHL)-HOSKOTE(VOLVO)-40FT EMPTY</t>
  </si>
  <si>
    <t>DABASPET-HOSKOTE-BUS CHARGE, MR SOMBIR APPROVED</t>
  </si>
  <si>
    <t>DOBBASPET-ELECTRONIC CITY-DABASPET-40FT</t>
  </si>
  <si>
    <t>NL01N5453</t>
  </si>
  <si>
    <t>3000/- Deduct / Vocher-446E25011</t>
  </si>
  <si>
    <t>NL01N5450-356F02003</t>
  </si>
  <si>
    <t>NICE ROAD PARKING 01/09</t>
  </si>
  <si>
    <t>JIGANI-ELECTRONIC CITY-DABASPET-40FT</t>
  </si>
  <si>
    <t>HOSKOTE-DABASPET-EMPTY-40FT</t>
  </si>
  <si>
    <t>NELMANGALA(EXIDE)-DABASPET-40FT EMPTY</t>
  </si>
  <si>
    <t>38KM</t>
  </si>
  <si>
    <t>Divert to Otis-Indapur</t>
  </si>
  <si>
    <t>1700/- Deduct from Tata Power Adv</t>
  </si>
  <si>
    <t>5100/- Deduct from Tata Power Adv</t>
  </si>
  <si>
    <t>OTIS(JIGANI)-INDAPUR-40FT</t>
  </si>
  <si>
    <t>97KM</t>
  </si>
  <si>
    <t>JIGANI-EXIDE-NELMANGALA-40FT 07/09</t>
  </si>
  <si>
    <t>97KM-Pending Adv</t>
  </si>
  <si>
    <t>NICE ROAD PARKING 11-12/09</t>
  </si>
  <si>
    <t>CHENNAI-HOSKOTE-BORDER-CHASSIS TRAILER-MR SOMBIR APPROVED</t>
  </si>
  <si>
    <t>INDAPUR-FOODING-MR SOMBIR APPROVED</t>
  </si>
  <si>
    <t>INDAPUR-JIGANI-BORDER CHARGE-MR SOMBIR APPROVED</t>
  </si>
  <si>
    <t>Deduct 1500/-from 9863/- Extra Adv paid</t>
  </si>
  <si>
    <t>Up/Down Trip-11 Days</t>
  </si>
  <si>
    <t>Up/Down Trip-10 Days</t>
  </si>
  <si>
    <t>Up/Down Trip-09 Days</t>
  </si>
  <si>
    <t>Deduct 4200/-from 9863/- Extra Adv paid</t>
  </si>
  <si>
    <t>JIGANI-ATTIBELE-HOSKOTE-40FT 15/09</t>
  </si>
  <si>
    <t>CHASSIS TRAILER FOODING 2 DAYS-MR SOMBIR APPROVED</t>
  </si>
  <si>
    <t>MEDICAL BILL - MR SOMBIR APPROVED</t>
  </si>
  <si>
    <t>FOODING- 14-15-16/09</t>
  </si>
  <si>
    <t>DABASPET-HOSKOTE-EMPTY-40FT</t>
  </si>
  <si>
    <t>KHUSNUD</t>
  </si>
  <si>
    <t>1012KM- UP/DOWN</t>
  </si>
  <si>
    <t>DABASPET-BIDDADI-TRICHY-DABASPET-CHASSIS TRAILER</t>
  </si>
  <si>
    <t>EXIDE-ABOVE 34 TON-40FT</t>
  </si>
  <si>
    <t>ACCIDENT SETTLEMET-AS PER MR ANKIT-40FT</t>
  </si>
  <si>
    <t>HOSKOTE(VOLVO)-LOCAL SHIFTING-40FT</t>
  </si>
  <si>
    <t>ATTIBELE-HOSKOTE CHASSIS TRAILER</t>
  </si>
  <si>
    <t>EXIDE FOODING/HALTING 23-24/09 40FT</t>
  </si>
  <si>
    <t>RTO-ITKKAL-MR NITIN APPROVED</t>
  </si>
  <si>
    <t>ATTIBELE-DABASPET-EMPTY-CHASSIS TRAILER</t>
  </si>
  <si>
    <t>20KM EXTRA</t>
  </si>
  <si>
    <t>TATA POWER-PAVAGADA-40FT</t>
  </si>
  <si>
    <t>300KM</t>
  </si>
  <si>
    <t>DABASPET-TATA POWER(JIGANI)-PAVAGADA-NELMANGALA-40FT</t>
  </si>
  <si>
    <t>172KM</t>
  </si>
  <si>
    <t>NL01N5452</t>
  </si>
  <si>
    <t>TATA POWER(JIGANI)-KANGALIPURA-40FT</t>
  </si>
  <si>
    <t>33KM</t>
  </si>
  <si>
    <t>KANGALIPURA-DABASPET-EMPTY-40FT</t>
  </si>
  <si>
    <t>66KM</t>
  </si>
  <si>
    <t>DABASPET-ATTIABELE-HOSKOTE-CHASSIS TRAILER</t>
  </si>
  <si>
    <t>EXIDE FOODING/HALTING 05-06/10 40FT</t>
  </si>
  <si>
    <t>NELMANGALA-DABASPET(SATRAC)-HOSKOTE-40FT</t>
  </si>
  <si>
    <t>VOLVO FOODING/HALTING 05/10 40FT</t>
  </si>
  <si>
    <t>INDAPUR ADV-40FT 21/09</t>
  </si>
  <si>
    <t>The Indapur Advance has been increased from 8000/- to 9000/-, Mr Sombir Ji approved</t>
  </si>
  <si>
    <t>INDAPUR ADV-40FT 25/09</t>
  </si>
  <si>
    <t>INDAPUR ADV-40FT 26/09</t>
  </si>
  <si>
    <t>INDAPUR ADV-40FT 28/09</t>
  </si>
  <si>
    <t>INDAPUR ADV-40FT 08/10</t>
  </si>
  <si>
    <t>EXIDE FOODING/HALTING 11-12/10 40FT</t>
  </si>
  <si>
    <t>EXIDE FOODING/HALTING 11-12-13/10 40FT</t>
  </si>
  <si>
    <t>PEENYA-EXIDE-NELMANGALA-40FT</t>
  </si>
  <si>
    <t>HOSKOTE-EXIDE-NARSAPURA-40FT</t>
  </si>
  <si>
    <t>PEENYA-EXIDE-NARSAPURA-40FT</t>
  </si>
  <si>
    <t>165KM</t>
  </si>
  <si>
    <t>PENDING 15KM ADV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</si>
</sst>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.5"/>
      <color rgb="FFFF0000"/>
      <name val="Calibri"/>
      <family val="2"/>
      <charset val="1"/>
    </font>
    <font>
      <sz val="9.5"/>
      <color theme="1"/>
      <name val="Calibri"/>
      <family val="2"/>
      <charset val="1"/>
      <scheme val="minor"/>
    </font>
    <font>
      <sz val="9.5"/>
      <name val="Calibri"/>
      <family val="2"/>
      <charset val="1"/>
      <scheme val="minor"/>
    </font>
    <font>
      <sz val="9.5"/>
      <color rgb="FFFF0000"/>
      <name val="Calibri"/>
      <family val="2"/>
      <charset val="1"/>
      <scheme val="minor"/>
    </font>
    <font>
      <sz val="9"/>
      <color rgb="FFFF0000"/>
      <name val="Calibri"/>
      <family val="2"/>
      <charset val="1"/>
    </font>
    <font>
      <sz val="9"/>
      <color theme="1"/>
      <name val="Calibri"/>
      <family val="2"/>
      <charset val="1"/>
      <scheme val="minor"/>
    </font>
    <font>
      <sz val="9"/>
      <name val="Calibri"/>
      <family val="2"/>
      <charset val="1"/>
      <scheme val="minor"/>
    </font>
    <font>
      <sz val="9"/>
      <color rgb="FFFF0000"/>
      <name val="Calibri"/>
      <family val="2"/>
      <charset val="1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Wingdings"/>
      <charset val="2"/>
    </font>
    <font>
      <sz val="9"/>
      <color rgb="FFFF0000"/>
      <name val="Calibri"/>
      <family val="2"/>
      <scheme val="minor"/>
    </font>
    <font>
      <sz val="9"/>
      <color rgb="FFFF0000"/>
      <name val="Wingdings"/>
      <charset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1" xfId="0" applyBorder="1"/>
    <xf numFmtId="0" fontId="0" fillId="0" borderId="1" xfId="0" applyFont="1" applyBorder="1"/>
    <xf numFmtId="0" fontId="0" fillId="2" borderId="1" xfId="0" applyFill="1" applyBorder="1"/>
    <xf numFmtId="0" fontId="0" fillId="2" borderId="1" xfId="0" quotePrefix="1" applyFill="1" applyBorder="1"/>
    <xf numFmtId="14" fontId="0" fillId="0" borderId="1" xfId="0" applyNumberFormat="1" applyBorder="1"/>
    <xf numFmtId="0" fontId="0" fillId="0" borderId="1" xfId="0" applyFill="1" applyBorder="1"/>
    <xf numFmtId="0" fontId="0" fillId="0" borderId="1" xfId="0" applyBorder="1" applyAlignment="1">
      <alignment horizontal="left"/>
    </xf>
    <xf numFmtId="0" fontId="0" fillId="0" borderId="1" xfId="0" applyFont="1" applyFill="1" applyBorder="1"/>
    <xf numFmtId="1" fontId="0" fillId="0" borderId="1" xfId="0" applyNumberForma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/>
    <xf numFmtId="0" fontId="1" fillId="2" borderId="1" xfId="0" applyFont="1" applyFill="1" applyBorder="1"/>
    <xf numFmtId="0" fontId="1" fillId="0" borderId="1" xfId="0" applyFont="1" applyFill="1" applyBorder="1"/>
    <xf numFmtId="0" fontId="0" fillId="0" borderId="1" xfId="0" applyFont="1" applyBorder="1" applyAlignment="1">
      <alignment horizontal="left"/>
    </xf>
    <xf numFmtId="0" fontId="0" fillId="2" borderId="1" xfId="0" applyFont="1" applyFill="1" applyBorder="1"/>
    <xf numFmtId="0" fontId="0" fillId="0" borderId="0" xfId="0" applyFont="1"/>
    <xf numFmtId="1" fontId="0" fillId="2" borderId="1" xfId="0" quotePrefix="1" applyNumberFormat="1" applyFill="1" applyBorder="1" applyAlignment="1">
      <alignment horizontal="left"/>
    </xf>
    <xf numFmtId="14" fontId="0" fillId="2" borderId="1" xfId="0" applyNumberFormat="1" applyFill="1" applyBorder="1"/>
    <xf numFmtId="0" fontId="0" fillId="3" borderId="1" xfId="0" applyFill="1" applyBorder="1"/>
    <xf numFmtId="14" fontId="1" fillId="2" borderId="1" xfId="0" applyNumberFormat="1" applyFont="1" applyFill="1" applyBorder="1"/>
    <xf numFmtId="0" fontId="2" fillId="0" borderId="1" xfId="0" applyFont="1" applyBorder="1"/>
    <xf numFmtId="0" fontId="2" fillId="2" borderId="1" xfId="0" applyFont="1" applyFill="1" applyBorder="1"/>
    <xf numFmtId="0" fontId="2" fillId="0" borderId="1" xfId="0" applyFont="1" applyFill="1" applyBorder="1"/>
    <xf numFmtId="0" fontId="2" fillId="0" borderId="0" xfId="0" applyFont="1"/>
    <xf numFmtId="0" fontId="2" fillId="0" borderId="2" xfId="0" applyFont="1" applyFill="1" applyBorder="1"/>
    <xf numFmtId="0" fontId="1" fillId="0" borderId="2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0" xfId="0" applyFont="1"/>
    <xf numFmtId="0" fontId="4" fillId="2" borderId="1" xfId="0" applyFont="1" applyFill="1" applyBorder="1"/>
    <xf numFmtId="14" fontId="4" fillId="0" borderId="1" xfId="0" applyNumberFormat="1" applyFont="1" applyBorder="1"/>
    <xf numFmtId="0" fontId="5" fillId="0" borderId="1" xfId="0" applyFont="1" applyFill="1" applyBorder="1"/>
    <xf numFmtId="0" fontId="4" fillId="0" borderId="1" xfId="0" applyFont="1" applyFill="1" applyBorder="1"/>
    <xf numFmtId="0" fontId="5" fillId="0" borderId="1" xfId="0" applyFont="1" applyBorder="1"/>
    <xf numFmtId="0" fontId="5" fillId="2" borderId="1" xfId="0" applyFont="1" applyFill="1" applyBorder="1"/>
    <xf numFmtId="0" fontId="5" fillId="0" borderId="0" xfId="0" applyFont="1"/>
    <xf numFmtId="0" fontId="4" fillId="0" borderId="1" xfId="0" applyFont="1" applyBorder="1" applyAlignment="1">
      <alignment horizontal="left"/>
    </xf>
    <xf numFmtId="1" fontId="4" fillId="2" borderId="1" xfId="0" quotePrefix="1" applyNumberFormat="1" applyFont="1" applyFill="1" applyBorder="1" applyAlignment="1">
      <alignment horizontal="left"/>
    </xf>
    <xf numFmtId="1" fontId="4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/>
    <xf numFmtId="0" fontId="6" fillId="2" borderId="1" xfId="0" applyFont="1" applyFill="1" applyBorder="1"/>
    <xf numFmtId="14" fontId="6" fillId="0" borderId="1" xfId="0" applyNumberFormat="1" applyFont="1" applyBorder="1"/>
    <xf numFmtId="0" fontId="6" fillId="0" borderId="1" xfId="0" applyFont="1" applyFill="1" applyBorder="1"/>
    <xf numFmtId="0" fontId="6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 vertical="center" wrapText="1"/>
    </xf>
    <xf numFmtId="0" fontId="5" fillId="0" borderId="1" xfId="0" applyFont="1" applyFill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4" fillId="0" borderId="0" xfId="0" applyFont="1" applyAlignment="1">
      <alignment horizontal="right"/>
    </xf>
    <xf numFmtId="1" fontId="5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" fontId="9" fillId="0" borderId="1" xfId="0" applyNumberFormat="1" applyFont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9" fillId="0" borderId="1" xfId="0" applyFont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14" fontId="8" fillId="0" borderId="1" xfId="0" applyNumberFormat="1" applyFont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14" fontId="8" fillId="4" borderId="1" xfId="0" applyNumberFormat="1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1" fontId="9" fillId="4" borderId="1" xfId="0" applyNumberFormat="1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1" fontId="8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1" fontId="10" fillId="0" borderId="1" xfId="0" applyNumberFormat="1" applyFont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14" fontId="10" fillId="0" borderId="1" xfId="0" applyNumberFormat="1" applyFont="1" applyBorder="1" applyAlignment="1">
      <alignment horizontal="left"/>
    </xf>
    <xf numFmtId="0" fontId="10" fillId="0" borderId="1" xfId="0" applyFont="1" applyFill="1" applyBorder="1" applyAlignment="1">
      <alignment horizontal="left"/>
    </xf>
    <xf numFmtId="14" fontId="4" fillId="2" borderId="1" xfId="0" applyNumberFormat="1" applyFont="1" applyFill="1" applyBorder="1"/>
    <xf numFmtId="14" fontId="6" fillId="2" borderId="1" xfId="0" applyNumberFormat="1" applyFont="1" applyFill="1" applyBorder="1"/>
    <xf numFmtId="0" fontId="8" fillId="0" borderId="1" xfId="0" applyFont="1" applyFill="1" applyBorder="1"/>
    <xf numFmtId="1" fontId="8" fillId="2" borderId="1" xfId="0" applyNumberFormat="1" applyFont="1" applyFill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14" fontId="8" fillId="5" borderId="1" xfId="0" applyNumberFormat="1" applyFont="1" applyFill="1" applyBorder="1" applyAlignment="1">
      <alignment horizontal="left"/>
    </xf>
    <xf numFmtId="1" fontId="8" fillId="5" borderId="1" xfId="0" applyNumberFormat="1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1" xfId="0" applyFont="1" applyFill="1" applyBorder="1" applyAlignment="1">
      <alignment horizontal="left"/>
    </xf>
    <xf numFmtId="0" fontId="13" fillId="6" borderId="1" xfId="0" applyFont="1" applyFill="1" applyBorder="1" applyAlignment="1">
      <alignment horizontal="center"/>
    </xf>
    <xf numFmtId="14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Border="1" applyAlignment="1">
      <alignment horizontal="center"/>
    </xf>
    <xf numFmtId="0" fontId="14" fillId="7" borderId="0" xfId="0" applyFont="1" applyFill="1" applyAlignment="1">
      <alignment horizontal="center"/>
    </xf>
    <xf numFmtId="14" fontId="14" fillId="0" borderId="3" xfId="0" applyNumberFormat="1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" xfId="0" applyFont="1" applyBorder="1" applyAlignment="1">
      <alignment horizontal="left"/>
    </xf>
    <xf numFmtId="0" fontId="15" fillId="0" borderId="3" xfId="0" applyFont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16" fillId="5" borderId="0" xfId="0" applyFont="1" applyFill="1" applyAlignment="1">
      <alignment horizontal="center"/>
    </xf>
    <xf numFmtId="14" fontId="14" fillId="0" borderId="0" xfId="0" applyNumberFormat="1" applyFont="1" applyAlignment="1">
      <alignment horizontal="center"/>
    </xf>
    <xf numFmtId="0" fontId="14" fillId="0" borderId="2" xfId="0" applyFont="1" applyBorder="1" applyAlignment="1">
      <alignment horizontal="center"/>
    </xf>
    <xf numFmtId="0" fontId="8" fillId="0" borderId="2" xfId="0" applyFont="1" applyFill="1" applyBorder="1" applyAlignment="1">
      <alignment horizontal="left"/>
    </xf>
    <xf numFmtId="0" fontId="14" fillId="5" borderId="0" xfId="0" applyFont="1" applyFill="1" applyAlignment="1">
      <alignment horizontal="center"/>
    </xf>
    <xf numFmtId="0" fontId="14" fillId="0" borderId="0" xfId="0" applyFont="1" applyBorder="1" applyAlignment="1">
      <alignment horizontal="center"/>
    </xf>
    <xf numFmtId="14" fontId="14" fillId="5" borderId="1" xfId="0" applyNumberFormat="1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left"/>
    </xf>
    <xf numFmtId="0" fontId="15" fillId="5" borderId="1" xfId="0" applyFont="1" applyFill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95"/>
  <sheetViews>
    <sheetView topLeftCell="E1" workbookViewId="0">
      <pane ySplit="1" topLeftCell="A512" activePane="bottomLeft" state="frozen"/>
      <selection pane="bottomLeft" activeCell="E530" sqref="A530:XFD530"/>
    </sheetView>
  </sheetViews>
  <sheetFormatPr defaultRowHeight="12.6" x14ac:dyDescent="0.25"/>
  <cols>
    <col min="1" max="1" width="22.44140625" style="31" customWidth="1"/>
    <col min="2" max="2" width="11.88671875" style="31" bestFit="1" customWidth="1"/>
    <col min="3" max="3" width="14" style="31" bestFit="1" customWidth="1"/>
    <col min="4" max="4" width="16.88671875" style="31" bestFit="1" customWidth="1"/>
    <col min="5" max="5" width="17.77734375" style="31" bestFit="1" customWidth="1"/>
    <col min="6" max="6" width="13.6640625" style="31" bestFit="1" customWidth="1"/>
    <col min="7" max="7" width="9" style="31" customWidth="1"/>
    <col min="8" max="8" width="13.77734375" style="31" customWidth="1"/>
    <col min="9" max="9" width="21.109375" style="31" bestFit="1" customWidth="1"/>
    <col min="10" max="10" width="12.33203125" style="31" bestFit="1" customWidth="1"/>
    <col min="11" max="11" width="10" style="31" bestFit="1" customWidth="1"/>
    <col min="12" max="12" width="57.5546875" style="31" bestFit="1" customWidth="1"/>
    <col min="13" max="16384" width="8.88671875" style="31"/>
  </cols>
  <sheetData>
    <row r="1" spans="1:12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9" t="s">
        <v>7</v>
      </c>
      <c r="I1" s="28" t="s">
        <v>8</v>
      </c>
      <c r="J1" s="28" t="s">
        <v>9</v>
      </c>
      <c r="K1" s="28" t="s">
        <v>10</v>
      </c>
      <c r="L1" s="30" t="s">
        <v>11</v>
      </c>
    </row>
    <row r="2" spans="1:12" customFormat="1" ht="13.8" customHeight="1" x14ac:dyDescent="0.3">
      <c r="A2" s="1" t="s">
        <v>12</v>
      </c>
      <c r="B2" s="1" t="s">
        <v>13</v>
      </c>
      <c r="C2" s="2" t="s">
        <v>14</v>
      </c>
      <c r="D2" s="3" t="s">
        <v>15</v>
      </c>
      <c r="E2" s="4" t="s">
        <v>16</v>
      </c>
      <c r="F2" s="3" t="s">
        <v>17</v>
      </c>
      <c r="G2" s="3">
        <v>4000</v>
      </c>
      <c r="H2" s="5">
        <v>45394</v>
      </c>
      <c r="I2" s="3" t="s">
        <v>18</v>
      </c>
      <c r="J2" s="3" t="s">
        <v>19</v>
      </c>
      <c r="K2" s="1">
        <v>352400261</v>
      </c>
      <c r="L2" s="1" t="s">
        <v>20</v>
      </c>
    </row>
    <row r="3" spans="1:12" customFormat="1" ht="14.4" x14ac:dyDescent="0.3">
      <c r="A3" s="1" t="s">
        <v>12</v>
      </c>
      <c r="B3" s="1" t="s">
        <v>13</v>
      </c>
      <c r="C3" s="2" t="s">
        <v>14</v>
      </c>
      <c r="D3" s="3" t="s">
        <v>15</v>
      </c>
      <c r="E3" s="4" t="s">
        <v>16</v>
      </c>
      <c r="F3" s="3" t="s">
        <v>17</v>
      </c>
      <c r="G3" s="3">
        <v>500</v>
      </c>
      <c r="H3" s="5">
        <v>45394</v>
      </c>
      <c r="I3" s="3" t="s">
        <v>21</v>
      </c>
      <c r="J3" s="3" t="s">
        <v>22</v>
      </c>
      <c r="K3" s="1">
        <v>352400259</v>
      </c>
      <c r="L3" s="1" t="s">
        <v>23</v>
      </c>
    </row>
    <row r="4" spans="1:12" customFormat="1" ht="14.4" x14ac:dyDescent="0.3">
      <c r="A4" s="1" t="s">
        <v>12</v>
      </c>
      <c r="B4" s="1" t="s">
        <v>13</v>
      </c>
      <c r="C4" s="2" t="s">
        <v>14</v>
      </c>
      <c r="D4" s="3" t="s">
        <v>15</v>
      </c>
      <c r="E4" s="4" t="s">
        <v>16</v>
      </c>
      <c r="F4" s="3" t="s">
        <v>17</v>
      </c>
      <c r="G4" s="3">
        <v>4750</v>
      </c>
      <c r="H4" s="5">
        <v>45394</v>
      </c>
      <c r="I4" s="3" t="s">
        <v>21</v>
      </c>
      <c r="J4" s="3" t="s">
        <v>22</v>
      </c>
      <c r="K4" s="1">
        <v>352400259</v>
      </c>
      <c r="L4" s="1" t="s">
        <v>24</v>
      </c>
    </row>
    <row r="5" spans="1:12" customFormat="1" ht="14.4" x14ac:dyDescent="0.3">
      <c r="A5" s="1" t="s">
        <v>12</v>
      </c>
      <c r="B5" s="1" t="s">
        <v>13</v>
      </c>
      <c r="C5" s="2" t="s">
        <v>14</v>
      </c>
      <c r="D5" s="3" t="s">
        <v>25</v>
      </c>
      <c r="E5" s="4" t="s">
        <v>26</v>
      </c>
      <c r="F5" s="3" t="s">
        <v>27</v>
      </c>
      <c r="G5" s="3">
        <v>6200</v>
      </c>
      <c r="H5" s="5">
        <v>45394</v>
      </c>
      <c r="I5" s="3" t="s">
        <v>28</v>
      </c>
      <c r="J5" s="3" t="s">
        <v>29</v>
      </c>
      <c r="K5" s="1">
        <v>352400260</v>
      </c>
      <c r="L5" s="1" t="s">
        <v>30</v>
      </c>
    </row>
    <row r="6" spans="1:12" customFormat="1" ht="14.4" x14ac:dyDescent="0.3">
      <c r="A6" s="1" t="s">
        <v>12</v>
      </c>
      <c r="B6" s="1" t="s">
        <v>13</v>
      </c>
      <c r="C6" s="2" t="s">
        <v>14</v>
      </c>
      <c r="D6" s="1" t="s">
        <v>31</v>
      </c>
      <c r="E6" s="1" t="s">
        <v>32</v>
      </c>
      <c r="F6" s="1" t="s">
        <v>33</v>
      </c>
      <c r="G6" s="1">
        <v>5000</v>
      </c>
      <c r="H6" s="5">
        <v>45394</v>
      </c>
      <c r="I6" s="1" t="s">
        <v>93</v>
      </c>
      <c r="J6" s="1" t="s">
        <v>34</v>
      </c>
      <c r="K6" s="1">
        <v>352400264</v>
      </c>
      <c r="L6" s="1" t="s">
        <v>35</v>
      </c>
    </row>
    <row r="7" spans="1:12" customFormat="1" ht="14.4" x14ac:dyDescent="0.3">
      <c r="A7" s="1" t="s">
        <v>12</v>
      </c>
      <c r="B7" s="1" t="s">
        <v>13</v>
      </c>
      <c r="C7" s="2" t="s">
        <v>14</v>
      </c>
      <c r="D7" s="1" t="s">
        <v>36</v>
      </c>
      <c r="E7" s="1" t="s">
        <v>37</v>
      </c>
      <c r="F7" s="1" t="s">
        <v>38</v>
      </c>
      <c r="G7" s="1">
        <v>5000</v>
      </c>
      <c r="H7" s="5">
        <v>45394</v>
      </c>
      <c r="I7" s="1" t="s">
        <v>39</v>
      </c>
      <c r="J7" s="1" t="s">
        <v>40</v>
      </c>
      <c r="K7" s="1">
        <v>352400265</v>
      </c>
      <c r="L7" s="1" t="s">
        <v>35</v>
      </c>
    </row>
    <row r="8" spans="1:12" customFormat="1" ht="14.4" x14ac:dyDescent="0.3">
      <c r="A8" s="1" t="s">
        <v>12</v>
      </c>
      <c r="B8" s="1" t="s">
        <v>13</v>
      </c>
      <c r="C8" s="2" t="s">
        <v>14</v>
      </c>
      <c r="D8" s="1" t="s">
        <v>41</v>
      </c>
      <c r="E8" s="1" t="s">
        <v>42</v>
      </c>
      <c r="F8" s="1" t="s">
        <v>43</v>
      </c>
      <c r="G8" s="3">
        <v>4000</v>
      </c>
      <c r="H8" s="5">
        <v>45394</v>
      </c>
      <c r="I8" s="3" t="s">
        <v>44</v>
      </c>
      <c r="J8" s="3" t="s">
        <v>45</v>
      </c>
      <c r="K8" s="1">
        <v>352400241</v>
      </c>
      <c r="L8" s="1" t="s">
        <v>20</v>
      </c>
    </row>
    <row r="9" spans="1:12" customFormat="1" ht="14.4" x14ac:dyDescent="0.3">
      <c r="A9" s="1" t="s">
        <v>12</v>
      </c>
      <c r="B9" s="1" t="s">
        <v>13</v>
      </c>
      <c r="C9" s="2" t="s">
        <v>14</v>
      </c>
      <c r="D9" s="3" t="s">
        <v>15</v>
      </c>
      <c r="E9" s="4" t="s">
        <v>16</v>
      </c>
      <c r="F9" s="3" t="s">
        <v>17</v>
      </c>
      <c r="G9" s="3">
        <v>2000</v>
      </c>
      <c r="H9" s="5">
        <v>45394</v>
      </c>
      <c r="I9" s="3" t="s">
        <v>18</v>
      </c>
      <c r="J9" s="3" t="s">
        <v>19</v>
      </c>
      <c r="K9" s="1">
        <v>352400024</v>
      </c>
      <c r="L9" s="1" t="s">
        <v>46</v>
      </c>
    </row>
    <row r="10" spans="1:12" customFormat="1" ht="14.4" x14ac:dyDescent="0.3">
      <c r="A10" s="1" t="s">
        <v>12</v>
      </c>
      <c r="B10" s="1" t="s">
        <v>13</v>
      </c>
      <c r="C10" s="2" t="s">
        <v>14</v>
      </c>
      <c r="D10" s="3" t="s">
        <v>15</v>
      </c>
      <c r="E10" s="4" t="s">
        <v>16</v>
      </c>
      <c r="F10" s="3" t="s">
        <v>17</v>
      </c>
      <c r="G10" s="3">
        <v>2000</v>
      </c>
      <c r="H10" s="5">
        <v>45394</v>
      </c>
      <c r="I10" s="3" t="s">
        <v>18</v>
      </c>
      <c r="J10" s="3" t="s">
        <v>19</v>
      </c>
      <c r="K10" s="1">
        <v>352400231</v>
      </c>
      <c r="L10" s="1" t="s">
        <v>47</v>
      </c>
    </row>
    <row r="11" spans="1:12" customFormat="1" ht="14.4" x14ac:dyDescent="0.3">
      <c r="A11" s="1" t="s">
        <v>12</v>
      </c>
      <c r="B11" s="1" t="s">
        <v>13</v>
      </c>
      <c r="C11" s="2" t="s">
        <v>14</v>
      </c>
      <c r="D11" s="1" t="s">
        <v>48</v>
      </c>
      <c r="E11" s="1" t="s">
        <v>49</v>
      </c>
      <c r="F11" s="1" t="s">
        <v>50</v>
      </c>
      <c r="G11" s="3">
        <v>800</v>
      </c>
      <c r="H11" s="5">
        <v>45395</v>
      </c>
      <c r="I11" s="3" t="s">
        <v>51</v>
      </c>
      <c r="J11" s="3" t="s">
        <v>52</v>
      </c>
      <c r="K11" s="6">
        <v>352400298</v>
      </c>
      <c r="L11" s="6" t="s">
        <v>53</v>
      </c>
    </row>
    <row r="12" spans="1:12" customFormat="1" ht="14.4" x14ac:dyDescent="0.3">
      <c r="A12" s="1" t="s">
        <v>12</v>
      </c>
      <c r="B12" s="1" t="s">
        <v>13</v>
      </c>
      <c r="C12" s="2" t="s">
        <v>14</v>
      </c>
      <c r="D12" s="1" t="s">
        <v>48</v>
      </c>
      <c r="E12" s="1" t="s">
        <v>49</v>
      </c>
      <c r="F12" s="1" t="s">
        <v>50</v>
      </c>
      <c r="G12" s="3">
        <v>400</v>
      </c>
      <c r="H12" s="5">
        <v>45395</v>
      </c>
      <c r="I12" s="3" t="s">
        <v>51</v>
      </c>
      <c r="J12" s="3" t="s">
        <v>52</v>
      </c>
      <c r="K12" s="6">
        <v>352400299</v>
      </c>
      <c r="L12" s="6" t="s">
        <v>54</v>
      </c>
    </row>
    <row r="13" spans="1:12" customFormat="1" ht="14.4" x14ac:dyDescent="0.3">
      <c r="A13" s="1" t="s">
        <v>12</v>
      </c>
      <c r="B13" s="1" t="s">
        <v>13</v>
      </c>
      <c r="C13" s="2" t="s">
        <v>14</v>
      </c>
      <c r="D13" s="1" t="s">
        <v>48</v>
      </c>
      <c r="E13" s="1" t="s">
        <v>49</v>
      </c>
      <c r="F13" s="1" t="s">
        <v>50</v>
      </c>
      <c r="G13" s="3">
        <v>400</v>
      </c>
      <c r="H13" s="5">
        <v>45395</v>
      </c>
      <c r="I13" s="3" t="s">
        <v>51</v>
      </c>
      <c r="J13" s="3" t="s">
        <v>52</v>
      </c>
      <c r="K13" s="6">
        <v>352400300</v>
      </c>
      <c r="L13" s="6" t="s">
        <v>54</v>
      </c>
    </row>
    <row r="14" spans="1:12" customFormat="1" ht="14.4" x14ac:dyDescent="0.3">
      <c r="A14" s="1" t="s">
        <v>12</v>
      </c>
      <c r="B14" s="1" t="s">
        <v>13</v>
      </c>
      <c r="C14" s="2" t="s">
        <v>14</v>
      </c>
      <c r="D14" s="1" t="s">
        <v>48</v>
      </c>
      <c r="E14" s="1" t="s">
        <v>49</v>
      </c>
      <c r="F14" s="1" t="s">
        <v>50</v>
      </c>
      <c r="G14" s="3">
        <v>400</v>
      </c>
      <c r="H14" s="5">
        <v>45395</v>
      </c>
      <c r="I14" s="3" t="s">
        <v>51</v>
      </c>
      <c r="J14" s="3" t="s">
        <v>52</v>
      </c>
      <c r="K14" s="6">
        <v>352400301</v>
      </c>
      <c r="L14" s="6" t="s">
        <v>54</v>
      </c>
    </row>
    <row r="15" spans="1:12" customFormat="1" ht="14.4" x14ac:dyDescent="0.3">
      <c r="A15" s="1" t="s">
        <v>12</v>
      </c>
      <c r="B15" s="1" t="s">
        <v>13</v>
      </c>
      <c r="C15" s="2" t="s">
        <v>14</v>
      </c>
      <c r="D15" s="1" t="s">
        <v>55</v>
      </c>
      <c r="E15" s="1" t="s">
        <v>56</v>
      </c>
      <c r="F15" s="1" t="s">
        <v>57</v>
      </c>
      <c r="G15" s="3">
        <v>400</v>
      </c>
      <c r="H15" s="5">
        <v>45395</v>
      </c>
      <c r="I15" s="3" t="s">
        <v>58</v>
      </c>
      <c r="J15" s="3" t="s">
        <v>59</v>
      </c>
      <c r="K15" s="6">
        <v>352400302</v>
      </c>
      <c r="L15" s="6" t="s">
        <v>54</v>
      </c>
    </row>
    <row r="16" spans="1:12" customFormat="1" ht="14.4" x14ac:dyDescent="0.3">
      <c r="A16" s="1" t="s">
        <v>12</v>
      </c>
      <c r="B16" s="1" t="s">
        <v>13</v>
      </c>
      <c r="C16" s="2" t="s">
        <v>14</v>
      </c>
      <c r="D16" s="1" t="s">
        <v>41</v>
      </c>
      <c r="E16" s="1" t="s">
        <v>42</v>
      </c>
      <c r="F16" s="1" t="s">
        <v>43</v>
      </c>
      <c r="G16" s="3">
        <v>4000</v>
      </c>
      <c r="H16" s="5">
        <v>45395</v>
      </c>
      <c r="I16" s="3" t="s">
        <v>44</v>
      </c>
      <c r="J16" s="3" t="s">
        <v>45</v>
      </c>
      <c r="K16" s="1">
        <v>352400282</v>
      </c>
      <c r="L16" s="6" t="s">
        <v>60</v>
      </c>
    </row>
    <row r="17" spans="1:12" customFormat="1" ht="14.4" x14ac:dyDescent="0.3">
      <c r="A17" s="1" t="s">
        <v>12</v>
      </c>
      <c r="B17" s="1" t="s">
        <v>13</v>
      </c>
      <c r="C17" s="2" t="s">
        <v>14</v>
      </c>
      <c r="D17" s="1" t="s">
        <v>41</v>
      </c>
      <c r="E17" s="1" t="s">
        <v>61</v>
      </c>
      <c r="F17" s="1" t="s">
        <v>62</v>
      </c>
      <c r="G17" s="3">
        <v>4750</v>
      </c>
      <c r="H17" s="5">
        <v>45395</v>
      </c>
      <c r="I17" s="3" t="s">
        <v>63</v>
      </c>
      <c r="J17" s="3" t="s">
        <v>59</v>
      </c>
      <c r="K17" s="1">
        <v>352400240</v>
      </c>
      <c r="L17" s="6" t="s">
        <v>24</v>
      </c>
    </row>
    <row r="18" spans="1:12" customFormat="1" ht="14.4" x14ac:dyDescent="0.3">
      <c r="A18" s="1" t="s">
        <v>12</v>
      </c>
      <c r="B18" s="1" t="s">
        <v>13</v>
      </c>
      <c r="C18" s="2" t="s">
        <v>14</v>
      </c>
      <c r="D18" s="1" t="s">
        <v>64</v>
      </c>
      <c r="E18" s="1" t="s">
        <v>65</v>
      </c>
      <c r="F18" s="1" t="s">
        <v>66</v>
      </c>
      <c r="G18" s="3">
        <v>5250</v>
      </c>
      <c r="H18" s="5">
        <v>45395</v>
      </c>
      <c r="I18" s="3" t="s">
        <v>67</v>
      </c>
      <c r="J18" s="3" t="s">
        <v>68</v>
      </c>
      <c r="K18" s="1">
        <v>352400196</v>
      </c>
      <c r="L18" s="6" t="s">
        <v>69</v>
      </c>
    </row>
    <row r="19" spans="1:12" customFormat="1" ht="14.4" x14ac:dyDescent="0.3">
      <c r="A19" s="1" t="s">
        <v>12</v>
      </c>
      <c r="B19" s="1" t="s">
        <v>13</v>
      </c>
      <c r="C19" s="2" t="s">
        <v>14</v>
      </c>
      <c r="D19" s="1" t="s">
        <v>70</v>
      </c>
      <c r="E19" s="1" t="s">
        <v>71</v>
      </c>
      <c r="F19" s="1" t="s">
        <v>72</v>
      </c>
      <c r="G19" s="3">
        <v>5250</v>
      </c>
      <c r="H19" s="5">
        <v>45395</v>
      </c>
      <c r="I19" s="3" t="s">
        <v>21</v>
      </c>
      <c r="J19" s="3" t="s">
        <v>22</v>
      </c>
      <c r="K19" s="1">
        <v>352400281</v>
      </c>
      <c r="L19" s="6" t="s">
        <v>69</v>
      </c>
    </row>
    <row r="20" spans="1:12" customFormat="1" ht="14.4" x14ac:dyDescent="0.3">
      <c r="A20" s="1" t="s">
        <v>12</v>
      </c>
      <c r="B20" s="1" t="s">
        <v>13</v>
      </c>
      <c r="C20" s="2" t="s">
        <v>14</v>
      </c>
      <c r="D20" s="1" t="s">
        <v>36</v>
      </c>
      <c r="E20" s="1" t="s">
        <v>37</v>
      </c>
      <c r="F20" s="1" t="s">
        <v>38</v>
      </c>
      <c r="G20" s="3">
        <v>3750</v>
      </c>
      <c r="H20" s="5">
        <v>45395</v>
      </c>
      <c r="I20" s="3" t="s">
        <v>39</v>
      </c>
      <c r="J20" s="3" t="s">
        <v>40</v>
      </c>
      <c r="K20" s="1">
        <v>352400280</v>
      </c>
      <c r="L20" s="6" t="s">
        <v>69</v>
      </c>
    </row>
    <row r="21" spans="1:12" customFormat="1" ht="14.4" x14ac:dyDescent="0.3">
      <c r="A21" s="1" t="s">
        <v>12</v>
      </c>
      <c r="B21" s="1" t="s">
        <v>13</v>
      </c>
      <c r="C21" s="2" t="s">
        <v>14</v>
      </c>
      <c r="D21" s="1" t="s">
        <v>73</v>
      </c>
      <c r="E21" s="7">
        <v>38795170941</v>
      </c>
      <c r="F21" s="1" t="s">
        <v>74</v>
      </c>
      <c r="G21" s="3">
        <v>4750</v>
      </c>
      <c r="H21" s="5">
        <v>45395</v>
      </c>
      <c r="I21" s="3" t="s">
        <v>75</v>
      </c>
      <c r="J21" s="3" t="s">
        <v>76</v>
      </c>
      <c r="K21" s="1">
        <v>352400246</v>
      </c>
      <c r="L21" s="6" t="s">
        <v>24</v>
      </c>
    </row>
    <row r="22" spans="1:12" customFormat="1" ht="14.4" x14ac:dyDescent="0.3">
      <c r="A22" s="1" t="s">
        <v>12</v>
      </c>
      <c r="B22" s="1" t="s">
        <v>13</v>
      </c>
      <c r="C22" s="2" t="s">
        <v>14</v>
      </c>
      <c r="D22" s="3" t="s">
        <v>25</v>
      </c>
      <c r="E22" s="4" t="s">
        <v>26</v>
      </c>
      <c r="F22" s="3" t="s">
        <v>27</v>
      </c>
      <c r="G22" s="3">
        <v>6200</v>
      </c>
      <c r="H22" s="5">
        <v>45395</v>
      </c>
      <c r="I22" s="3" t="s">
        <v>77</v>
      </c>
      <c r="J22" s="3" t="s">
        <v>29</v>
      </c>
      <c r="K22" s="1">
        <v>352400306</v>
      </c>
      <c r="L22" s="1" t="s">
        <v>30</v>
      </c>
    </row>
    <row r="23" spans="1:12" customFormat="1" ht="14.4" x14ac:dyDescent="0.3">
      <c r="A23" s="1" t="s">
        <v>12</v>
      </c>
      <c r="B23" s="1" t="s">
        <v>13</v>
      </c>
      <c r="C23" s="2" t="s">
        <v>14</v>
      </c>
      <c r="D23" s="1" t="s">
        <v>70</v>
      </c>
      <c r="E23" s="1" t="s">
        <v>71</v>
      </c>
      <c r="F23" s="1" t="s">
        <v>72</v>
      </c>
      <c r="G23" s="3">
        <v>5250</v>
      </c>
      <c r="H23" s="5">
        <v>45395</v>
      </c>
      <c r="I23" s="3" t="s">
        <v>78</v>
      </c>
      <c r="J23" s="3" t="s">
        <v>79</v>
      </c>
      <c r="K23" s="1">
        <v>352400194</v>
      </c>
      <c r="L23" s="6" t="s">
        <v>69</v>
      </c>
    </row>
    <row r="24" spans="1:12" customFormat="1" ht="14.4" x14ac:dyDescent="0.3">
      <c r="A24" s="1" t="s">
        <v>12</v>
      </c>
      <c r="B24" s="1" t="s">
        <v>13</v>
      </c>
      <c r="C24" s="2" t="s">
        <v>14</v>
      </c>
      <c r="D24" s="1" t="s">
        <v>80</v>
      </c>
      <c r="E24" s="1" t="s">
        <v>81</v>
      </c>
      <c r="F24" s="1" t="s">
        <v>82</v>
      </c>
      <c r="G24" s="3">
        <v>5250</v>
      </c>
      <c r="H24" s="5">
        <v>45395</v>
      </c>
      <c r="I24" s="3" t="s">
        <v>83</v>
      </c>
      <c r="J24" s="3" t="s">
        <v>84</v>
      </c>
      <c r="K24" s="1">
        <v>352400195</v>
      </c>
      <c r="L24" s="6" t="s">
        <v>69</v>
      </c>
    </row>
    <row r="25" spans="1:12" customFormat="1" ht="14.4" x14ac:dyDescent="0.3">
      <c r="A25" s="1" t="s">
        <v>12</v>
      </c>
      <c r="B25" s="1" t="s">
        <v>13</v>
      </c>
      <c r="C25" s="2" t="s">
        <v>14</v>
      </c>
      <c r="D25" s="1" t="s">
        <v>15</v>
      </c>
      <c r="E25" s="1" t="s">
        <v>16</v>
      </c>
      <c r="F25" s="1" t="s">
        <v>17</v>
      </c>
      <c r="G25" s="3">
        <v>500</v>
      </c>
      <c r="H25" s="5">
        <v>45397</v>
      </c>
      <c r="I25" s="3" t="s">
        <v>85</v>
      </c>
      <c r="J25" s="3" t="s">
        <v>19</v>
      </c>
      <c r="K25" s="1">
        <v>352400330</v>
      </c>
      <c r="L25" s="6" t="s">
        <v>86</v>
      </c>
    </row>
    <row r="26" spans="1:12" customFormat="1" ht="14.4" x14ac:dyDescent="0.3">
      <c r="A26" s="1" t="s">
        <v>12</v>
      </c>
      <c r="B26" s="1" t="s">
        <v>13</v>
      </c>
      <c r="C26" s="2" t="s">
        <v>14</v>
      </c>
      <c r="D26" s="1" t="s">
        <v>15</v>
      </c>
      <c r="E26" s="1" t="s">
        <v>16</v>
      </c>
      <c r="F26" s="1" t="s">
        <v>17</v>
      </c>
      <c r="G26" s="3">
        <v>4000</v>
      </c>
      <c r="H26" s="5">
        <v>45397</v>
      </c>
      <c r="I26" s="3" t="s">
        <v>85</v>
      </c>
      <c r="J26" s="3" t="s">
        <v>19</v>
      </c>
      <c r="K26" s="1">
        <v>352400330</v>
      </c>
      <c r="L26" s="6" t="s">
        <v>20</v>
      </c>
    </row>
    <row r="27" spans="1:12" customFormat="1" ht="14.4" x14ac:dyDescent="0.3">
      <c r="A27" s="1" t="s">
        <v>12</v>
      </c>
      <c r="B27" s="1" t="s">
        <v>13</v>
      </c>
      <c r="C27" s="2" t="s">
        <v>14</v>
      </c>
      <c r="D27" s="1" t="s">
        <v>41</v>
      </c>
      <c r="E27" s="1" t="s">
        <v>42</v>
      </c>
      <c r="F27" s="1" t="s">
        <v>43</v>
      </c>
      <c r="G27" s="3">
        <v>2000</v>
      </c>
      <c r="H27" s="5">
        <v>45397</v>
      </c>
      <c r="I27" s="3" t="s">
        <v>87</v>
      </c>
      <c r="J27" s="3" t="s">
        <v>45</v>
      </c>
      <c r="K27" s="1">
        <v>352400318</v>
      </c>
      <c r="L27" s="6" t="s">
        <v>46</v>
      </c>
    </row>
    <row r="28" spans="1:12" customFormat="1" ht="14.4" x14ac:dyDescent="0.3">
      <c r="A28" s="1" t="s">
        <v>12</v>
      </c>
      <c r="B28" s="1" t="s">
        <v>13</v>
      </c>
      <c r="C28" s="2" t="s">
        <v>14</v>
      </c>
      <c r="D28" s="1" t="s">
        <v>41</v>
      </c>
      <c r="E28" s="1" t="s">
        <v>42</v>
      </c>
      <c r="F28" s="1" t="s">
        <v>43</v>
      </c>
      <c r="G28" s="3">
        <v>4000</v>
      </c>
      <c r="H28" s="5">
        <v>45397</v>
      </c>
      <c r="I28" s="3" t="s">
        <v>87</v>
      </c>
      <c r="J28" s="3" t="s">
        <v>45</v>
      </c>
      <c r="K28" s="1">
        <v>352400318</v>
      </c>
      <c r="L28" s="6" t="s">
        <v>20</v>
      </c>
    </row>
    <row r="29" spans="1:12" customFormat="1" ht="14.4" x14ac:dyDescent="0.3">
      <c r="A29" s="1" t="s">
        <v>12</v>
      </c>
      <c r="B29" s="1" t="s">
        <v>13</v>
      </c>
      <c r="C29" s="2" t="s">
        <v>14</v>
      </c>
      <c r="D29" s="1" t="s">
        <v>41</v>
      </c>
      <c r="E29" s="1" t="s">
        <v>61</v>
      </c>
      <c r="F29" s="1" t="s">
        <v>62</v>
      </c>
      <c r="G29" s="3">
        <v>5000</v>
      </c>
      <c r="H29" s="5">
        <v>45397</v>
      </c>
      <c r="I29" s="3" t="s">
        <v>88</v>
      </c>
      <c r="J29" s="3" t="s">
        <v>59</v>
      </c>
      <c r="K29" s="1">
        <v>352400328</v>
      </c>
      <c r="L29" s="6" t="s">
        <v>35</v>
      </c>
    </row>
    <row r="30" spans="1:12" customFormat="1" ht="14.4" x14ac:dyDescent="0.3">
      <c r="A30" s="1" t="s">
        <v>12</v>
      </c>
      <c r="B30" s="1" t="s">
        <v>13</v>
      </c>
      <c r="C30" s="2" t="s">
        <v>14</v>
      </c>
      <c r="D30" s="1" t="s">
        <v>73</v>
      </c>
      <c r="E30" s="1" t="s">
        <v>89</v>
      </c>
      <c r="F30" s="1" t="s">
        <v>74</v>
      </c>
      <c r="G30" s="3">
        <v>4750</v>
      </c>
      <c r="H30" s="5">
        <v>45397</v>
      </c>
      <c r="I30" s="3" t="s">
        <v>90</v>
      </c>
      <c r="J30" s="3" t="s">
        <v>76</v>
      </c>
      <c r="K30" s="1">
        <v>352400329</v>
      </c>
      <c r="L30" s="6" t="s">
        <v>24</v>
      </c>
    </row>
    <row r="31" spans="1:12" customFormat="1" ht="14.4" x14ac:dyDescent="0.3">
      <c r="A31" s="1" t="s">
        <v>12</v>
      </c>
      <c r="B31" s="1" t="s">
        <v>13</v>
      </c>
      <c r="C31" s="2" t="s">
        <v>14</v>
      </c>
      <c r="D31" s="1" t="s">
        <v>70</v>
      </c>
      <c r="E31" s="1" t="s">
        <v>71</v>
      </c>
      <c r="F31" s="1" t="s">
        <v>72</v>
      </c>
      <c r="G31" s="3">
        <v>5250</v>
      </c>
      <c r="H31" s="5">
        <v>45397</v>
      </c>
      <c r="I31" s="3" t="s">
        <v>91</v>
      </c>
      <c r="J31" s="3" t="s">
        <v>22</v>
      </c>
      <c r="K31" s="1">
        <v>352400332</v>
      </c>
      <c r="L31" s="6" t="s">
        <v>69</v>
      </c>
    </row>
    <row r="32" spans="1:12" customFormat="1" ht="14.4" x14ac:dyDescent="0.3">
      <c r="A32" s="1" t="s">
        <v>12</v>
      </c>
      <c r="B32" s="1" t="s">
        <v>13</v>
      </c>
      <c r="C32" s="2" t="s">
        <v>14</v>
      </c>
      <c r="D32" s="1" t="s">
        <v>36</v>
      </c>
      <c r="E32" s="1" t="s">
        <v>37</v>
      </c>
      <c r="F32" s="1" t="s">
        <v>38</v>
      </c>
      <c r="G32" s="3">
        <v>5250</v>
      </c>
      <c r="H32" s="5">
        <v>45397</v>
      </c>
      <c r="I32" s="3" t="s">
        <v>92</v>
      </c>
      <c r="J32" s="3" t="s">
        <v>40</v>
      </c>
      <c r="K32" s="1">
        <v>352400331</v>
      </c>
      <c r="L32" s="6" t="s">
        <v>69</v>
      </c>
    </row>
    <row r="33" spans="1:12" customFormat="1" ht="14.4" x14ac:dyDescent="0.3">
      <c r="A33" s="1" t="s">
        <v>12</v>
      </c>
      <c r="B33" s="1" t="s">
        <v>13</v>
      </c>
      <c r="C33" s="2" t="s">
        <v>14</v>
      </c>
      <c r="D33" s="1" t="s">
        <v>70</v>
      </c>
      <c r="E33" s="1" t="s">
        <v>71</v>
      </c>
      <c r="F33" s="1" t="s">
        <v>72</v>
      </c>
      <c r="G33" s="3">
        <v>5250</v>
      </c>
      <c r="H33" s="5">
        <v>45397</v>
      </c>
      <c r="I33" s="3" t="s">
        <v>78</v>
      </c>
      <c r="J33" s="3" t="s">
        <v>79</v>
      </c>
      <c r="K33" s="1">
        <v>352400194</v>
      </c>
      <c r="L33" s="6" t="s">
        <v>69</v>
      </c>
    </row>
    <row r="34" spans="1:12" customFormat="1" ht="14.4" x14ac:dyDescent="0.3">
      <c r="A34" s="1" t="s">
        <v>12</v>
      </c>
      <c r="B34" s="1" t="s">
        <v>13</v>
      </c>
      <c r="C34" s="2" t="s">
        <v>14</v>
      </c>
      <c r="D34" s="1" t="s">
        <v>80</v>
      </c>
      <c r="E34" s="1" t="s">
        <v>81</v>
      </c>
      <c r="F34" s="1" t="s">
        <v>82</v>
      </c>
      <c r="G34" s="3">
        <v>5250</v>
      </c>
      <c r="H34" s="5">
        <v>45397</v>
      </c>
      <c r="I34" s="3" t="s">
        <v>83</v>
      </c>
      <c r="J34" s="3" t="s">
        <v>84</v>
      </c>
      <c r="K34" s="1">
        <v>352400334</v>
      </c>
      <c r="L34" s="6" t="s">
        <v>69</v>
      </c>
    </row>
    <row r="35" spans="1:12" customFormat="1" ht="14.4" x14ac:dyDescent="0.3">
      <c r="A35" s="1" t="s">
        <v>12</v>
      </c>
      <c r="B35" s="1" t="s">
        <v>13</v>
      </c>
      <c r="C35" s="2" t="s">
        <v>14</v>
      </c>
      <c r="D35" s="3" t="s">
        <v>25</v>
      </c>
      <c r="E35" s="4" t="s">
        <v>26</v>
      </c>
      <c r="F35" s="3" t="s">
        <v>27</v>
      </c>
      <c r="G35" s="3">
        <v>5250</v>
      </c>
      <c r="H35" s="5">
        <v>45397</v>
      </c>
      <c r="I35" s="3" t="s">
        <v>93</v>
      </c>
      <c r="J35" s="3" t="s">
        <v>34</v>
      </c>
      <c r="K35" s="1">
        <v>352400272</v>
      </c>
      <c r="L35" s="6" t="s">
        <v>94</v>
      </c>
    </row>
    <row r="36" spans="1:12" customFormat="1" ht="14.4" x14ac:dyDescent="0.3">
      <c r="A36" s="1" t="s">
        <v>12</v>
      </c>
      <c r="B36" s="1" t="s">
        <v>13</v>
      </c>
      <c r="C36" s="2" t="s">
        <v>14</v>
      </c>
      <c r="D36" s="1" t="s">
        <v>95</v>
      </c>
      <c r="E36" s="1" t="s">
        <v>96</v>
      </c>
      <c r="F36" s="1" t="s">
        <v>33</v>
      </c>
      <c r="G36" s="1">
        <f>800+2000</f>
        <v>2800</v>
      </c>
      <c r="H36" s="5">
        <v>45398</v>
      </c>
      <c r="I36" s="3" t="s">
        <v>97</v>
      </c>
      <c r="J36" s="3" t="s">
        <v>98</v>
      </c>
      <c r="K36" s="1">
        <v>352400362</v>
      </c>
      <c r="L36" s="6" t="s">
        <v>99</v>
      </c>
    </row>
    <row r="37" spans="1:12" customFormat="1" ht="14.4" x14ac:dyDescent="0.3">
      <c r="A37" s="1" t="s">
        <v>12</v>
      </c>
      <c r="B37" s="1" t="s">
        <v>13</v>
      </c>
      <c r="C37" s="2" t="s">
        <v>14</v>
      </c>
      <c r="D37" s="3" t="s">
        <v>25</v>
      </c>
      <c r="E37" s="4" t="s">
        <v>26</v>
      </c>
      <c r="F37" s="3" t="s">
        <v>27</v>
      </c>
      <c r="G37" s="3">
        <v>1000</v>
      </c>
      <c r="H37" s="5">
        <v>45398</v>
      </c>
      <c r="I37" s="3" t="s">
        <v>93</v>
      </c>
      <c r="J37" s="3" t="s">
        <v>34</v>
      </c>
      <c r="K37" s="1">
        <v>352400342</v>
      </c>
      <c r="L37" s="6" t="s">
        <v>94</v>
      </c>
    </row>
    <row r="38" spans="1:12" customFormat="1" ht="14.4" x14ac:dyDescent="0.3">
      <c r="A38" s="1" t="s">
        <v>12</v>
      </c>
      <c r="B38" s="1" t="s">
        <v>13</v>
      </c>
      <c r="C38" s="2" t="s">
        <v>14</v>
      </c>
      <c r="D38" s="1" t="s">
        <v>15</v>
      </c>
      <c r="E38" s="1" t="s">
        <v>16</v>
      </c>
      <c r="F38" s="1" t="s">
        <v>17</v>
      </c>
      <c r="G38" s="3">
        <v>4000</v>
      </c>
      <c r="H38" s="5">
        <v>45398</v>
      </c>
      <c r="I38" s="3" t="s">
        <v>85</v>
      </c>
      <c r="J38" s="3" t="s">
        <v>19</v>
      </c>
      <c r="K38" s="1">
        <v>352400347</v>
      </c>
      <c r="L38" s="6" t="s">
        <v>20</v>
      </c>
    </row>
    <row r="39" spans="1:12" customFormat="1" ht="14.4" x14ac:dyDescent="0.3">
      <c r="A39" s="1" t="s">
        <v>12</v>
      </c>
      <c r="B39" s="1" t="s">
        <v>13</v>
      </c>
      <c r="C39" s="2" t="s">
        <v>14</v>
      </c>
      <c r="D39" s="1" t="s">
        <v>41</v>
      </c>
      <c r="E39" s="1" t="s">
        <v>42</v>
      </c>
      <c r="F39" s="1" t="s">
        <v>43</v>
      </c>
      <c r="G39" s="3">
        <v>2000</v>
      </c>
      <c r="H39" s="5">
        <v>45398</v>
      </c>
      <c r="I39" s="3" t="s">
        <v>87</v>
      </c>
      <c r="J39" s="3" t="s">
        <v>45</v>
      </c>
      <c r="K39" s="1">
        <v>352400343</v>
      </c>
      <c r="L39" s="6" t="s">
        <v>46</v>
      </c>
    </row>
    <row r="40" spans="1:12" customFormat="1" ht="14.4" x14ac:dyDescent="0.3">
      <c r="A40" s="1" t="s">
        <v>12</v>
      </c>
      <c r="B40" s="1" t="s">
        <v>13</v>
      </c>
      <c r="C40" s="2" t="s">
        <v>14</v>
      </c>
      <c r="D40" s="1" t="s">
        <v>41</v>
      </c>
      <c r="E40" s="1" t="s">
        <v>61</v>
      </c>
      <c r="F40" s="1" t="s">
        <v>62</v>
      </c>
      <c r="G40" s="3">
        <f>500+4750</f>
        <v>5250</v>
      </c>
      <c r="H40" s="5">
        <v>45398</v>
      </c>
      <c r="I40" s="3" t="s">
        <v>88</v>
      </c>
      <c r="J40" s="3" t="s">
        <v>59</v>
      </c>
      <c r="K40" s="1">
        <v>352400349</v>
      </c>
      <c r="L40" s="6" t="s">
        <v>100</v>
      </c>
    </row>
    <row r="41" spans="1:12" customFormat="1" ht="14.4" x14ac:dyDescent="0.3">
      <c r="A41" s="1" t="s">
        <v>12</v>
      </c>
      <c r="B41" s="1" t="s">
        <v>13</v>
      </c>
      <c r="C41" s="2" t="s">
        <v>14</v>
      </c>
      <c r="D41" s="1" t="s">
        <v>64</v>
      </c>
      <c r="E41" s="1" t="s">
        <v>65</v>
      </c>
      <c r="F41" s="1" t="s">
        <v>66</v>
      </c>
      <c r="G41" s="3">
        <f>500+4750</f>
        <v>5250</v>
      </c>
      <c r="H41" s="5">
        <v>45398</v>
      </c>
      <c r="I41" s="3" t="s">
        <v>101</v>
      </c>
      <c r="J41" s="3" t="s">
        <v>68</v>
      </c>
      <c r="K41" s="1">
        <v>352400333</v>
      </c>
      <c r="L41" s="6" t="s">
        <v>69</v>
      </c>
    </row>
    <row r="42" spans="1:12" customFormat="1" ht="14.4" x14ac:dyDescent="0.3">
      <c r="A42" s="1" t="s">
        <v>12</v>
      </c>
      <c r="B42" s="1" t="s">
        <v>13</v>
      </c>
      <c r="C42" s="2" t="s">
        <v>14</v>
      </c>
      <c r="D42" s="8" t="s">
        <v>102</v>
      </c>
      <c r="E42" s="7">
        <v>54058048230</v>
      </c>
      <c r="F42" s="1" t="s">
        <v>103</v>
      </c>
      <c r="G42" s="3">
        <f>500+4750</f>
        <v>5250</v>
      </c>
      <c r="H42" s="5">
        <v>45398</v>
      </c>
      <c r="I42" s="3" t="s">
        <v>78</v>
      </c>
      <c r="J42" s="3" t="s">
        <v>79</v>
      </c>
      <c r="K42" s="1">
        <v>352400356</v>
      </c>
      <c r="L42" s="6" t="s">
        <v>69</v>
      </c>
    </row>
    <row r="43" spans="1:12" customFormat="1" ht="14.4" x14ac:dyDescent="0.3">
      <c r="A43" s="1" t="s">
        <v>12</v>
      </c>
      <c r="B43" s="1" t="s">
        <v>13</v>
      </c>
      <c r="C43" s="2" t="s">
        <v>14</v>
      </c>
      <c r="D43" s="8" t="s">
        <v>104</v>
      </c>
      <c r="E43" s="9">
        <v>309023553967</v>
      </c>
      <c r="F43" s="1" t="s">
        <v>105</v>
      </c>
      <c r="G43" s="3">
        <f>500+4750</f>
        <v>5250</v>
      </c>
      <c r="H43" s="5">
        <v>45398</v>
      </c>
      <c r="I43" s="3" t="s">
        <v>91</v>
      </c>
      <c r="J43" s="3" t="s">
        <v>22</v>
      </c>
      <c r="K43" s="1">
        <v>352400352</v>
      </c>
      <c r="L43" s="6" t="s">
        <v>69</v>
      </c>
    </row>
    <row r="44" spans="1:12" customFormat="1" ht="14.4" x14ac:dyDescent="0.3">
      <c r="A44" s="1" t="s">
        <v>12</v>
      </c>
      <c r="B44" s="1" t="s">
        <v>13</v>
      </c>
      <c r="C44" s="2" t="s">
        <v>14</v>
      </c>
      <c r="D44" s="3" t="s">
        <v>25</v>
      </c>
      <c r="E44" s="4" t="s">
        <v>26</v>
      </c>
      <c r="F44" s="3" t="s">
        <v>27</v>
      </c>
      <c r="G44" s="3">
        <v>5250</v>
      </c>
      <c r="H44" s="5">
        <v>45398</v>
      </c>
      <c r="I44" s="3" t="s">
        <v>77</v>
      </c>
      <c r="J44" s="3" t="s">
        <v>29</v>
      </c>
      <c r="K44" s="1">
        <v>352400327</v>
      </c>
      <c r="L44" s="6" t="s">
        <v>69</v>
      </c>
    </row>
    <row r="45" spans="1:12" customFormat="1" ht="14.4" x14ac:dyDescent="0.3">
      <c r="A45" s="1" t="s">
        <v>12</v>
      </c>
      <c r="B45" s="1" t="s">
        <v>13</v>
      </c>
      <c r="C45" s="2" t="s">
        <v>14</v>
      </c>
      <c r="D45" s="1" t="s">
        <v>36</v>
      </c>
      <c r="E45" s="1" t="s">
        <v>37</v>
      </c>
      <c r="F45" s="1" t="s">
        <v>38</v>
      </c>
      <c r="G45" s="3">
        <v>5250</v>
      </c>
      <c r="H45" s="5">
        <v>45398</v>
      </c>
      <c r="I45" s="3" t="s">
        <v>92</v>
      </c>
      <c r="J45" s="3" t="s">
        <v>40</v>
      </c>
      <c r="K45" s="1">
        <v>352400350</v>
      </c>
      <c r="L45" s="6" t="s">
        <v>69</v>
      </c>
    </row>
    <row r="46" spans="1:12" customFormat="1" ht="14.4" x14ac:dyDescent="0.3">
      <c r="A46" s="1" t="s">
        <v>12</v>
      </c>
      <c r="B46" s="1" t="s">
        <v>13</v>
      </c>
      <c r="C46" s="2" t="s">
        <v>14</v>
      </c>
      <c r="D46" s="1" t="s">
        <v>70</v>
      </c>
      <c r="E46" s="1" t="s">
        <v>71</v>
      </c>
      <c r="F46" s="1" t="s">
        <v>72</v>
      </c>
      <c r="G46" s="3">
        <v>5000</v>
      </c>
      <c r="H46" s="5">
        <v>45398</v>
      </c>
      <c r="I46" s="3" t="s">
        <v>83</v>
      </c>
      <c r="J46" s="3" t="s">
        <v>84</v>
      </c>
      <c r="K46" s="1">
        <v>352400353</v>
      </c>
      <c r="L46" s="6" t="s">
        <v>35</v>
      </c>
    </row>
    <row r="47" spans="1:12" customFormat="1" ht="14.4" x14ac:dyDescent="0.3">
      <c r="A47" s="1" t="s">
        <v>12</v>
      </c>
      <c r="B47" s="1" t="s">
        <v>13</v>
      </c>
      <c r="C47" s="2" t="s">
        <v>14</v>
      </c>
      <c r="D47" s="1" t="s">
        <v>15</v>
      </c>
      <c r="E47" s="1" t="s">
        <v>16</v>
      </c>
      <c r="F47" s="1" t="s">
        <v>17</v>
      </c>
      <c r="G47" s="3">
        <v>4000</v>
      </c>
      <c r="H47" s="5">
        <v>45399</v>
      </c>
      <c r="I47" s="3" t="s">
        <v>85</v>
      </c>
      <c r="J47" s="3" t="s">
        <v>19</v>
      </c>
      <c r="K47" s="1">
        <v>352400376</v>
      </c>
      <c r="L47" s="6" t="s">
        <v>20</v>
      </c>
    </row>
    <row r="48" spans="1:12" customFormat="1" ht="14.4" x14ac:dyDescent="0.3">
      <c r="A48" s="1" t="s">
        <v>12</v>
      </c>
      <c r="B48" s="1" t="s">
        <v>13</v>
      </c>
      <c r="C48" s="2" t="s">
        <v>14</v>
      </c>
      <c r="D48" s="1" t="s">
        <v>41</v>
      </c>
      <c r="E48" s="1" t="s">
        <v>42</v>
      </c>
      <c r="F48" s="1" t="s">
        <v>43</v>
      </c>
      <c r="G48" s="3">
        <v>4000</v>
      </c>
      <c r="H48" s="5">
        <v>45399</v>
      </c>
      <c r="I48" s="3" t="s">
        <v>87</v>
      </c>
      <c r="J48" s="3" t="s">
        <v>45</v>
      </c>
      <c r="K48" s="1">
        <v>352400377</v>
      </c>
      <c r="L48" s="6" t="s">
        <v>60</v>
      </c>
    </row>
    <row r="49" spans="1:12" customFormat="1" ht="14.4" x14ac:dyDescent="0.3">
      <c r="A49" s="1" t="s">
        <v>12</v>
      </c>
      <c r="B49" s="1" t="s">
        <v>13</v>
      </c>
      <c r="C49" s="2" t="s">
        <v>14</v>
      </c>
      <c r="D49" s="8" t="s">
        <v>102</v>
      </c>
      <c r="E49" s="7">
        <v>54058048230</v>
      </c>
      <c r="F49" s="1" t="s">
        <v>103</v>
      </c>
      <c r="G49" s="3">
        <v>7500</v>
      </c>
      <c r="H49" s="5">
        <v>45399</v>
      </c>
      <c r="I49" s="3" t="s">
        <v>78</v>
      </c>
      <c r="J49" s="3" t="s">
        <v>79</v>
      </c>
      <c r="K49" s="1">
        <v>352400387</v>
      </c>
      <c r="L49" s="6" t="s">
        <v>106</v>
      </c>
    </row>
    <row r="50" spans="1:12" customFormat="1" ht="14.4" x14ac:dyDescent="0.3">
      <c r="A50" s="1" t="s">
        <v>12</v>
      </c>
      <c r="B50" s="1" t="s">
        <v>13</v>
      </c>
      <c r="C50" s="2" t="s">
        <v>14</v>
      </c>
      <c r="D50" s="8" t="s">
        <v>104</v>
      </c>
      <c r="E50" s="9">
        <v>309023553967</v>
      </c>
      <c r="F50" s="1" t="s">
        <v>105</v>
      </c>
      <c r="G50" s="3">
        <v>7500</v>
      </c>
      <c r="H50" s="5">
        <v>45399</v>
      </c>
      <c r="I50" s="3" t="s">
        <v>91</v>
      </c>
      <c r="J50" s="3" t="s">
        <v>22</v>
      </c>
      <c r="K50" s="1">
        <v>352400386</v>
      </c>
      <c r="L50" s="6" t="s">
        <v>106</v>
      </c>
    </row>
    <row r="51" spans="1:12" customFormat="1" ht="14.4" x14ac:dyDescent="0.3">
      <c r="A51" s="1" t="s">
        <v>12</v>
      </c>
      <c r="B51" s="1" t="s">
        <v>13</v>
      </c>
      <c r="C51" s="2" t="s">
        <v>14</v>
      </c>
      <c r="D51" s="3" t="s">
        <v>25</v>
      </c>
      <c r="E51" s="4" t="s">
        <v>26</v>
      </c>
      <c r="F51" s="3" t="s">
        <v>27</v>
      </c>
      <c r="G51" s="3">
        <v>7500</v>
      </c>
      <c r="H51" s="5">
        <v>45399</v>
      </c>
      <c r="I51" s="3" t="s">
        <v>77</v>
      </c>
      <c r="J51" s="3" t="s">
        <v>29</v>
      </c>
      <c r="K51" s="1">
        <v>352400388</v>
      </c>
      <c r="L51" s="6" t="s">
        <v>106</v>
      </c>
    </row>
    <row r="52" spans="1:12" customFormat="1" ht="14.4" x14ac:dyDescent="0.3">
      <c r="A52" s="1" t="s">
        <v>12</v>
      </c>
      <c r="B52" s="1" t="s">
        <v>13</v>
      </c>
      <c r="C52" s="2" t="s">
        <v>14</v>
      </c>
      <c r="D52" s="1" t="s">
        <v>70</v>
      </c>
      <c r="E52" s="1" t="s">
        <v>71</v>
      </c>
      <c r="F52" s="1" t="s">
        <v>72</v>
      </c>
      <c r="G52" s="3">
        <v>5500</v>
      </c>
      <c r="H52" s="5">
        <v>45399</v>
      </c>
      <c r="I52" s="3" t="s">
        <v>83</v>
      </c>
      <c r="J52" s="3" t="s">
        <v>84</v>
      </c>
      <c r="K52" s="1">
        <v>352400373</v>
      </c>
      <c r="L52" s="6" t="s">
        <v>107</v>
      </c>
    </row>
    <row r="53" spans="1:12" customFormat="1" ht="14.4" x14ac:dyDescent="0.3">
      <c r="A53" s="1" t="s">
        <v>12</v>
      </c>
      <c r="B53" s="1" t="s">
        <v>13</v>
      </c>
      <c r="C53" s="2" t="s">
        <v>14</v>
      </c>
      <c r="D53" s="1" t="s">
        <v>108</v>
      </c>
      <c r="E53" s="1" t="s">
        <v>109</v>
      </c>
      <c r="F53" s="1" t="s">
        <v>110</v>
      </c>
      <c r="G53" s="3">
        <v>3000</v>
      </c>
      <c r="H53" s="5">
        <v>45399</v>
      </c>
      <c r="I53" s="3" t="s">
        <v>93</v>
      </c>
      <c r="J53" s="3" t="s">
        <v>34</v>
      </c>
      <c r="K53" s="1">
        <v>352400342</v>
      </c>
      <c r="L53" s="6" t="s">
        <v>111</v>
      </c>
    </row>
    <row r="54" spans="1:12" customFormat="1" ht="14.4" x14ac:dyDescent="0.3">
      <c r="A54" s="1" t="s">
        <v>12</v>
      </c>
      <c r="B54" s="1" t="s">
        <v>13</v>
      </c>
      <c r="C54" s="2" t="s">
        <v>14</v>
      </c>
      <c r="D54" s="1" t="s">
        <v>95</v>
      </c>
      <c r="E54" s="1" t="s">
        <v>96</v>
      </c>
      <c r="F54" s="1" t="s">
        <v>33</v>
      </c>
      <c r="G54" s="1">
        <v>800</v>
      </c>
      <c r="H54" s="5">
        <v>45399</v>
      </c>
      <c r="I54" s="3" t="s">
        <v>97</v>
      </c>
      <c r="J54" s="3" t="s">
        <v>98</v>
      </c>
      <c r="K54" s="1">
        <v>352400378</v>
      </c>
      <c r="L54" s="6" t="s">
        <v>112</v>
      </c>
    </row>
    <row r="55" spans="1:12" customFormat="1" ht="14.4" x14ac:dyDescent="0.3">
      <c r="A55" s="1" t="s">
        <v>12</v>
      </c>
      <c r="B55" s="1" t="s">
        <v>13</v>
      </c>
      <c r="C55" s="2" t="s">
        <v>14</v>
      </c>
      <c r="D55" s="1" t="s">
        <v>15</v>
      </c>
      <c r="E55" s="1" t="s">
        <v>16</v>
      </c>
      <c r="F55" s="1" t="s">
        <v>17</v>
      </c>
      <c r="G55" s="3">
        <v>4000</v>
      </c>
      <c r="H55" s="5">
        <v>45400</v>
      </c>
      <c r="I55" s="3" t="s">
        <v>85</v>
      </c>
      <c r="J55" s="3" t="s">
        <v>19</v>
      </c>
      <c r="K55" s="1"/>
      <c r="L55" s="6" t="s">
        <v>20</v>
      </c>
    </row>
    <row r="56" spans="1:12" customFormat="1" ht="14.4" x14ac:dyDescent="0.3">
      <c r="A56" s="1" t="s">
        <v>12</v>
      </c>
      <c r="B56" s="1" t="s">
        <v>13</v>
      </c>
      <c r="C56" s="2" t="s">
        <v>14</v>
      </c>
      <c r="D56" s="1" t="s">
        <v>41</v>
      </c>
      <c r="E56" s="1" t="s">
        <v>42</v>
      </c>
      <c r="F56" s="1" t="s">
        <v>43</v>
      </c>
      <c r="G56" s="3">
        <v>4000</v>
      </c>
      <c r="H56" s="5">
        <v>45400</v>
      </c>
      <c r="I56" s="3" t="s">
        <v>87</v>
      </c>
      <c r="J56" s="3" t="s">
        <v>45</v>
      </c>
      <c r="K56" s="1"/>
      <c r="L56" s="6" t="s">
        <v>20</v>
      </c>
    </row>
    <row r="57" spans="1:12" customFormat="1" ht="14.4" x14ac:dyDescent="0.3">
      <c r="A57" s="1" t="s">
        <v>12</v>
      </c>
      <c r="B57" s="1" t="s">
        <v>13</v>
      </c>
      <c r="C57" s="2" t="s">
        <v>14</v>
      </c>
      <c r="D57" s="1" t="s">
        <v>64</v>
      </c>
      <c r="E57" s="1" t="s">
        <v>65</v>
      </c>
      <c r="F57" s="1" t="s">
        <v>66</v>
      </c>
      <c r="G57" s="3">
        <f>500+4750</f>
        <v>5250</v>
      </c>
      <c r="H57" s="5">
        <v>45400</v>
      </c>
      <c r="I57" s="3" t="s">
        <v>101</v>
      </c>
      <c r="J57" s="3" t="s">
        <v>68</v>
      </c>
      <c r="K57" s="1"/>
      <c r="L57" s="6" t="s">
        <v>69</v>
      </c>
    </row>
    <row r="58" spans="1:12" customFormat="1" ht="14.4" x14ac:dyDescent="0.3">
      <c r="A58" s="1" t="s">
        <v>12</v>
      </c>
      <c r="B58" s="1" t="s">
        <v>13</v>
      </c>
      <c r="C58" s="2" t="s">
        <v>14</v>
      </c>
      <c r="D58" s="1" t="s">
        <v>113</v>
      </c>
      <c r="E58" s="1" t="s">
        <v>114</v>
      </c>
      <c r="F58" s="1" t="s">
        <v>66</v>
      </c>
      <c r="G58" s="3">
        <f>500+4750</f>
        <v>5250</v>
      </c>
      <c r="H58" s="5">
        <v>45400</v>
      </c>
      <c r="I58" s="3" t="s">
        <v>88</v>
      </c>
      <c r="J58" s="3" t="s">
        <v>59</v>
      </c>
      <c r="K58" s="1"/>
      <c r="L58" s="6" t="s">
        <v>69</v>
      </c>
    </row>
    <row r="59" spans="1:12" customFormat="1" ht="14.4" x14ac:dyDescent="0.3">
      <c r="A59" s="1" t="s">
        <v>12</v>
      </c>
      <c r="B59" s="1" t="s">
        <v>13</v>
      </c>
      <c r="C59" s="2" t="s">
        <v>14</v>
      </c>
      <c r="D59" s="1" t="s">
        <v>36</v>
      </c>
      <c r="E59" s="1" t="s">
        <v>37</v>
      </c>
      <c r="F59" s="1" t="s">
        <v>38</v>
      </c>
      <c r="G59" s="3">
        <v>5250</v>
      </c>
      <c r="H59" s="5">
        <v>45400</v>
      </c>
      <c r="I59" s="3" t="s">
        <v>92</v>
      </c>
      <c r="J59" s="3" t="s">
        <v>40</v>
      </c>
      <c r="K59" s="1"/>
      <c r="L59" s="6" t="s">
        <v>69</v>
      </c>
    </row>
    <row r="60" spans="1:12" customFormat="1" ht="14.4" x14ac:dyDescent="0.3">
      <c r="A60" s="1" t="s">
        <v>12</v>
      </c>
      <c r="B60" s="1" t="s">
        <v>13</v>
      </c>
      <c r="C60" s="2" t="s">
        <v>14</v>
      </c>
      <c r="D60" s="1" t="s">
        <v>15</v>
      </c>
      <c r="E60" s="1" t="s">
        <v>16</v>
      </c>
      <c r="F60" s="1" t="s">
        <v>17</v>
      </c>
      <c r="G60" s="3">
        <v>4000</v>
      </c>
      <c r="H60" s="5">
        <v>45401</v>
      </c>
      <c r="I60" s="3" t="s">
        <v>85</v>
      </c>
      <c r="J60" s="3" t="s">
        <v>19</v>
      </c>
      <c r="K60" s="1">
        <v>352400459</v>
      </c>
      <c r="L60" s="6" t="s">
        <v>20</v>
      </c>
    </row>
    <row r="61" spans="1:12" customFormat="1" ht="14.4" x14ac:dyDescent="0.3">
      <c r="A61" s="1" t="s">
        <v>12</v>
      </c>
      <c r="B61" s="1" t="s">
        <v>13</v>
      </c>
      <c r="C61" s="2" t="s">
        <v>14</v>
      </c>
      <c r="D61" s="1" t="s">
        <v>41</v>
      </c>
      <c r="E61" s="1" t="s">
        <v>42</v>
      </c>
      <c r="F61" s="1" t="s">
        <v>43</v>
      </c>
      <c r="G61" s="3">
        <v>4000</v>
      </c>
      <c r="H61" s="5">
        <v>45401</v>
      </c>
      <c r="I61" s="3" t="s">
        <v>87</v>
      </c>
      <c r="J61" s="3" t="s">
        <v>45</v>
      </c>
      <c r="K61" s="1">
        <v>352400443</v>
      </c>
      <c r="L61" s="6" t="s">
        <v>60</v>
      </c>
    </row>
    <row r="62" spans="1:12" customFormat="1" ht="14.4" x14ac:dyDescent="0.3">
      <c r="A62" s="1" t="s">
        <v>12</v>
      </c>
      <c r="B62" s="1" t="s">
        <v>13</v>
      </c>
      <c r="C62" s="2" t="s">
        <v>14</v>
      </c>
      <c r="D62" s="1" t="s">
        <v>64</v>
      </c>
      <c r="E62" s="1" t="s">
        <v>65</v>
      </c>
      <c r="F62" s="1" t="s">
        <v>66</v>
      </c>
      <c r="G62" s="3">
        <f>500+4750</f>
        <v>5250</v>
      </c>
      <c r="H62" s="5">
        <v>45401</v>
      </c>
      <c r="I62" s="3" t="s">
        <v>101</v>
      </c>
      <c r="J62" s="3" t="s">
        <v>68</v>
      </c>
      <c r="K62" s="1">
        <v>352400462</v>
      </c>
      <c r="L62" s="6" t="s">
        <v>69</v>
      </c>
    </row>
    <row r="63" spans="1:12" customFormat="1" ht="14.4" x14ac:dyDescent="0.3">
      <c r="A63" s="1" t="s">
        <v>12</v>
      </c>
      <c r="B63" s="1" t="s">
        <v>13</v>
      </c>
      <c r="C63" s="2" t="s">
        <v>14</v>
      </c>
      <c r="D63" s="1" t="s">
        <v>113</v>
      </c>
      <c r="E63" s="1" t="s">
        <v>114</v>
      </c>
      <c r="F63" s="1" t="s">
        <v>66</v>
      </c>
      <c r="G63" s="3">
        <f>500+4750</f>
        <v>5250</v>
      </c>
      <c r="H63" s="5">
        <v>45401</v>
      </c>
      <c r="I63" s="3" t="s">
        <v>88</v>
      </c>
      <c r="J63" s="3" t="s">
        <v>59</v>
      </c>
      <c r="K63" s="1">
        <v>352400463</v>
      </c>
      <c r="L63" s="6" t="s">
        <v>69</v>
      </c>
    </row>
    <row r="64" spans="1:12" customFormat="1" ht="14.4" x14ac:dyDescent="0.3">
      <c r="A64" s="10" t="s">
        <v>12</v>
      </c>
      <c r="B64" s="10" t="s">
        <v>13</v>
      </c>
      <c r="C64" s="10" t="s">
        <v>14</v>
      </c>
      <c r="D64" s="10" t="s">
        <v>115</v>
      </c>
      <c r="E64" s="11">
        <v>20450012661</v>
      </c>
      <c r="F64" s="10" t="s">
        <v>116</v>
      </c>
      <c r="G64" s="10">
        <v>400</v>
      </c>
      <c r="H64" s="12">
        <v>45401</v>
      </c>
      <c r="I64" s="13" t="s">
        <v>97</v>
      </c>
      <c r="J64" s="13" t="s">
        <v>98</v>
      </c>
      <c r="K64" s="10">
        <v>352400474</v>
      </c>
      <c r="L64" s="14" t="s">
        <v>112</v>
      </c>
    </row>
    <row r="65" spans="1:12" customFormat="1" ht="14.4" x14ac:dyDescent="0.3">
      <c r="A65" s="1" t="s">
        <v>12</v>
      </c>
      <c r="B65" s="1" t="s">
        <v>13</v>
      </c>
      <c r="C65" s="2" t="s">
        <v>14</v>
      </c>
      <c r="D65" s="8" t="s">
        <v>104</v>
      </c>
      <c r="E65" s="9">
        <v>309023553967</v>
      </c>
      <c r="F65" s="1" t="s">
        <v>105</v>
      </c>
      <c r="G65" s="3">
        <v>5250</v>
      </c>
      <c r="H65" s="5">
        <v>45401</v>
      </c>
      <c r="I65" s="3" t="s">
        <v>91</v>
      </c>
      <c r="J65" s="3" t="s">
        <v>22</v>
      </c>
      <c r="K65" s="1">
        <v>352400465</v>
      </c>
      <c r="L65" s="6" t="s">
        <v>69</v>
      </c>
    </row>
    <row r="66" spans="1:12" customFormat="1" ht="14.4" x14ac:dyDescent="0.3">
      <c r="A66" s="1" t="s">
        <v>12</v>
      </c>
      <c r="B66" s="1" t="s">
        <v>13</v>
      </c>
      <c r="C66" s="2" t="s">
        <v>14</v>
      </c>
      <c r="D66" s="3" t="s">
        <v>25</v>
      </c>
      <c r="E66" s="4" t="s">
        <v>26</v>
      </c>
      <c r="F66" s="3" t="s">
        <v>27</v>
      </c>
      <c r="G66" s="3">
        <v>5250</v>
      </c>
      <c r="H66" s="5">
        <v>45401</v>
      </c>
      <c r="I66" s="3" t="s">
        <v>77</v>
      </c>
      <c r="J66" s="3" t="s">
        <v>29</v>
      </c>
      <c r="K66" s="1">
        <v>352400464</v>
      </c>
      <c r="L66" s="6" t="s">
        <v>69</v>
      </c>
    </row>
    <row r="67" spans="1:12" customFormat="1" ht="14.4" x14ac:dyDescent="0.3">
      <c r="A67" s="1" t="s">
        <v>12</v>
      </c>
      <c r="B67" s="1" t="s">
        <v>13</v>
      </c>
      <c r="C67" s="2" t="s">
        <v>14</v>
      </c>
      <c r="D67" s="1" t="s">
        <v>36</v>
      </c>
      <c r="E67" s="1" t="s">
        <v>37</v>
      </c>
      <c r="F67" s="1" t="s">
        <v>38</v>
      </c>
      <c r="G67" s="3">
        <v>5250</v>
      </c>
      <c r="H67" s="5">
        <v>45401</v>
      </c>
      <c r="I67" s="3" t="s">
        <v>92</v>
      </c>
      <c r="J67" s="3" t="s">
        <v>40</v>
      </c>
      <c r="K67" s="1">
        <v>352400461</v>
      </c>
      <c r="L67" s="6" t="s">
        <v>69</v>
      </c>
    </row>
    <row r="68" spans="1:12" customFormat="1" ht="14.4" x14ac:dyDescent="0.3">
      <c r="A68" s="1" t="s">
        <v>12</v>
      </c>
      <c r="B68" s="1" t="s">
        <v>13</v>
      </c>
      <c r="C68" s="2" t="s">
        <v>14</v>
      </c>
      <c r="D68" s="1" t="s">
        <v>70</v>
      </c>
      <c r="E68" s="1" t="s">
        <v>71</v>
      </c>
      <c r="F68" s="1" t="s">
        <v>72</v>
      </c>
      <c r="G68" s="3">
        <v>5250</v>
      </c>
      <c r="H68" s="5">
        <v>45401</v>
      </c>
      <c r="I68" s="3" t="s">
        <v>83</v>
      </c>
      <c r="J68" s="3" t="s">
        <v>84</v>
      </c>
      <c r="K68" s="1">
        <v>352400467</v>
      </c>
      <c r="L68" s="6" t="s">
        <v>69</v>
      </c>
    </row>
    <row r="69" spans="1:12" customFormat="1" ht="14.4" x14ac:dyDescent="0.3">
      <c r="A69" s="1" t="s">
        <v>12</v>
      </c>
      <c r="B69" s="1" t="s">
        <v>13</v>
      </c>
      <c r="C69" s="2" t="s">
        <v>14</v>
      </c>
      <c r="D69" s="1" t="s">
        <v>80</v>
      </c>
      <c r="E69" s="1" t="s">
        <v>81</v>
      </c>
      <c r="F69" s="1" t="s">
        <v>82</v>
      </c>
      <c r="G69" s="3">
        <v>3750</v>
      </c>
      <c r="H69" s="5">
        <v>45401</v>
      </c>
      <c r="I69" s="3" t="s">
        <v>117</v>
      </c>
      <c r="J69" s="3" t="s">
        <v>118</v>
      </c>
      <c r="K69" s="1">
        <v>352400375</v>
      </c>
      <c r="L69" s="6" t="s">
        <v>69</v>
      </c>
    </row>
    <row r="70" spans="1:12" customFormat="1" ht="14.4" x14ac:dyDescent="0.3">
      <c r="A70" s="1" t="s">
        <v>12</v>
      </c>
      <c r="B70" s="1" t="s">
        <v>13</v>
      </c>
      <c r="C70" s="2" t="s">
        <v>14</v>
      </c>
      <c r="D70" s="1" t="s">
        <v>64</v>
      </c>
      <c r="E70" s="1" t="s">
        <v>65</v>
      </c>
      <c r="F70" s="1" t="s">
        <v>66</v>
      </c>
      <c r="G70" s="3">
        <v>7500</v>
      </c>
      <c r="H70" s="5">
        <v>45402</v>
      </c>
      <c r="I70" s="3" t="s">
        <v>101</v>
      </c>
      <c r="J70" s="3" t="s">
        <v>68</v>
      </c>
      <c r="K70" s="1">
        <v>352400497</v>
      </c>
      <c r="L70" s="6" t="s">
        <v>106</v>
      </c>
    </row>
    <row r="71" spans="1:12" customFormat="1" ht="14.4" x14ac:dyDescent="0.3">
      <c r="A71" s="1" t="s">
        <v>12</v>
      </c>
      <c r="B71" s="1" t="s">
        <v>13</v>
      </c>
      <c r="C71" s="2" t="s">
        <v>14</v>
      </c>
      <c r="D71" s="1" t="s">
        <v>113</v>
      </c>
      <c r="E71" s="1" t="s">
        <v>114</v>
      </c>
      <c r="F71" s="1" t="s">
        <v>66</v>
      </c>
      <c r="G71" s="3">
        <v>7500</v>
      </c>
      <c r="H71" s="5">
        <v>45402</v>
      </c>
      <c r="I71" s="3" t="s">
        <v>88</v>
      </c>
      <c r="J71" s="3" t="s">
        <v>59</v>
      </c>
      <c r="K71" s="1">
        <v>352400496</v>
      </c>
      <c r="L71" s="6" t="s">
        <v>106</v>
      </c>
    </row>
    <row r="72" spans="1:12" customFormat="1" ht="14.4" x14ac:dyDescent="0.3">
      <c r="A72" s="1" t="s">
        <v>12</v>
      </c>
      <c r="B72" s="1" t="s">
        <v>13</v>
      </c>
      <c r="C72" s="2" t="s">
        <v>14</v>
      </c>
      <c r="D72" s="8" t="s">
        <v>104</v>
      </c>
      <c r="E72" s="9">
        <v>309023553967</v>
      </c>
      <c r="F72" s="1" t="s">
        <v>105</v>
      </c>
      <c r="G72" s="3">
        <v>2000</v>
      </c>
      <c r="H72" s="5">
        <v>45402</v>
      </c>
      <c r="I72" s="3" t="s">
        <v>91</v>
      </c>
      <c r="J72" s="3" t="s">
        <v>22</v>
      </c>
      <c r="K72" s="1">
        <v>352400500</v>
      </c>
      <c r="L72" s="6" t="s">
        <v>119</v>
      </c>
    </row>
    <row r="73" spans="1:12" customFormat="1" ht="14.4" x14ac:dyDescent="0.3">
      <c r="A73" s="1" t="s">
        <v>12</v>
      </c>
      <c r="B73" s="1" t="s">
        <v>13</v>
      </c>
      <c r="C73" s="2" t="s">
        <v>14</v>
      </c>
      <c r="D73" s="3" t="s">
        <v>25</v>
      </c>
      <c r="E73" s="4" t="s">
        <v>26</v>
      </c>
      <c r="F73" s="3" t="s">
        <v>27</v>
      </c>
      <c r="G73" s="3">
        <v>2000</v>
      </c>
      <c r="H73" s="5">
        <v>45402</v>
      </c>
      <c r="I73" s="3" t="s">
        <v>77</v>
      </c>
      <c r="J73" s="3" t="s">
        <v>29</v>
      </c>
      <c r="K73" s="1">
        <v>352400499</v>
      </c>
      <c r="L73" s="6" t="s">
        <v>119</v>
      </c>
    </row>
    <row r="74" spans="1:12" customFormat="1" ht="14.4" x14ac:dyDescent="0.3">
      <c r="A74" s="1" t="s">
        <v>12</v>
      </c>
      <c r="B74" s="1" t="s">
        <v>13</v>
      </c>
      <c r="C74" s="2" t="s">
        <v>14</v>
      </c>
      <c r="D74" s="1" t="s">
        <v>36</v>
      </c>
      <c r="E74" s="1" t="s">
        <v>37</v>
      </c>
      <c r="F74" s="1" t="s">
        <v>38</v>
      </c>
      <c r="G74" s="3">
        <v>5250</v>
      </c>
      <c r="H74" s="5">
        <v>45402</v>
      </c>
      <c r="I74" s="3" t="s">
        <v>92</v>
      </c>
      <c r="J74" s="3" t="s">
        <v>40</v>
      </c>
      <c r="K74" s="1">
        <v>352400495</v>
      </c>
      <c r="L74" s="6" t="s">
        <v>69</v>
      </c>
    </row>
    <row r="75" spans="1:12" customFormat="1" ht="14.4" x14ac:dyDescent="0.3">
      <c r="A75" s="1" t="s">
        <v>12</v>
      </c>
      <c r="B75" s="1" t="s">
        <v>13</v>
      </c>
      <c r="C75" s="2" t="s">
        <v>14</v>
      </c>
      <c r="D75" s="1" t="s">
        <v>70</v>
      </c>
      <c r="E75" s="1" t="s">
        <v>71</v>
      </c>
      <c r="F75" s="1" t="s">
        <v>72</v>
      </c>
      <c r="G75" s="3">
        <v>7500</v>
      </c>
      <c r="H75" s="5">
        <v>45402</v>
      </c>
      <c r="I75" s="3" t="s">
        <v>83</v>
      </c>
      <c r="J75" s="3" t="s">
        <v>84</v>
      </c>
      <c r="K75" s="1">
        <v>352400498</v>
      </c>
      <c r="L75" s="6" t="s">
        <v>106</v>
      </c>
    </row>
    <row r="76" spans="1:12" s="17" customFormat="1" ht="14.4" x14ac:dyDescent="0.3">
      <c r="A76" s="2" t="s">
        <v>12</v>
      </c>
      <c r="B76" s="2" t="s">
        <v>13</v>
      </c>
      <c r="C76" s="2" t="s">
        <v>14</v>
      </c>
      <c r="D76" s="2" t="s">
        <v>120</v>
      </c>
      <c r="E76" s="15" t="s">
        <v>121</v>
      </c>
      <c r="F76" s="2" t="s">
        <v>72</v>
      </c>
      <c r="G76" s="2">
        <v>400</v>
      </c>
      <c r="H76" s="5">
        <v>45402</v>
      </c>
      <c r="I76" s="16" t="s">
        <v>97</v>
      </c>
      <c r="J76" s="16" t="s">
        <v>98</v>
      </c>
      <c r="K76" s="2">
        <v>352400474</v>
      </c>
      <c r="L76" s="8" t="s">
        <v>112</v>
      </c>
    </row>
    <row r="77" spans="1:12" customFormat="1" ht="14.4" x14ac:dyDescent="0.3">
      <c r="A77" s="1" t="s">
        <v>12</v>
      </c>
      <c r="B77" s="1" t="s">
        <v>13</v>
      </c>
      <c r="C77" s="2" t="s">
        <v>14</v>
      </c>
      <c r="D77" s="1" t="s">
        <v>41</v>
      </c>
      <c r="E77" s="1" t="s">
        <v>42</v>
      </c>
      <c r="F77" s="1" t="s">
        <v>43</v>
      </c>
      <c r="G77" s="3">
        <v>4000</v>
      </c>
      <c r="H77" s="5">
        <v>45404</v>
      </c>
      <c r="I77" s="3" t="s">
        <v>87</v>
      </c>
      <c r="J77" s="3" t="s">
        <v>45</v>
      </c>
      <c r="K77" s="1">
        <v>352400536</v>
      </c>
      <c r="L77" s="6" t="s">
        <v>20</v>
      </c>
    </row>
    <row r="78" spans="1:12" customFormat="1" ht="14.4" x14ac:dyDescent="0.3">
      <c r="A78" s="1" t="s">
        <v>12</v>
      </c>
      <c r="B78" s="1" t="s">
        <v>13</v>
      </c>
      <c r="C78" s="2" t="s">
        <v>14</v>
      </c>
      <c r="D78" s="1" t="s">
        <v>15</v>
      </c>
      <c r="E78" s="1" t="s">
        <v>16</v>
      </c>
      <c r="F78" s="1" t="s">
        <v>17</v>
      </c>
      <c r="G78" s="3">
        <v>4000</v>
      </c>
      <c r="H78" s="5">
        <v>45404</v>
      </c>
      <c r="I78" s="3" t="s">
        <v>85</v>
      </c>
      <c r="J78" s="3" t="s">
        <v>19</v>
      </c>
      <c r="K78" s="1">
        <v>352400522</v>
      </c>
      <c r="L78" s="6" t="s">
        <v>20</v>
      </c>
    </row>
    <row r="79" spans="1:12" customFormat="1" ht="14.4" x14ac:dyDescent="0.3">
      <c r="A79" s="1" t="s">
        <v>12</v>
      </c>
      <c r="B79" s="1" t="s">
        <v>13</v>
      </c>
      <c r="C79" s="2" t="s">
        <v>14</v>
      </c>
      <c r="D79" s="1" t="s">
        <v>41</v>
      </c>
      <c r="E79" s="1" t="s">
        <v>61</v>
      </c>
      <c r="F79" s="1" t="s">
        <v>62</v>
      </c>
      <c r="G79" s="3">
        <v>500</v>
      </c>
      <c r="H79" s="5">
        <v>45404</v>
      </c>
      <c r="I79" s="3" t="s">
        <v>122</v>
      </c>
      <c r="J79" s="3" t="s">
        <v>123</v>
      </c>
      <c r="K79" s="1">
        <v>352400523</v>
      </c>
      <c r="L79" s="6" t="s">
        <v>124</v>
      </c>
    </row>
    <row r="80" spans="1:12" customFormat="1" ht="14.4" x14ac:dyDescent="0.3">
      <c r="A80" s="1" t="s">
        <v>12</v>
      </c>
      <c r="B80" s="1" t="s">
        <v>13</v>
      </c>
      <c r="C80" s="2" t="s">
        <v>14</v>
      </c>
      <c r="D80" s="1" t="s">
        <v>73</v>
      </c>
      <c r="E80" s="1" t="s">
        <v>89</v>
      </c>
      <c r="F80" s="1" t="s">
        <v>74</v>
      </c>
      <c r="G80" s="3">
        <v>500</v>
      </c>
      <c r="H80" s="5">
        <v>45404</v>
      </c>
      <c r="I80" s="3" t="s">
        <v>125</v>
      </c>
      <c r="J80" s="3" t="s">
        <v>126</v>
      </c>
      <c r="K80" s="1">
        <v>352400521</v>
      </c>
      <c r="L80" s="6" t="s">
        <v>124</v>
      </c>
    </row>
    <row r="81" spans="1:12" customFormat="1" ht="14.4" x14ac:dyDescent="0.3">
      <c r="A81" s="1" t="s">
        <v>12</v>
      </c>
      <c r="B81" s="1" t="s">
        <v>13</v>
      </c>
      <c r="C81" s="2" t="s">
        <v>14</v>
      </c>
      <c r="D81" s="1" t="s">
        <v>64</v>
      </c>
      <c r="E81" s="1" t="s">
        <v>65</v>
      </c>
      <c r="F81" s="1" t="s">
        <v>66</v>
      </c>
      <c r="G81" s="3">
        <v>5250</v>
      </c>
      <c r="H81" s="5">
        <v>45404</v>
      </c>
      <c r="I81" s="3" t="s">
        <v>101</v>
      </c>
      <c r="J81" s="3" t="s">
        <v>68</v>
      </c>
      <c r="K81" s="1">
        <v>352400525</v>
      </c>
      <c r="L81" s="6" t="s">
        <v>69</v>
      </c>
    </row>
    <row r="82" spans="1:12" customFormat="1" ht="14.4" x14ac:dyDescent="0.3">
      <c r="A82" s="1" t="s">
        <v>12</v>
      </c>
      <c r="B82" s="1" t="s">
        <v>13</v>
      </c>
      <c r="C82" s="2" t="s">
        <v>14</v>
      </c>
      <c r="D82" s="1" t="s">
        <v>80</v>
      </c>
      <c r="E82" s="1" t="s">
        <v>81</v>
      </c>
      <c r="F82" s="1" t="s">
        <v>82</v>
      </c>
      <c r="G82" s="3">
        <v>7500</v>
      </c>
      <c r="H82" s="5">
        <v>45404</v>
      </c>
      <c r="I82" s="3" t="s">
        <v>117</v>
      </c>
      <c r="J82" s="3" t="s">
        <v>118</v>
      </c>
      <c r="K82" s="1">
        <v>352400520</v>
      </c>
      <c r="L82" s="6" t="s">
        <v>106</v>
      </c>
    </row>
    <row r="83" spans="1:12" customFormat="1" ht="14.4" x14ac:dyDescent="0.3">
      <c r="A83" s="1" t="s">
        <v>12</v>
      </c>
      <c r="B83" s="1" t="s">
        <v>13</v>
      </c>
      <c r="C83" s="2" t="s">
        <v>14</v>
      </c>
      <c r="D83" s="1" t="s">
        <v>113</v>
      </c>
      <c r="E83" s="1" t="s">
        <v>114</v>
      </c>
      <c r="F83" s="1" t="s">
        <v>66</v>
      </c>
      <c r="G83" s="3">
        <v>5250</v>
      </c>
      <c r="H83" s="5">
        <v>45404</v>
      </c>
      <c r="I83" s="3" t="s">
        <v>88</v>
      </c>
      <c r="J83" s="3" t="s">
        <v>59</v>
      </c>
      <c r="K83" s="1">
        <v>352400526</v>
      </c>
      <c r="L83" s="6" t="s">
        <v>69</v>
      </c>
    </row>
    <row r="84" spans="1:12" customFormat="1" ht="14.4" x14ac:dyDescent="0.3">
      <c r="A84" s="1" t="s">
        <v>12</v>
      </c>
      <c r="B84" s="1" t="s">
        <v>13</v>
      </c>
      <c r="C84" s="2" t="s">
        <v>14</v>
      </c>
      <c r="D84" s="1" t="s">
        <v>36</v>
      </c>
      <c r="E84" s="1" t="s">
        <v>37</v>
      </c>
      <c r="F84" s="1" t="s">
        <v>38</v>
      </c>
      <c r="G84" s="3">
        <v>5250</v>
      </c>
      <c r="H84" s="5">
        <v>45404</v>
      </c>
      <c r="I84" s="3" t="s">
        <v>92</v>
      </c>
      <c r="J84" s="3" t="s">
        <v>40</v>
      </c>
      <c r="K84" s="1">
        <v>352400524</v>
      </c>
      <c r="L84" s="6" t="s">
        <v>69</v>
      </c>
    </row>
    <row r="85" spans="1:12" customFormat="1" ht="14.4" x14ac:dyDescent="0.3">
      <c r="A85" s="1" t="s">
        <v>12</v>
      </c>
      <c r="B85" s="1" t="s">
        <v>13</v>
      </c>
      <c r="C85" s="2" t="s">
        <v>14</v>
      </c>
      <c r="D85" s="1" t="s">
        <v>70</v>
      </c>
      <c r="E85" s="1" t="s">
        <v>71</v>
      </c>
      <c r="F85" s="1" t="s">
        <v>72</v>
      </c>
      <c r="G85" s="3">
        <v>5250</v>
      </c>
      <c r="H85" s="5">
        <v>45404</v>
      </c>
      <c r="I85" s="3" t="s">
        <v>83</v>
      </c>
      <c r="J85" s="3" t="s">
        <v>84</v>
      </c>
      <c r="K85" s="1">
        <v>352400527</v>
      </c>
      <c r="L85" s="6" t="s">
        <v>69</v>
      </c>
    </row>
    <row r="86" spans="1:12" customFormat="1" ht="14.4" x14ac:dyDescent="0.3">
      <c r="A86" s="1" t="s">
        <v>12</v>
      </c>
      <c r="B86" s="1" t="s">
        <v>13</v>
      </c>
      <c r="C86" s="2" t="s">
        <v>14</v>
      </c>
      <c r="D86" s="1" t="s">
        <v>41</v>
      </c>
      <c r="E86" s="1" t="s">
        <v>61</v>
      </c>
      <c r="F86" s="1" t="s">
        <v>62</v>
      </c>
      <c r="G86" s="3">
        <v>5000</v>
      </c>
      <c r="H86" s="5">
        <v>45404</v>
      </c>
      <c r="I86" s="3" t="s">
        <v>122</v>
      </c>
      <c r="J86" s="3" t="s">
        <v>123</v>
      </c>
      <c r="K86" s="1"/>
      <c r="L86" s="6" t="s">
        <v>127</v>
      </c>
    </row>
    <row r="87" spans="1:12" customFormat="1" ht="14.4" x14ac:dyDescent="0.3">
      <c r="A87" s="1" t="s">
        <v>12</v>
      </c>
      <c r="B87" s="1" t="s">
        <v>13</v>
      </c>
      <c r="C87" s="2" t="s">
        <v>14</v>
      </c>
      <c r="D87" s="1" t="s">
        <v>73</v>
      </c>
      <c r="E87" s="1" t="s">
        <v>89</v>
      </c>
      <c r="F87" s="1" t="s">
        <v>74</v>
      </c>
      <c r="G87" s="3">
        <v>5000</v>
      </c>
      <c r="H87" s="5">
        <v>45404</v>
      </c>
      <c r="I87" s="3" t="s">
        <v>125</v>
      </c>
      <c r="J87" s="3" t="s">
        <v>126</v>
      </c>
      <c r="K87" s="1"/>
      <c r="L87" s="6" t="s">
        <v>127</v>
      </c>
    </row>
    <row r="88" spans="1:12" customFormat="1" ht="14.4" x14ac:dyDescent="0.3">
      <c r="A88" s="1" t="s">
        <v>12</v>
      </c>
      <c r="B88" s="1" t="s">
        <v>13</v>
      </c>
      <c r="C88" s="2" t="s">
        <v>14</v>
      </c>
      <c r="D88" s="1" t="s">
        <v>41</v>
      </c>
      <c r="E88" s="1" t="s">
        <v>42</v>
      </c>
      <c r="F88" s="1" t="s">
        <v>43</v>
      </c>
      <c r="G88" s="3">
        <v>6500</v>
      </c>
      <c r="H88" s="5">
        <v>45405</v>
      </c>
      <c r="I88" s="3" t="s">
        <v>87</v>
      </c>
      <c r="J88" s="3" t="s">
        <v>45</v>
      </c>
      <c r="K88" s="1">
        <v>352400536</v>
      </c>
      <c r="L88" s="6" t="s">
        <v>128</v>
      </c>
    </row>
    <row r="89" spans="1:12" customFormat="1" ht="14.4" x14ac:dyDescent="0.3">
      <c r="A89" s="1" t="s">
        <v>12</v>
      </c>
      <c r="B89" s="1" t="s">
        <v>13</v>
      </c>
      <c r="C89" s="2" t="s">
        <v>14</v>
      </c>
      <c r="D89" s="1" t="s">
        <v>15</v>
      </c>
      <c r="E89" s="1" t="s">
        <v>16</v>
      </c>
      <c r="F89" s="1" t="s">
        <v>17</v>
      </c>
      <c r="G89" s="3">
        <v>5000</v>
      </c>
      <c r="H89" s="5">
        <v>45405</v>
      </c>
      <c r="I89" s="3" t="s">
        <v>85</v>
      </c>
      <c r="J89" s="3" t="s">
        <v>19</v>
      </c>
      <c r="K89" s="1">
        <v>352400507</v>
      </c>
      <c r="L89" s="6" t="s">
        <v>129</v>
      </c>
    </row>
    <row r="90" spans="1:12" customFormat="1" ht="14.4" x14ac:dyDescent="0.3">
      <c r="A90" s="1" t="s">
        <v>12</v>
      </c>
      <c r="B90" s="1" t="s">
        <v>13</v>
      </c>
      <c r="C90" s="2" t="s">
        <v>14</v>
      </c>
      <c r="D90" s="1" t="s">
        <v>73</v>
      </c>
      <c r="E90" s="1" t="s">
        <v>89</v>
      </c>
      <c r="F90" s="1" t="s">
        <v>74</v>
      </c>
      <c r="G90" s="3">
        <v>500</v>
      </c>
      <c r="H90" s="5">
        <v>45405</v>
      </c>
      <c r="I90" s="3" t="s">
        <v>125</v>
      </c>
      <c r="J90" s="3" t="s">
        <v>126</v>
      </c>
      <c r="K90" s="1">
        <v>352400521</v>
      </c>
      <c r="L90" s="6" t="s">
        <v>124</v>
      </c>
    </row>
    <row r="91" spans="1:12" customFormat="1" ht="14.4" x14ac:dyDescent="0.3">
      <c r="A91" s="1" t="s">
        <v>12</v>
      </c>
      <c r="B91" s="1" t="s">
        <v>13</v>
      </c>
      <c r="C91" s="2" t="s">
        <v>14</v>
      </c>
      <c r="D91" s="1" t="s">
        <v>64</v>
      </c>
      <c r="E91" s="1" t="s">
        <v>65</v>
      </c>
      <c r="F91" s="1" t="s">
        <v>66</v>
      </c>
      <c r="G91" s="3">
        <v>5250</v>
      </c>
      <c r="H91" s="5">
        <v>45405</v>
      </c>
      <c r="I91" s="3" t="s">
        <v>101</v>
      </c>
      <c r="J91" s="3" t="s">
        <v>68</v>
      </c>
      <c r="K91" s="1">
        <v>352400525</v>
      </c>
      <c r="L91" s="6" t="s">
        <v>69</v>
      </c>
    </row>
    <row r="92" spans="1:12" customFormat="1" ht="14.4" x14ac:dyDescent="0.3">
      <c r="A92" s="1" t="s">
        <v>12</v>
      </c>
      <c r="B92" s="1" t="s">
        <v>13</v>
      </c>
      <c r="C92" s="2" t="s">
        <v>14</v>
      </c>
      <c r="D92" s="1" t="s">
        <v>80</v>
      </c>
      <c r="E92" s="1" t="s">
        <v>81</v>
      </c>
      <c r="F92" s="1" t="s">
        <v>82</v>
      </c>
      <c r="G92" s="3">
        <v>5250</v>
      </c>
      <c r="H92" s="5">
        <v>45405</v>
      </c>
      <c r="I92" s="3" t="s">
        <v>117</v>
      </c>
      <c r="J92" s="3" t="s">
        <v>118</v>
      </c>
      <c r="K92" s="1">
        <v>352400520</v>
      </c>
      <c r="L92" s="6" t="s">
        <v>69</v>
      </c>
    </row>
    <row r="93" spans="1:12" customFormat="1" ht="14.4" x14ac:dyDescent="0.3">
      <c r="A93" s="1" t="s">
        <v>12</v>
      </c>
      <c r="B93" s="1" t="s">
        <v>13</v>
      </c>
      <c r="C93" s="2" t="s">
        <v>14</v>
      </c>
      <c r="D93" s="1" t="s">
        <v>113</v>
      </c>
      <c r="E93" s="1" t="s">
        <v>114</v>
      </c>
      <c r="F93" s="1" t="s">
        <v>66</v>
      </c>
      <c r="G93" s="3">
        <v>4750</v>
      </c>
      <c r="H93" s="5">
        <v>45405</v>
      </c>
      <c r="I93" s="3" t="s">
        <v>88</v>
      </c>
      <c r="J93" s="3" t="s">
        <v>59</v>
      </c>
      <c r="K93" s="1">
        <v>352400526</v>
      </c>
      <c r="L93" s="6" t="s">
        <v>24</v>
      </c>
    </row>
    <row r="94" spans="1:12" customFormat="1" ht="14.4" x14ac:dyDescent="0.3">
      <c r="A94" s="1" t="s">
        <v>12</v>
      </c>
      <c r="B94" s="1" t="s">
        <v>13</v>
      </c>
      <c r="C94" s="2" t="s">
        <v>14</v>
      </c>
      <c r="D94" s="8" t="s">
        <v>104</v>
      </c>
      <c r="E94" s="9">
        <v>309023553967</v>
      </c>
      <c r="F94" s="1" t="s">
        <v>105</v>
      </c>
      <c r="G94" s="3">
        <f>800+5250</f>
        <v>6050</v>
      </c>
      <c r="H94" s="5">
        <v>45405</v>
      </c>
      <c r="I94" s="3" t="s">
        <v>91</v>
      </c>
      <c r="J94" s="3" t="s">
        <v>22</v>
      </c>
      <c r="K94" s="1">
        <v>352400332</v>
      </c>
      <c r="L94" s="6" t="s">
        <v>130</v>
      </c>
    </row>
    <row r="95" spans="1:12" customFormat="1" ht="14.4" x14ac:dyDescent="0.3">
      <c r="A95" s="1" t="s">
        <v>12</v>
      </c>
      <c r="B95" s="1" t="s">
        <v>13</v>
      </c>
      <c r="C95" s="2" t="s">
        <v>14</v>
      </c>
      <c r="D95" s="1" t="s">
        <v>36</v>
      </c>
      <c r="E95" s="1" t="s">
        <v>37</v>
      </c>
      <c r="F95" s="1" t="s">
        <v>38</v>
      </c>
      <c r="G95" s="3">
        <v>5250</v>
      </c>
      <c r="H95" s="5">
        <v>45405</v>
      </c>
      <c r="I95" s="3" t="s">
        <v>92</v>
      </c>
      <c r="J95" s="3" t="s">
        <v>40</v>
      </c>
      <c r="K95" s="1">
        <v>352400524</v>
      </c>
      <c r="L95" s="6" t="s">
        <v>69</v>
      </c>
    </row>
    <row r="96" spans="1:12" customFormat="1" ht="14.4" x14ac:dyDescent="0.3">
      <c r="A96" s="1" t="s">
        <v>12</v>
      </c>
      <c r="B96" s="1" t="s">
        <v>13</v>
      </c>
      <c r="C96" s="2" t="s">
        <v>14</v>
      </c>
      <c r="D96" s="1" t="s">
        <v>70</v>
      </c>
      <c r="E96" s="1" t="s">
        <v>71</v>
      </c>
      <c r="F96" s="1" t="s">
        <v>72</v>
      </c>
      <c r="G96" s="3">
        <v>5250</v>
      </c>
      <c r="H96" s="5">
        <v>45405</v>
      </c>
      <c r="I96" s="3" t="s">
        <v>83</v>
      </c>
      <c r="J96" s="3" t="s">
        <v>84</v>
      </c>
      <c r="K96" s="1">
        <v>352400527</v>
      </c>
      <c r="L96" s="6" t="s">
        <v>69</v>
      </c>
    </row>
    <row r="97" spans="1:12" customFormat="1" ht="14.4" x14ac:dyDescent="0.3">
      <c r="A97" s="1" t="s">
        <v>12</v>
      </c>
      <c r="B97" s="1" t="s">
        <v>13</v>
      </c>
      <c r="C97" s="2" t="s">
        <v>14</v>
      </c>
      <c r="D97" s="1" t="s">
        <v>113</v>
      </c>
      <c r="E97" s="1" t="s">
        <v>114</v>
      </c>
      <c r="F97" s="1" t="s">
        <v>66</v>
      </c>
      <c r="G97" s="3">
        <v>7500</v>
      </c>
      <c r="H97" s="5">
        <v>45405</v>
      </c>
      <c r="I97" s="3" t="s">
        <v>88</v>
      </c>
      <c r="J97" s="3" t="s">
        <v>59</v>
      </c>
      <c r="K97" s="1">
        <v>352400526</v>
      </c>
      <c r="L97" s="6" t="s">
        <v>131</v>
      </c>
    </row>
    <row r="98" spans="1:12" s="17" customFormat="1" ht="14.4" x14ac:dyDescent="0.3">
      <c r="A98" s="2" t="s">
        <v>12</v>
      </c>
      <c r="B98" s="2" t="s">
        <v>13</v>
      </c>
      <c r="C98" s="2" t="s">
        <v>14</v>
      </c>
      <c r="D98" s="2" t="s">
        <v>120</v>
      </c>
      <c r="E98" s="15" t="s">
        <v>121</v>
      </c>
      <c r="F98" s="2" t="s">
        <v>72</v>
      </c>
      <c r="G98" s="2">
        <v>800</v>
      </c>
      <c r="H98" s="5">
        <v>45406</v>
      </c>
      <c r="I98" s="16" t="s">
        <v>97</v>
      </c>
      <c r="J98" s="16" t="s">
        <v>98</v>
      </c>
      <c r="K98" s="2">
        <v>352400482</v>
      </c>
      <c r="L98" s="8" t="s">
        <v>132</v>
      </c>
    </row>
    <row r="99" spans="1:12" customFormat="1" ht="14.4" x14ac:dyDescent="0.3">
      <c r="A99" s="1" t="s">
        <v>12</v>
      </c>
      <c r="B99" s="1" t="s">
        <v>13</v>
      </c>
      <c r="C99" s="2" t="s">
        <v>14</v>
      </c>
      <c r="D99" s="1" t="s">
        <v>15</v>
      </c>
      <c r="E99" s="1" t="s">
        <v>16</v>
      </c>
      <c r="F99" s="1" t="s">
        <v>17</v>
      </c>
      <c r="G99" s="3">
        <v>4000</v>
      </c>
      <c r="H99" s="5">
        <v>45406</v>
      </c>
      <c r="I99" s="3" t="s">
        <v>85</v>
      </c>
      <c r="J99" s="3" t="s">
        <v>19</v>
      </c>
      <c r="K99" s="1">
        <v>352400522</v>
      </c>
      <c r="L99" s="6" t="s">
        <v>20</v>
      </c>
    </row>
    <row r="100" spans="1:12" customFormat="1" ht="14.4" x14ac:dyDescent="0.3">
      <c r="A100" s="1" t="s">
        <v>12</v>
      </c>
      <c r="B100" s="1" t="s">
        <v>13</v>
      </c>
      <c r="C100" s="2" t="s">
        <v>14</v>
      </c>
      <c r="D100" s="1" t="s">
        <v>73</v>
      </c>
      <c r="E100" s="1" t="s">
        <v>89</v>
      </c>
      <c r="F100" s="1" t="s">
        <v>74</v>
      </c>
      <c r="G100" s="3">
        <v>1000</v>
      </c>
      <c r="H100" s="5">
        <v>45406</v>
      </c>
      <c r="I100" s="3" t="s">
        <v>125</v>
      </c>
      <c r="J100" s="3" t="s">
        <v>126</v>
      </c>
      <c r="K100" s="1">
        <v>352400332</v>
      </c>
      <c r="L100" s="6" t="s">
        <v>124</v>
      </c>
    </row>
    <row r="101" spans="1:12" customFormat="1" ht="14.4" x14ac:dyDescent="0.3">
      <c r="A101" s="1" t="s">
        <v>12</v>
      </c>
      <c r="B101" s="1" t="s">
        <v>13</v>
      </c>
      <c r="C101" s="2" t="s">
        <v>14</v>
      </c>
      <c r="D101" s="1" t="s">
        <v>41</v>
      </c>
      <c r="E101" s="1" t="s">
        <v>42</v>
      </c>
      <c r="F101" s="1" t="s">
        <v>43</v>
      </c>
      <c r="G101" s="3">
        <v>4000</v>
      </c>
      <c r="H101" s="5">
        <v>45406</v>
      </c>
      <c r="I101" s="3" t="s">
        <v>87</v>
      </c>
      <c r="J101" s="3" t="s">
        <v>45</v>
      </c>
      <c r="K101" s="1">
        <v>352400536</v>
      </c>
      <c r="L101" s="6" t="s">
        <v>60</v>
      </c>
    </row>
    <row r="102" spans="1:12" customFormat="1" ht="14.4" x14ac:dyDescent="0.3">
      <c r="A102" s="1" t="s">
        <v>12</v>
      </c>
      <c r="B102" s="1" t="s">
        <v>13</v>
      </c>
      <c r="C102" s="2" t="s">
        <v>14</v>
      </c>
      <c r="D102" s="1" t="s">
        <v>80</v>
      </c>
      <c r="E102" s="1" t="s">
        <v>81</v>
      </c>
      <c r="F102" s="1" t="s">
        <v>82</v>
      </c>
      <c r="G102" s="3">
        <v>4750</v>
      </c>
      <c r="H102" s="5">
        <v>45406</v>
      </c>
      <c r="I102" s="3" t="s">
        <v>117</v>
      </c>
      <c r="J102" s="3" t="s">
        <v>118</v>
      </c>
      <c r="K102" s="1">
        <v>352400520</v>
      </c>
      <c r="L102" s="6" t="s">
        <v>24</v>
      </c>
    </row>
    <row r="103" spans="1:12" customFormat="1" ht="14.4" x14ac:dyDescent="0.3">
      <c r="A103" s="1" t="s">
        <v>12</v>
      </c>
      <c r="B103" s="1" t="s">
        <v>13</v>
      </c>
      <c r="C103" s="2" t="s">
        <v>14</v>
      </c>
      <c r="D103" s="1" t="s">
        <v>113</v>
      </c>
      <c r="E103" s="1" t="s">
        <v>114</v>
      </c>
      <c r="F103" s="1" t="s">
        <v>66</v>
      </c>
      <c r="G103" s="3">
        <v>4750</v>
      </c>
      <c r="H103" s="5">
        <v>45406</v>
      </c>
      <c r="I103" s="3" t="s">
        <v>88</v>
      </c>
      <c r="J103" s="3" t="s">
        <v>59</v>
      </c>
      <c r="K103" s="1">
        <v>352400526</v>
      </c>
      <c r="L103" s="6" t="s">
        <v>24</v>
      </c>
    </row>
    <row r="104" spans="1:12" customFormat="1" ht="14.4" x14ac:dyDescent="0.3">
      <c r="A104" s="1" t="s">
        <v>12</v>
      </c>
      <c r="B104" s="1" t="s">
        <v>13</v>
      </c>
      <c r="C104" s="2" t="s">
        <v>14</v>
      </c>
      <c r="D104" s="1" t="s">
        <v>70</v>
      </c>
      <c r="E104" s="1" t="s">
        <v>71</v>
      </c>
      <c r="F104" s="1" t="s">
        <v>72</v>
      </c>
      <c r="G104" s="3">
        <v>7500</v>
      </c>
      <c r="H104" s="5">
        <v>45406</v>
      </c>
      <c r="I104" s="3" t="s">
        <v>83</v>
      </c>
      <c r="J104" s="3" t="s">
        <v>84</v>
      </c>
      <c r="K104" s="1">
        <v>352400527</v>
      </c>
      <c r="L104" s="6" t="s">
        <v>106</v>
      </c>
    </row>
    <row r="105" spans="1:12" customFormat="1" ht="14.4" x14ac:dyDescent="0.3">
      <c r="A105" s="1" t="s">
        <v>12</v>
      </c>
      <c r="B105" s="1" t="s">
        <v>13</v>
      </c>
      <c r="C105" s="2" t="s">
        <v>14</v>
      </c>
      <c r="D105" s="8" t="s">
        <v>104</v>
      </c>
      <c r="E105" s="9">
        <v>309023553967</v>
      </c>
      <c r="F105" s="1" t="s">
        <v>105</v>
      </c>
      <c r="G105" s="3">
        <v>4750</v>
      </c>
      <c r="H105" s="5">
        <v>45406</v>
      </c>
      <c r="I105" s="3" t="s">
        <v>91</v>
      </c>
      <c r="J105" s="3" t="s">
        <v>22</v>
      </c>
      <c r="K105" s="1">
        <v>352400332</v>
      </c>
      <c r="L105" s="6" t="s">
        <v>24</v>
      </c>
    </row>
    <row r="106" spans="1:12" customFormat="1" ht="14.4" x14ac:dyDescent="0.3">
      <c r="A106" s="1" t="s">
        <v>12</v>
      </c>
      <c r="B106" s="1" t="s">
        <v>13</v>
      </c>
      <c r="C106" s="2" t="s">
        <v>14</v>
      </c>
      <c r="D106" s="1" t="s">
        <v>36</v>
      </c>
      <c r="E106" s="1" t="s">
        <v>37</v>
      </c>
      <c r="F106" s="1" t="s">
        <v>38</v>
      </c>
      <c r="G106" s="3">
        <v>5250</v>
      </c>
      <c r="H106" s="5">
        <v>45407</v>
      </c>
      <c r="I106" s="3" t="s">
        <v>92</v>
      </c>
      <c r="J106" s="3" t="s">
        <v>40</v>
      </c>
      <c r="K106" s="1">
        <v>352400524</v>
      </c>
      <c r="L106" s="6" t="s">
        <v>133</v>
      </c>
    </row>
    <row r="107" spans="1:12" customFormat="1" ht="14.4" x14ac:dyDescent="0.3">
      <c r="A107" s="1" t="s">
        <v>12</v>
      </c>
      <c r="B107" s="1" t="s">
        <v>13</v>
      </c>
      <c r="C107" s="2" t="s">
        <v>14</v>
      </c>
      <c r="D107" s="1" t="s">
        <v>36</v>
      </c>
      <c r="E107" s="1" t="s">
        <v>37</v>
      </c>
      <c r="F107" s="1" t="s">
        <v>38</v>
      </c>
      <c r="G107" s="3">
        <v>5250</v>
      </c>
      <c r="H107" s="5">
        <v>45407</v>
      </c>
      <c r="I107" s="3" t="s">
        <v>92</v>
      </c>
      <c r="J107" s="3" t="s">
        <v>40</v>
      </c>
      <c r="K107" s="1">
        <v>352400524</v>
      </c>
      <c r="L107" s="6" t="s">
        <v>134</v>
      </c>
    </row>
    <row r="108" spans="1:12" customFormat="1" ht="14.4" x14ac:dyDescent="0.3">
      <c r="A108" s="1" t="s">
        <v>12</v>
      </c>
      <c r="B108" s="1" t="s">
        <v>13</v>
      </c>
      <c r="C108" s="2" t="s">
        <v>14</v>
      </c>
      <c r="D108" s="1" t="s">
        <v>64</v>
      </c>
      <c r="E108" s="1" t="s">
        <v>65</v>
      </c>
      <c r="F108" s="1" t="s">
        <v>66</v>
      </c>
      <c r="G108" s="3">
        <v>5250</v>
      </c>
      <c r="H108" s="5">
        <v>45407</v>
      </c>
      <c r="I108" s="3" t="s">
        <v>101</v>
      </c>
      <c r="J108" s="3" t="s">
        <v>68</v>
      </c>
      <c r="K108" s="1">
        <v>352400525</v>
      </c>
      <c r="L108" s="6" t="s">
        <v>69</v>
      </c>
    </row>
    <row r="109" spans="1:12" customFormat="1" ht="14.4" x14ac:dyDescent="0.3">
      <c r="A109" s="1" t="s">
        <v>12</v>
      </c>
      <c r="B109" s="1" t="s">
        <v>13</v>
      </c>
      <c r="C109" s="2" t="s">
        <v>14</v>
      </c>
      <c r="D109" s="1" t="s">
        <v>15</v>
      </c>
      <c r="E109" s="1" t="s">
        <v>16</v>
      </c>
      <c r="F109" s="1" t="s">
        <v>17</v>
      </c>
      <c r="G109" s="3">
        <v>4000</v>
      </c>
      <c r="H109" s="5">
        <v>45407</v>
      </c>
      <c r="I109" s="3" t="s">
        <v>85</v>
      </c>
      <c r="J109" s="3" t="s">
        <v>19</v>
      </c>
      <c r="K109" s="1">
        <v>352400522</v>
      </c>
      <c r="L109" s="6" t="s">
        <v>20</v>
      </c>
    </row>
    <row r="110" spans="1:12" customFormat="1" ht="14.4" x14ac:dyDescent="0.3">
      <c r="A110" s="1" t="s">
        <v>12</v>
      </c>
      <c r="B110" s="1" t="s">
        <v>13</v>
      </c>
      <c r="C110" s="2" t="s">
        <v>14</v>
      </c>
      <c r="D110" s="1" t="s">
        <v>73</v>
      </c>
      <c r="E110" s="1" t="s">
        <v>89</v>
      </c>
      <c r="F110" s="1" t="s">
        <v>74</v>
      </c>
      <c r="G110" s="3">
        <v>500</v>
      </c>
      <c r="H110" s="5">
        <v>45407</v>
      </c>
      <c r="I110" s="3" t="s">
        <v>125</v>
      </c>
      <c r="J110" s="3" t="s">
        <v>126</v>
      </c>
      <c r="K110" s="1">
        <v>352400332</v>
      </c>
      <c r="L110" s="6" t="s">
        <v>135</v>
      </c>
    </row>
    <row r="111" spans="1:12" customFormat="1" ht="14.4" x14ac:dyDescent="0.3">
      <c r="A111" s="1" t="s">
        <v>12</v>
      </c>
      <c r="B111" s="1" t="s">
        <v>13</v>
      </c>
      <c r="C111" s="2" t="s">
        <v>14</v>
      </c>
      <c r="D111" s="1" t="s">
        <v>113</v>
      </c>
      <c r="E111" s="1" t="s">
        <v>114</v>
      </c>
      <c r="F111" s="1" t="s">
        <v>66</v>
      </c>
      <c r="G111" s="3">
        <f>500+4750</f>
        <v>5250</v>
      </c>
      <c r="H111" s="5">
        <v>45407</v>
      </c>
      <c r="I111" s="3" t="s">
        <v>88</v>
      </c>
      <c r="J111" s="3" t="s">
        <v>59</v>
      </c>
      <c r="K111" s="1">
        <v>352400526</v>
      </c>
      <c r="L111" s="6" t="s">
        <v>136</v>
      </c>
    </row>
    <row r="112" spans="1:12" customFormat="1" ht="14.4" x14ac:dyDescent="0.3">
      <c r="A112" s="1" t="s">
        <v>12</v>
      </c>
      <c r="B112" s="1" t="s">
        <v>13</v>
      </c>
      <c r="C112" s="2" t="s">
        <v>14</v>
      </c>
      <c r="D112" s="1" t="s">
        <v>80</v>
      </c>
      <c r="E112" s="1" t="s">
        <v>81</v>
      </c>
      <c r="F112" s="1" t="s">
        <v>82</v>
      </c>
      <c r="G112" s="3">
        <v>6200</v>
      </c>
      <c r="H112" s="5">
        <v>45407</v>
      </c>
      <c r="I112" s="3" t="s">
        <v>117</v>
      </c>
      <c r="J112" s="3" t="s">
        <v>118</v>
      </c>
      <c r="K112" s="1">
        <v>352400520</v>
      </c>
      <c r="L112" s="6" t="s">
        <v>30</v>
      </c>
    </row>
    <row r="113" spans="1:12" customFormat="1" ht="14.4" x14ac:dyDescent="0.3">
      <c r="A113" s="1" t="s">
        <v>12</v>
      </c>
      <c r="B113" s="1" t="s">
        <v>13</v>
      </c>
      <c r="C113" s="2" t="s">
        <v>14</v>
      </c>
      <c r="D113" s="8" t="s">
        <v>104</v>
      </c>
      <c r="E113" s="9">
        <v>309023553967</v>
      </c>
      <c r="F113" s="1" t="s">
        <v>105</v>
      </c>
      <c r="G113" s="3">
        <v>6200</v>
      </c>
      <c r="H113" s="5">
        <v>45407</v>
      </c>
      <c r="I113" s="3" t="s">
        <v>90</v>
      </c>
      <c r="J113" s="3" t="s">
        <v>76</v>
      </c>
      <c r="K113" s="1">
        <v>352400329</v>
      </c>
      <c r="L113" s="6" t="s">
        <v>30</v>
      </c>
    </row>
    <row r="114" spans="1:12" customFormat="1" ht="14.4" x14ac:dyDescent="0.3">
      <c r="A114" s="1" t="s">
        <v>12</v>
      </c>
      <c r="B114" s="1" t="s">
        <v>13</v>
      </c>
      <c r="C114" s="2" t="s">
        <v>14</v>
      </c>
      <c r="D114" s="1" t="s">
        <v>41</v>
      </c>
      <c r="E114" s="1" t="s">
        <v>42</v>
      </c>
      <c r="F114" s="1" t="s">
        <v>43</v>
      </c>
      <c r="G114" s="3">
        <v>4000</v>
      </c>
      <c r="H114" s="5">
        <v>45407</v>
      </c>
      <c r="I114" s="3" t="s">
        <v>87</v>
      </c>
      <c r="J114" s="3" t="s">
        <v>45</v>
      </c>
      <c r="K114" s="1">
        <v>352400536</v>
      </c>
      <c r="L114" s="6" t="s">
        <v>60</v>
      </c>
    </row>
    <row r="115" spans="1:12" customFormat="1" ht="14.4" x14ac:dyDescent="0.3">
      <c r="A115" s="1" t="s">
        <v>12</v>
      </c>
      <c r="B115" s="1" t="s">
        <v>13</v>
      </c>
      <c r="C115" s="2" t="s">
        <v>14</v>
      </c>
      <c r="D115" s="1" t="s">
        <v>55</v>
      </c>
      <c r="E115" s="1" t="s">
        <v>56</v>
      </c>
      <c r="F115" s="1" t="s">
        <v>57</v>
      </c>
      <c r="G115" s="3">
        <v>6000</v>
      </c>
      <c r="H115" s="5">
        <v>45407</v>
      </c>
      <c r="I115" s="3" t="s">
        <v>137</v>
      </c>
      <c r="J115" s="3" t="s">
        <v>59</v>
      </c>
      <c r="K115" s="6">
        <v>352400302</v>
      </c>
      <c r="L115" s="6" t="s">
        <v>30</v>
      </c>
    </row>
    <row r="116" spans="1:12" customFormat="1" ht="14.4" x14ac:dyDescent="0.3">
      <c r="A116" s="1" t="s">
        <v>12</v>
      </c>
      <c r="B116" s="1" t="s">
        <v>13</v>
      </c>
      <c r="C116" s="2" t="s">
        <v>14</v>
      </c>
      <c r="D116" s="1" t="s">
        <v>70</v>
      </c>
      <c r="E116" s="1" t="s">
        <v>71</v>
      </c>
      <c r="F116" s="1" t="s">
        <v>72</v>
      </c>
      <c r="G116" s="3">
        <v>5250</v>
      </c>
      <c r="H116" s="5">
        <v>45408</v>
      </c>
      <c r="I116" s="3" t="s">
        <v>83</v>
      </c>
      <c r="J116" s="3" t="s">
        <v>84</v>
      </c>
      <c r="K116" s="1">
        <v>352400527</v>
      </c>
      <c r="L116" s="6" t="s">
        <v>69</v>
      </c>
    </row>
    <row r="117" spans="1:12" customFormat="1" ht="14.4" x14ac:dyDescent="0.3">
      <c r="A117" s="1" t="s">
        <v>12</v>
      </c>
      <c r="B117" s="1" t="s">
        <v>13</v>
      </c>
      <c r="C117" s="2" t="s">
        <v>14</v>
      </c>
      <c r="D117" s="1" t="s">
        <v>73</v>
      </c>
      <c r="E117" s="1" t="s">
        <v>89</v>
      </c>
      <c r="F117" s="1" t="s">
        <v>74</v>
      </c>
      <c r="G117" s="3">
        <v>5000</v>
      </c>
      <c r="H117" s="5">
        <v>45409</v>
      </c>
      <c r="I117" s="3" t="s">
        <v>125</v>
      </c>
      <c r="J117" s="3" t="s">
        <v>126</v>
      </c>
      <c r="K117" s="1">
        <v>352400521</v>
      </c>
      <c r="L117" s="6" t="s">
        <v>127</v>
      </c>
    </row>
    <row r="118" spans="1:12" customFormat="1" ht="14.4" x14ac:dyDescent="0.3">
      <c r="A118" s="1" t="s">
        <v>12</v>
      </c>
      <c r="B118" s="1" t="s">
        <v>13</v>
      </c>
      <c r="C118" s="2" t="s">
        <v>14</v>
      </c>
      <c r="D118" s="1" t="s">
        <v>41</v>
      </c>
      <c r="E118" s="1" t="s">
        <v>42</v>
      </c>
      <c r="F118" s="1" t="s">
        <v>43</v>
      </c>
      <c r="G118" s="3">
        <v>500</v>
      </c>
      <c r="H118" s="5">
        <v>45409</v>
      </c>
      <c r="I118" s="3" t="s">
        <v>87</v>
      </c>
      <c r="J118" s="3" t="s">
        <v>45</v>
      </c>
      <c r="K118" s="1">
        <v>352400536</v>
      </c>
      <c r="L118" s="6" t="s">
        <v>138</v>
      </c>
    </row>
    <row r="119" spans="1:12" customFormat="1" ht="14.4" x14ac:dyDescent="0.3">
      <c r="A119" s="1" t="s">
        <v>12</v>
      </c>
      <c r="B119" s="1" t="s">
        <v>13</v>
      </c>
      <c r="C119" s="2" t="s">
        <v>14</v>
      </c>
      <c r="D119" s="1" t="s">
        <v>64</v>
      </c>
      <c r="E119" s="1" t="s">
        <v>65</v>
      </c>
      <c r="F119" s="1" t="s">
        <v>66</v>
      </c>
      <c r="G119" s="3">
        <v>5250</v>
      </c>
      <c r="H119" s="5">
        <v>45409</v>
      </c>
      <c r="I119" s="3" t="s">
        <v>101</v>
      </c>
      <c r="J119" s="3" t="s">
        <v>68</v>
      </c>
      <c r="K119" s="1">
        <v>352400525</v>
      </c>
      <c r="L119" s="6" t="s">
        <v>69</v>
      </c>
    </row>
    <row r="120" spans="1:12" customFormat="1" ht="14.4" x14ac:dyDescent="0.3">
      <c r="A120" s="1" t="s">
        <v>12</v>
      </c>
      <c r="B120" s="1" t="s">
        <v>13</v>
      </c>
      <c r="C120" s="2" t="s">
        <v>14</v>
      </c>
      <c r="D120" s="1" t="s">
        <v>36</v>
      </c>
      <c r="E120" s="1" t="s">
        <v>37</v>
      </c>
      <c r="F120" s="1" t="s">
        <v>38</v>
      </c>
      <c r="G120" s="3">
        <v>5250</v>
      </c>
      <c r="H120" s="5">
        <v>45409</v>
      </c>
      <c r="I120" s="3" t="s">
        <v>92</v>
      </c>
      <c r="J120" s="3" t="s">
        <v>40</v>
      </c>
      <c r="K120" s="1">
        <v>352400524</v>
      </c>
      <c r="L120" s="6" t="s">
        <v>69</v>
      </c>
    </row>
    <row r="121" spans="1:12" customFormat="1" ht="14.4" x14ac:dyDescent="0.3">
      <c r="A121" s="1" t="s">
        <v>12</v>
      </c>
      <c r="B121" s="1" t="s">
        <v>13</v>
      </c>
      <c r="C121" s="2" t="s">
        <v>14</v>
      </c>
      <c r="D121" s="1" t="s">
        <v>15</v>
      </c>
      <c r="E121" s="1" t="s">
        <v>16</v>
      </c>
      <c r="F121" s="1" t="s">
        <v>17</v>
      </c>
      <c r="G121" s="3">
        <v>4000</v>
      </c>
      <c r="H121" s="5">
        <v>45410</v>
      </c>
      <c r="I121" s="3" t="s">
        <v>85</v>
      </c>
      <c r="J121" s="3" t="s">
        <v>19</v>
      </c>
      <c r="K121" s="1">
        <v>352400593</v>
      </c>
      <c r="L121" s="6" t="s">
        <v>20</v>
      </c>
    </row>
    <row r="122" spans="1:12" customFormat="1" ht="14.4" x14ac:dyDescent="0.3">
      <c r="A122" s="1" t="s">
        <v>12</v>
      </c>
      <c r="B122" s="1" t="s">
        <v>13</v>
      </c>
      <c r="C122" s="2" t="s">
        <v>14</v>
      </c>
      <c r="D122" s="1" t="s">
        <v>73</v>
      </c>
      <c r="E122" s="1" t="s">
        <v>89</v>
      </c>
      <c r="F122" s="1" t="s">
        <v>74</v>
      </c>
      <c r="G122" s="3">
        <v>500</v>
      </c>
      <c r="H122" s="5">
        <v>45410</v>
      </c>
      <c r="I122" s="3" t="s">
        <v>125</v>
      </c>
      <c r="J122" s="3" t="s">
        <v>126</v>
      </c>
      <c r="K122" s="1">
        <v>352400590</v>
      </c>
      <c r="L122" s="6" t="s">
        <v>124</v>
      </c>
    </row>
    <row r="123" spans="1:12" customFormat="1" ht="14.4" x14ac:dyDescent="0.3">
      <c r="A123" s="1" t="s">
        <v>12</v>
      </c>
      <c r="B123" s="1" t="s">
        <v>13</v>
      </c>
      <c r="C123" s="2" t="s">
        <v>14</v>
      </c>
      <c r="D123" s="1" t="s">
        <v>55</v>
      </c>
      <c r="E123" s="1" t="s">
        <v>56</v>
      </c>
      <c r="F123" s="1" t="s">
        <v>57</v>
      </c>
      <c r="G123" s="3">
        <v>4750</v>
      </c>
      <c r="H123" s="5">
        <v>45410</v>
      </c>
      <c r="I123" s="3" t="s">
        <v>137</v>
      </c>
      <c r="J123" s="3" t="s">
        <v>59</v>
      </c>
      <c r="K123" s="6">
        <v>352400592</v>
      </c>
      <c r="L123" s="6" t="s">
        <v>24</v>
      </c>
    </row>
    <row r="124" spans="1:12" customFormat="1" ht="14.4" x14ac:dyDescent="0.3">
      <c r="A124" s="1" t="s">
        <v>12</v>
      </c>
      <c r="B124" s="1" t="s">
        <v>13</v>
      </c>
      <c r="C124" s="2" t="s">
        <v>14</v>
      </c>
      <c r="D124" s="1" t="s">
        <v>15</v>
      </c>
      <c r="E124" s="1" t="s">
        <v>16</v>
      </c>
      <c r="F124" s="1" t="s">
        <v>17</v>
      </c>
      <c r="G124" s="3">
        <v>4000</v>
      </c>
      <c r="H124" s="5">
        <v>45411</v>
      </c>
      <c r="I124" s="3" t="s">
        <v>85</v>
      </c>
      <c r="J124" s="3" t="s">
        <v>19</v>
      </c>
      <c r="K124" s="1">
        <v>352400680</v>
      </c>
      <c r="L124" s="6" t="s">
        <v>20</v>
      </c>
    </row>
    <row r="125" spans="1:12" customFormat="1" ht="14.4" x14ac:dyDescent="0.3">
      <c r="A125" s="1" t="s">
        <v>12</v>
      </c>
      <c r="B125" s="1" t="s">
        <v>13</v>
      </c>
      <c r="C125" s="2" t="s">
        <v>14</v>
      </c>
      <c r="D125" s="1" t="s">
        <v>41</v>
      </c>
      <c r="E125" s="1" t="s">
        <v>42</v>
      </c>
      <c r="F125" s="1" t="s">
        <v>43</v>
      </c>
      <c r="G125" s="3">
        <v>4000</v>
      </c>
      <c r="H125" s="5">
        <v>45411</v>
      </c>
      <c r="I125" s="3" t="s">
        <v>87</v>
      </c>
      <c r="J125" s="3" t="s">
        <v>45</v>
      </c>
      <c r="K125" s="1">
        <v>352400639</v>
      </c>
      <c r="L125" s="6" t="s">
        <v>20</v>
      </c>
    </row>
    <row r="126" spans="1:12" customFormat="1" ht="14.4" x14ac:dyDescent="0.3">
      <c r="A126" s="1" t="s">
        <v>12</v>
      </c>
      <c r="B126" s="1" t="s">
        <v>13</v>
      </c>
      <c r="C126" s="2" t="s">
        <v>14</v>
      </c>
      <c r="D126" s="1" t="s">
        <v>64</v>
      </c>
      <c r="E126" s="1" t="s">
        <v>65</v>
      </c>
      <c r="F126" s="1" t="s">
        <v>66</v>
      </c>
      <c r="G126" s="3">
        <v>5250</v>
      </c>
      <c r="H126" s="5">
        <v>45411</v>
      </c>
      <c r="I126" s="3" t="s">
        <v>101</v>
      </c>
      <c r="J126" s="3" t="s">
        <v>68</v>
      </c>
      <c r="K126" s="1">
        <v>352400642</v>
      </c>
      <c r="L126" s="6" t="s">
        <v>69</v>
      </c>
    </row>
    <row r="127" spans="1:12" customFormat="1" ht="14.4" x14ac:dyDescent="0.3">
      <c r="A127" s="1" t="s">
        <v>12</v>
      </c>
      <c r="B127" s="1" t="s">
        <v>13</v>
      </c>
      <c r="C127" s="2" t="s">
        <v>14</v>
      </c>
      <c r="D127" s="1" t="s">
        <v>113</v>
      </c>
      <c r="E127" s="1" t="s">
        <v>114</v>
      </c>
      <c r="F127" s="1" t="s">
        <v>66</v>
      </c>
      <c r="G127" s="3">
        <v>4750</v>
      </c>
      <c r="H127" s="5">
        <v>45411</v>
      </c>
      <c r="I127" s="3" t="s">
        <v>88</v>
      </c>
      <c r="J127" s="3" t="s">
        <v>59</v>
      </c>
      <c r="K127" s="1">
        <v>352400679</v>
      </c>
      <c r="L127" s="6" t="s">
        <v>24</v>
      </c>
    </row>
    <row r="128" spans="1:12" customFormat="1" ht="14.4" x14ac:dyDescent="0.3">
      <c r="A128" s="1" t="s">
        <v>12</v>
      </c>
      <c r="B128" s="1" t="s">
        <v>13</v>
      </c>
      <c r="C128" s="2" t="s">
        <v>14</v>
      </c>
      <c r="D128" s="8" t="s">
        <v>104</v>
      </c>
      <c r="E128" s="9">
        <v>309023553967</v>
      </c>
      <c r="F128" s="1" t="s">
        <v>105</v>
      </c>
      <c r="G128" s="3">
        <v>2800</v>
      </c>
      <c r="H128" s="5">
        <v>45411</v>
      </c>
      <c r="I128" s="3" t="s">
        <v>91</v>
      </c>
      <c r="J128" s="3" t="s">
        <v>22</v>
      </c>
      <c r="K128" s="1">
        <v>352400640</v>
      </c>
      <c r="L128" s="6" t="s">
        <v>69</v>
      </c>
    </row>
    <row r="129" spans="1:12" customFormat="1" ht="14.4" x14ac:dyDescent="0.3">
      <c r="A129" s="1" t="s">
        <v>12</v>
      </c>
      <c r="B129" s="1" t="s">
        <v>13</v>
      </c>
      <c r="C129" s="2" t="s">
        <v>14</v>
      </c>
      <c r="D129" s="1" t="s">
        <v>36</v>
      </c>
      <c r="E129" s="1" t="s">
        <v>37</v>
      </c>
      <c r="F129" s="1" t="s">
        <v>38</v>
      </c>
      <c r="G129" s="3">
        <v>5250</v>
      </c>
      <c r="H129" s="5">
        <v>45411</v>
      </c>
      <c r="I129" s="3" t="s">
        <v>92</v>
      </c>
      <c r="J129" s="3" t="s">
        <v>40</v>
      </c>
      <c r="K129" s="1">
        <v>352400647</v>
      </c>
      <c r="L129" s="6" t="s">
        <v>69</v>
      </c>
    </row>
    <row r="130" spans="1:12" customFormat="1" ht="14.4" x14ac:dyDescent="0.3">
      <c r="A130" s="1" t="s">
        <v>12</v>
      </c>
      <c r="B130" s="1" t="s">
        <v>13</v>
      </c>
      <c r="C130" s="2" t="s">
        <v>14</v>
      </c>
      <c r="D130" s="1" t="s">
        <v>70</v>
      </c>
      <c r="E130" s="1" t="s">
        <v>71</v>
      </c>
      <c r="F130" s="1" t="s">
        <v>72</v>
      </c>
      <c r="G130" s="3">
        <v>3750</v>
      </c>
      <c r="H130" s="5">
        <v>45411</v>
      </c>
      <c r="I130" s="3" t="s">
        <v>83</v>
      </c>
      <c r="J130" s="3" t="s">
        <v>84</v>
      </c>
      <c r="K130" s="1">
        <v>352400637</v>
      </c>
      <c r="L130" s="6" t="s">
        <v>69</v>
      </c>
    </row>
    <row r="131" spans="1:12" customFormat="1" ht="14.4" x14ac:dyDescent="0.3">
      <c r="A131" s="1" t="s">
        <v>12</v>
      </c>
      <c r="B131" s="1" t="s">
        <v>13</v>
      </c>
      <c r="C131" s="2" t="s">
        <v>14</v>
      </c>
      <c r="D131" s="1" t="s">
        <v>70</v>
      </c>
      <c r="E131" s="1" t="s">
        <v>71</v>
      </c>
      <c r="F131" s="1" t="s">
        <v>72</v>
      </c>
      <c r="G131" s="3">
        <v>4750</v>
      </c>
      <c r="H131" s="5">
        <v>45411</v>
      </c>
      <c r="I131" s="3" t="s">
        <v>83</v>
      </c>
      <c r="J131" s="3" t="s">
        <v>84</v>
      </c>
      <c r="K131" s="1">
        <v>352400723</v>
      </c>
      <c r="L131" s="6" t="s">
        <v>24</v>
      </c>
    </row>
    <row r="132" spans="1:12" customFormat="1" ht="14.4" x14ac:dyDescent="0.3">
      <c r="A132" s="1" t="s">
        <v>12</v>
      </c>
      <c r="B132" s="1" t="s">
        <v>13</v>
      </c>
      <c r="C132" s="2" t="s">
        <v>14</v>
      </c>
      <c r="D132" s="1" t="s">
        <v>73</v>
      </c>
      <c r="E132" s="1" t="s">
        <v>89</v>
      </c>
      <c r="F132" s="1" t="s">
        <v>74</v>
      </c>
      <c r="G132" s="3">
        <v>500</v>
      </c>
      <c r="H132" s="5">
        <v>45412</v>
      </c>
      <c r="I132" s="3" t="s">
        <v>125</v>
      </c>
      <c r="J132" s="3" t="s">
        <v>126</v>
      </c>
      <c r="K132" s="1">
        <v>352400590</v>
      </c>
      <c r="L132" s="6" t="s">
        <v>124</v>
      </c>
    </row>
    <row r="133" spans="1:12" customFormat="1" ht="14.4" x14ac:dyDescent="0.3">
      <c r="A133" s="1" t="s">
        <v>12</v>
      </c>
      <c r="B133" s="1" t="s">
        <v>13</v>
      </c>
      <c r="C133" s="2" t="s">
        <v>14</v>
      </c>
      <c r="D133" s="1" t="s">
        <v>64</v>
      </c>
      <c r="E133" s="1" t="s">
        <v>65</v>
      </c>
      <c r="F133" s="1" t="s">
        <v>66</v>
      </c>
      <c r="G133" s="3">
        <v>4750</v>
      </c>
      <c r="H133" s="5">
        <v>45412</v>
      </c>
      <c r="I133" s="3" t="s">
        <v>101</v>
      </c>
      <c r="J133" s="3" t="s">
        <v>68</v>
      </c>
      <c r="K133" s="1">
        <v>352400745</v>
      </c>
      <c r="L133" s="6" t="s">
        <v>139</v>
      </c>
    </row>
    <row r="134" spans="1:12" customFormat="1" ht="14.4" x14ac:dyDescent="0.3">
      <c r="A134" s="1" t="s">
        <v>12</v>
      </c>
      <c r="B134" s="1" t="s">
        <v>13</v>
      </c>
      <c r="C134" s="2" t="s">
        <v>14</v>
      </c>
      <c r="D134" s="1" t="s">
        <v>113</v>
      </c>
      <c r="E134" s="1" t="s">
        <v>114</v>
      </c>
      <c r="F134" s="1" t="s">
        <v>66</v>
      </c>
      <c r="G134" s="3">
        <v>4750</v>
      </c>
      <c r="H134" s="5">
        <v>45412</v>
      </c>
      <c r="I134" s="3" t="s">
        <v>88</v>
      </c>
      <c r="J134" s="3" t="s">
        <v>59</v>
      </c>
      <c r="K134" s="1">
        <v>352400736</v>
      </c>
      <c r="L134" s="6" t="s">
        <v>24</v>
      </c>
    </row>
    <row r="135" spans="1:12" customFormat="1" ht="14.4" x14ac:dyDescent="0.3">
      <c r="A135" s="1" t="s">
        <v>12</v>
      </c>
      <c r="B135" s="1" t="s">
        <v>13</v>
      </c>
      <c r="C135" s="2" t="s">
        <v>14</v>
      </c>
      <c r="D135" s="8" t="s">
        <v>104</v>
      </c>
      <c r="E135" s="9">
        <v>309023553967</v>
      </c>
      <c r="F135" s="1" t="s">
        <v>105</v>
      </c>
      <c r="G135" s="3">
        <v>5250</v>
      </c>
      <c r="H135" s="5">
        <v>45412</v>
      </c>
      <c r="I135" s="3" t="s">
        <v>91</v>
      </c>
      <c r="J135" s="3" t="s">
        <v>22</v>
      </c>
      <c r="K135" s="1">
        <v>352400744</v>
      </c>
      <c r="L135" s="6" t="s">
        <v>69</v>
      </c>
    </row>
    <row r="136" spans="1:12" customFormat="1" ht="14.4" x14ac:dyDescent="0.3">
      <c r="A136" s="1" t="s">
        <v>12</v>
      </c>
      <c r="B136" s="1" t="s">
        <v>13</v>
      </c>
      <c r="C136" s="2" t="s">
        <v>14</v>
      </c>
      <c r="D136" s="1" t="s">
        <v>48</v>
      </c>
      <c r="E136" s="1" t="s">
        <v>49</v>
      </c>
      <c r="F136" s="1" t="s">
        <v>50</v>
      </c>
      <c r="G136" s="3">
        <v>6000</v>
      </c>
      <c r="H136" s="5">
        <v>45412</v>
      </c>
      <c r="I136" s="3" t="s">
        <v>51</v>
      </c>
      <c r="J136" s="3" t="s">
        <v>52</v>
      </c>
      <c r="K136" s="6">
        <v>352400599</v>
      </c>
      <c r="L136" s="6" t="s">
        <v>30</v>
      </c>
    </row>
    <row r="137" spans="1:12" customFormat="1" ht="14.4" x14ac:dyDescent="0.3">
      <c r="A137" s="1" t="s">
        <v>12</v>
      </c>
      <c r="B137" s="1" t="s">
        <v>13</v>
      </c>
      <c r="C137" s="2" t="s">
        <v>14</v>
      </c>
      <c r="D137" s="1" t="s">
        <v>36</v>
      </c>
      <c r="E137" s="1" t="s">
        <v>37</v>
      </c>
      <c r="F137" s="1" t="s">
        <v>38</v>
      </c>
      <c r="G137" s="3">
        <v>5250</v>
      </c>
      <c r="H137" s="5">
        <v>45412</v>
      </c>
      <c r="I137" s="3" t="s">
        <v>92</v>
      </c>
      <c r="J137" s="3" t="s">
        <v>40</v>
      </c>
      <c r="K137" s="1">
        <v>352400743</v>
      </c>
      <c r="L137" s="6" t="s">
        <v>69</v>
      </c>
    </row>
    <row r="138" spans="1:12" customFormat="1" ht="14.4" x14ac:dyDescent="0.3">
      <c r="A138" s="1" t="s">
        <v>12</v>
      </c>
      <c r="B138" s="1" t="s">
        <v>13</v>
      </c>
      <c r="C138" s="2" t="s">
        <v>14</v>
      </c>
      <c r="D138" s="1" t="s">
        <v>70</v>
      </c>
      <c r="E138" s="1" t="s">
        <v>71</v>
      </c>
      <c r="F138" s="1" t="s">
        <v>72</v>
      </c>
      <c r="G138" s="3">
        <v>5250</v>
      </c>
      <c r="H138" s="5">
        <v>45412</v>
      </c>
      <c r="I138" s="3" t="s">
        <v>83</v>
      </c>
      <c r="J138" s="3" t="s">
        <v>84</v>
      </c>
      <c r="K138" s="1">
        <v>352400746</v>
      </c>
      <c r="L138" s="6" t="s">
        <v>69</v>
      </c>
    </row>
    <row r="139" spans="1:12" customFormat="1" ht="14.4" x14ac:dyDescent="0.3">
      <c r="A139" s="1" t="s">
        <v>12</v>
      </c>
      <c r="B139" s="1" t="s">
        <v>13</v>
      </c>
      <c r="C139" s="2" t="s">
        <v>14</v>
      </c>
      <c r="D139" s="3" t="s">
        <v>25</v>
      </c>
      <c r="E139" s="4" t="s">
        <v>26</v>
      </c>
      <c r="F139" s="3" t="s">
        <v>27</v>
      </c>
      <c r="G139" s="3">
        <v>6000</v>
      </c>
      <c r="H139" s="5">
        <v>45413</v>
      </c>
      <c r="I139" s="3" t="s">
        <v>77</v>
      </c>
      <c r="J139" s="3" t="s">
        <v>29</v>
      </c>
      <c r="K139" s="1">
        <v>352400797</v>
      </c>
      <c r="L139" s="6" t="s">
        <v>30</v>
      </c>
    </row>
    <row r="140" spans="1:12" customFormat="1" ht="14.4" x14ac:dyDescent="0.3">
      <c r="A140" s="1" t="s">
        <v>12</v>
      </c>
      <c r="B140" s="1" t="s">
        <v>13</v>
      </c>
      <c r="C140" s="2" t="s">
        <v>14</v>
      </c>
      <c r="D140" s="1" t="s">
        <v>15</v>
      </c>
      <c r="E140" s="1" t="s">
        <v>16</v>
      </c>
      <c r="F140" s="1" t="s">
        <v>17</v>
      </c>
      <c r="G140" s="3">
        <v>4000</v>
      </c>
      <c r="H140" s="5">
        <v>45414</v>
      </c>
      <c r="I140" s="3" t="s">
        <v>85</v>
      </c>
      <c r="J140" s="3" t="s">
        <v>19</v>
      </c>
      <c r="K140" s="1">
        <v>352400764</v>
      </c>
      <c r="L140" s="6" t="s">
        <v>20</v>
      </c>
    </row>
    <row r="141" spans="1:12" customFormat="1" ht="14.4" x14ac:dyDescent="0.3">
      <c r="A141" s="1" t="s">
        <v>12</v>
      </c>
      <c r="B141" s="1" t="s">
        <v>13</v>
      </c>
      <c r="C141" s="2" t="s">
        <v>14</v>
      </c>
      <c r="D141" s="1" t="s">
        <v>41</v>
      </c>
      <c r="E141" s="1" t="s">
        <v>42</v>
      </c>
      <c r="F141" s="1" t="s">
        <v>43</v>
      </c>
      <c r="G141" s="3">
        <v>4000</v>
      </c>
      <c r="H141" s="5">
        <v>45414</v>
      </c>
      <c r="I141" s="3" t="s">
        <v>87</v>
      </c>
      <c r="J141" s="3" t="s">
        <v>45</v>
      </c>
      <c r="K141" s="1">
        <v>352400784</v>
      </c>
      <c r="L141" s="6" t="s">
        <v>20</v>
      </c>
    </row>
    <row r="142" spans="1:12" customFormat="1" ht="14.4" x14ac:dyDescent="0.3">
      <c r="A142" s="1" t="s">
        <v>12</v>
      </c>
      <c r="B142" s="1" t="s">
        <v>13</v>
      </c>
      <c r="C142" s="2" t="s">
        <v>14</v>
      </c>
      <c r="D142" s="8" t="s">
        <v>104</v>
      </c>
      <c r="E142" s="9">
        <v>309023553967</v>
      </c>
      <c r="F142" s="1" t="s">
        <v>105</v>
      </c>
      <c r="G142" s="3">
        <v>5250</v>
      </c>
      <c r="H142" s="5">
        <v>45414</v>
      </c>
      <c r="I142" s="3" t="s">
        <v>91</v>
      </c>
      <c r="J142" s="3" t="s">
        <v>22</v>
      </c>
      <c r="K142" s="1">
        <v>352400786</v>
      </c>
      <c r="L142" s="6" t="s">
        <v>69</v>
      </c>
    </row>
    <row r="143" spans="1:12" customFormat="1" ht="14.4" x14ac:dyDescent="0.3">
      <c r="A143" s="1" t="s">
        <v>12</v>
      </c>
      <c r="B143" s="1" t="s">
        <v>13</v>
      </c>
      <c r="C143" s="2" t="s">
        <v>14</v>
      </c>
      <c r="D143" s="3" t="s">
        <v>25</v>
      </c>
      <c r="E143" s="4" t="s">
        <v>26</v>
      </c>
      <c r="F143" s="3" t="s">
        <v>27</v>
      </c>
      <c r="G143" s="3">
        <v>5000</v>
      </c>
      <c r="H143" s="5">
        <v>45414</v>
      </c>
      <c r="I143" s="3" t="s">
        <v>77</v>
      </c>
      <c r="J143" s="3" t="s">
        <v>29</v>
      </c>
      <c r="K143" s="1">
        <v>352400797</v>
      </c>
      <c r="L143" s="6" t="s">
        <v>131</v>
      </c>
    </row>
    <row r="144" spans="1:12" customFormat="1" ht="14.4" x14ac:dyDescent="0.3">
      <c r="A144" s="1" t="s">
        <v>12</v>
      </c>
      <c r="B144" s="1" t="s">
        <v>13</v>
      </c>
      <c r="C144" s="2" t="s">
        <v>14</v>
      </c>
      <c r="D144" s="1" t="s">
        <v>36</v>
      </c>
      <c r="E144" s="1" t="s">
        <v>37</v>
      </c>
      <c r="F144" s="1" t="s">
        <v>38</v>
      </c>
      <c r="G144" s="3">
        <v>5250</v>
      </c>
      <c r="H144" s="5">
        <v>45414</v>
      </c>
      <c r="I144" s="3" t="s">
        <v>92</v>
      </c>
      <c r="J144" s="3" t="s">
        <v>40</v>
      </c>
      <c r="K144" s="1">
        <v>352400787</v>
      </c>
      <c r="L144" s="6" t="s">
        <v>69</v>
      </c>
    </row>
    <row r="145" spans="1:12" customFormat="1" ht="14.4" x14ac:dyDescent="0.3">
      <c r="A145" s="1" t="s">
        <v>12</v>
      </c>
      <c r="B145" s="1" t="s">
        <v>13</v>
      </c>
      <c r="C145" s="2" t="s">
        <v>14</v>
      </c>
      <c r="D145" s="1" t="s">
        <v>70</v>
      </c>
      <c r="E145" s="1" t="s">
        <v>71</v>
      </c>
      <c r="F145" s="1" t="s">
        <v>72</v>
      </c>
      <c r="G145" s="3">
        <v>5250</v>
      </c>
      <c r="H145" s="5">
        <v>45414</v>
      </c>
      <c r="I145" s="3" t="s">
        <v>83</v>
      </c>
      <c r="J145" s="3" t="s">
        <v>84</v>
      </c>
      <c r="K145" s="1">
        <v>352400785</v>
      </c>
      <c r="L145" s="6" t="s">
        <v>69</v>
      </c>
    </row>
    <row r="146" spans="1:12" customFormat="1" ht="14.4" x14ac:dyDescent="0.3">
      <c r="A146" s="1" t="s">
        <v>12</v>
      </c>
      <c r="B146" s="1" t="s">
        <v>13</v>
      </c>
      <c r="C146" s="2" t="s">
        <v>14</v>
      </c>
      <c r="D146" s="1" t="s">
        <v>73</v>
      </c>
      <c r="E146" s="1" t="s">
        <v>89</v>
      </c>
      <c r="F146" s="1" t="s">
        <v>74</v>
      </c>
      <c r="G146" s="3">
        <v>5000</v>
      </c>
      <c r="H146" s="5">
        <v>45414</v>
      </c>
      <c r="I146" s="3" t="s">
        <v>90</v>
      </c>
      <c r="J146" s="3" t="s">
        <v>76</v>
      </c>
      <c r="K146" s="1">
        <v>352400346</v>
      </c>
      <c r="L146" s="6" t="s">
        <v>35</v>
      </c>
    </row>
    <row r="147" spans="1:12" customFormat="1" ht="14.4" x14ac:dyDescent="0.3">
      <c r="A147" s="1" t="s">
        <v>12</v>
      </c>
      <c r="B147" s="1" t="s">
        <v>13</v>
      </c>
      <c r="C147" s="2" t="s">
        <v>14</v>
      </c>
      <c r="D147" s="1" t="s">
        <v>64</v>
      </c>
      <c r="E147" s="1" t="s">
        <v>65</v>
      </c>
      <c r="F147" s="1" t="s">
        <v>66</v>
      </c>
      <c r="G147" s="3">
        <v>3750</v>
      </c>
      <c r="H147" s="5">
        <v>45414</v>
      </c>
      <c r="I147" s="3" t="s">
        <v>101</v>
      </c>
      <c r="J147" s="3" t="s">
        <v>68</v>
      </c>
      <c r="K147" s="1">
        <v>352400768</v>
      </c>
      <c r="L147" s="6" t="s">
        <v>69</v>
      </c>
    </row>
    <row r="148" spans="1:12" customFormat="1" ht="14.4" x14ac:dyDescent="0.3">
      <c r="A148" s="1" t="s">
        <v>12</v>
      </c>
      <c r="B148" s="1" t="s">
        <v>13</v>
      </c>
      <c r="C148" s="2" t="s">
        <v>14</v>
      </c>
      <c r="D148" s="1" t="s">
        <v>73</v>
      </c>
      <c r="E148" s="1" t="s">
        <v>89</v>
      </c>
      <c r="F148" s="1" t="s">
        <v>74</v>
      </c>
      <c r="G148" s="3">
        <v>3750</v>
      </c>
      <c r="H148" s="5">
        <v>45414</v>
      </c>
      <c r="I148" s="3" t="s">
        <v>90</v>
      </c>
      <c r="J148" s="3" t="s">
        <v>76</v>
      </c>
      <c r="K148" s="1">
        <v>352400813</v>
      </c>
      <c r="L148" s="6" t="s">
        <v>69</v>
      </c>
    </row>
    <row r="149" spans="1:12" customFormat="1" ht="14.4" x14ac:dyDescent="0.3">
      <c r="A149" s="1" t="s">
        <v>12</v>
      </c>
      <c r="B149" s="1" t="s">
        <v>13</v>
      </c>
      <c r="C149" s="2" t="s">
        <v>14</v>
      </c>
      <c r="D149" s="1" t="s">
        <v>41</v>
      </c>
      <c r="E149" s="1" t="s">
        <v>61</v>
      </c>
      <c r="F149" s="1" t="s">
        <v>62</v>
      </c>
      <c r="G149" s="3">
        <v>5000</v>
      </c>
      <c r="H149" s="5">
        <v>45414</v>
      </c>
      <c r="I149" s="3" t="s">
        <v>63</v>
      </c>
      <c r="J149" s="3" t="s">
        <v>59</v>
      </c>
      <c r="K149" s="1">
        <v>352400781</v>
      </c>
      <c r="L149" s="6" t="s">
        <v>35</v>
      </c>
    </row>
    <row r="150" spans="1:12" customFormat="1" ht="14.4" x14ac:dyDescent="0.3">
      <c r="A150" s="1" t="s">
        <v>12</v>
      </c>
      <c r="B150" s="1" t="s">
        <v>13</v>
      </c>
      <c r="C150" s="2" t="s">
        <v>14</v>
      </c>
      <c r="D150" s="1" t="s">
        <v>15</v>
      </c>
      <c r="E150" s="1" t="s">
        <v>16</v>
      </c>
      <c r="F150" s="1" t="s">
        <v>17</v>
      </c>
      <c r="G150" s="3">
        <v>4000</v>
      </c>
      <c r="H150" s="5">
        <v>45415</v>
      </c>
      <c r="I150" s="3" t="s">
        <v>85</v>
      </c>
      <c r="J150" s="3" t="s">
        <v>19</v>
      </c>
      <c r="K150" s="1">
        <v>352400828</v>
      </c>
      <c r="L150" s="6" t="s">
        <v>20</v>
      </c>
    </row>
    <row r="151" spans="1:12" customFormat="1" ht="14.4" x14ac:dyDescent="0.3">
      <c r="A151" s="1" t="s">
        <v>12</v>
      </c>
      <c r="B151" s="1" t="s">
        <v>13</v>
      </c>
      <c r="C151" s="2" t="s">
        <v>14</v>
      </c>
      <c r="D151" s="1" t="s">
        <v>64</v>
      </c>
      <c r="E151" s="1" t="s">
        <v>65</v>
      </c>
      <c r="F151" s="1" t="s">
        <v>66</v>
      </c>
      <c r="G151" s="3">
        <v>5250</v>
      </c>
      <c r="H151" s="5">
        <v>45415</v>
      </c>
      <c r="I151" s="3" t="s">
        <v>101</v>
      </c>
      <c r="J151" s="3" t="s">
        <v>68</v>
      </c>
      <c r="K151" s="1">
        <v>352400837</v>
      </c>
      <c r="L151" s="6" t="s">
        <v>69</v>
      </c>
    </row>
    <row r="152" spans="1:12" customFormat="1" ht="14.4" x14ac:dyDescent="0.3">
      <c r="A152" s="1" t="s">
        <v>12</v>
      </c>
      <c r="B152" s="1" t="s">
        <v>13</v>
      </c>
      <c r="C152" s="2" t="s">
        <v>14</v>
      </c>
      <c r="D152" s="1" t="s">
        <v>41</v>
      </c>
      <c r="E152" s="1" t="s">
        <v>61</v>
      </c>
      <c r="F152" s="1" t="s">
        <v>62</v>
      </c>
      <c r="G152" s="3">
        <v>4750</v>
      </c>
      <c r="H152" s="5">
        <v>45415</v>
      </c>
      <c r="I152" s="3" t="s">
        <v>63</v>
      </c>
      <c r="J152" s="3" t="s">
        <v>59</v>
      </c>
      <c r="K152" s="1">
        <v>352400832</v>
      </c>
      <c r="L152" s="6" t="s">
        <v>140</v>
      </c>
    </row>
    <row r="153" spans="1:12" customFormat="1" ht="14.4" x14ac:dyDescent="0.3">
      <c r="A153" s="1" t="s">
        <v>12</v>
      </c>
      <c r="B153" s="1" t="s">
        <v>13</v>
      </c>
      <c r="C153" s="2" t="s">
        <v>14</v>
      </c>
      <c r="D153" s="8" t="s">
        <v>104</v>
      </c>
      <c r="E153" s="9">
        <v>309023553967</v>
      </c>
      <c r="F153" s="1" t="s">
        <v>105</v>
      </c>
      <c r="G153" s="3">
        <v>5250</v>
      </c>
      <c r="H153" s="5">
        <v>45415</v>
      </c>
      <c r="I153" s="3" t="s">
        <v>91</v>
      </c>
      <c r="J153" s="3" t="s">
        <v>22</v>
      </c>
      <c r="K153" s="1">
        <v>352400836</v>
      </c>
      <c r="L153" s="6" t="s">
        <v>69</v>
      </c>
    </row>
    <row r="154" spans="1:12" customFormat="1" ht="14.4" x14ac:dyDescent="0.3">
      <c r="A154" s="1" t="s">
        <v>12</v>
      </c>
      <c r="B154" s="1" t="s">
        <v>13</v>
      </c>
      <c r="C154" s="2" t="s">
        <v>14</v>
      </c>
      <c r="D154" s="3" t="s">
        <v>25</v>
      </c>
      <c r="E154" s="4" t="s">
        <v>26</v>
      </c>
      <c r="F154" s="3" t="s">
        <v>27</v>
      </c>
      <c r="G154" s="3">
        <v>5250</v>
      </c>
      <c r="H154" s="5">
        <v>45415</v>
      </c>
      <c r="I154" s="3" t="s">
        <v>77</v>
      </c>
      <c r="J154" s="3" t="s">
        <v>29</v>
      </c>
      <c r="K154" s="1">
        <v>352400833</v>
      </c>
      <c r="L154" s="6" t="s">
        <v>69</v>
      </c>
    </row>
    <row r="155" spans="1:12" customFormat="1" ht="14.4" x14ac:dyDescent="0.3">
      <c r="A155" s="1" t="s">
        <v>12</v>
      </c>
      <c r="B155" s="1" t="s">
        <v>13</v>
      </c>
      <c r="C155" s="2" t="s">
        <v>14</v>
      </c>
      <c r="D155" s="1" t="s">
        <v>36</v>
      </c>
      <c r="E155" s="1" t="s">
        <v>37</v>
      </c>
      <c r="F155" s="1" t="s">
        <v>38</v>
      </c>
      <c r="G155" s="3">
        <v>7500</v>
      </c>
      <c r="H155" s="5">
        <v>45415</v>
      </c>
      <c r="I155" s="3" t="s">
        <v>92</v>
      </c>
      <c r="J155" s="3" t="s">
        <v>40</v>
      </c>
      <c r="K155" s="1">
        <v>352400834</v>
      </c>
      <c r="L155" s="6" t="s">
        <v>141</v>
      </c>
    </row>
    <row r="156" spans="1:12" customFormat="1" ht="14.4" x14ac:dyDescent="0.3">
      <c r="A156" s="1" t="s">
        <v>12</v>
      </c>
      <c r="B156" s="1" t="s">
        <v>13</v>
      </c>
      <c r="C156" s="2" t="s">
        <v>14</v>
      </c>
      <c r="D156" s="1" t="s">
        <v>70</v>
      </c>
      <c r="E156" s="1" t="s">
        <v>71</v>
      </c>
      <c r="F156" s="1" t="s">
        <v>72</v>
      </c>
      <c r="G156" s="3">
        <v>5250</v>
      </c>
      <c r="H156" s="5">
        <v>45415</v>
      </c>
      <c r="I156" s="3" t="s">
        <v>83</v>
      </c>
      <c r="J156" s="3" t="s">
        <v>84</v>
      </c>
      <c r="K156" s="1">
        <v>352400835</v>
      </c>
      <c r="L156" s="6" t="s">
        <v>69</v>
      </c>
    </row>
    <row r="157" spans="1:12" customFormat="1" ht="14.4" x14ac:dyDescent="0.3">
      <c r="A157" s="1" t="s">
        <v>12</v>
      </c>
      <c r="B157" s="1" t="s">
        <v>13</v>
      </c>
      <c r="C157" s="2" t="s">
        <v>14</v>
      </c>
      <c r="D157" s="1" t="s">
        <v>41</v>
      </c>
      <c r="E157" s="1" t="s">
        <v>42</v>
      </c>
      <c r="F157" s="1" t="s">
        <v>43</v>
      </c>
      <c r="G157" s="3">
        <v>4000</v>
      </c>
      <c r="H157" s="5">
        <v>45415</v>
      </c>
      <c r="I157" s="3" t="s">
        <v>87</v>
      </c>
      <c r="J157" s="3" t="s">
        <v>45</v>
      </c>
      <c r="K157" s="1">
        <v>352400831</v>
      </c>
      <c r="L157" s="6" t="s">
        <v>60</v>
      </c>
    </row>
    <row r="158" spans="1:12" customFormat="1" ht="14.4" x14ac:dyDescent="0.3">
      <c r="A158" s="1" t="s">
        <v>12</v>
      </c>
      <c r="B158" s="1" t="s">
        <v>13</v>
      </c>
      <c r="C158" s="2" t="s">
        <v>14</v>
      </c>
      <c r="D158" s="1" t="s">
        <v>108</v>
      </c>
      <c r="E158" s="1" t="s">
        <v>109</v>
      </c>
      <c r="F158" s="1" t="s">
        <v>110</v>
      </c>
      <c r="G158" s="3">
        <v>5000</v>
      </c>
      <c r="H158" s="5">
        <v>45415</v>
      </c>
      <c r="I158" s="3" t="s">
        <v>93</v>
      </c>
      <c r="J158" s="3" t="s">
        <v>34</v>
      </c>
      <c r="K158" s="1">
        <v>352400838</v>
      </c>
      <c r="L158" s="6" t="s">
        <v>35</v>
      </c>
    </row>
    <row r="159" spans="1:12" customFormat="1" ht="14.4" x14ac:dyDescent="0.3">
      <c r="A159" s="1" t="s">
        <v>12</v>
      </c>
      <c r="B159" s="1" t="s">
        <v>13</v>
      </c>
      <c r="C159" s="2" t="s">
        <v>14</v>
      </c>
      <c r="D159" s="1" t="s">
        <v>80</v>
      </c>
      <c r="E159" s="1" t="s">
        <v>81</v>
      </c>
      <c r="F159" s="1" t="s">
        <v>82</v>
      </c>
      <c r="G159" s="3">
        <v>3200</v>
      </c>
      <c r="H159" s="5">
        <v>45415</v>
      </c>
      <c r="I159" s="3" t="s">
        <v>117</v>
      </c>
      <c r="J159" s="3" t="s">
        <v>118</v>
      </c>
      <c r="K159" s="1">
        <v>352400684</v>
      </c>
      <c r="L159" s="6" t="s">
        <v>69</v>
      </c>
    </row>
    <row r="160" spans="1:12" customFormat="1" ht="14.4" x14ac:dyDescent="0.3">
      <c r="A160" s="1" t="s">
        <v>12</v>
      </c>
      <c r="B160" s="1" t="s">
        <v>13</v>
      </c>
      <c r="C160" s="2" t="s">
        <v>14</v>
      </c>
      <c r="D160" s="1" t="s">
        <v>15</v>
      </c>
      <c r="E160" s="1" t="s">
        <v>16</v>
      </c>
      <c r="F160" s="1" t="s">
        <v>17</v>
      </c>
      <c r="G160" s="3">
        <v>4000</v>
      </c>
      <c r="H160" s="5">
        <v>45416</v>
      </c>
      <c r="I160" s="3" t="s">
        <v>85</v>
      </c>
      <c r="J160" s="3" t="s">
        <v>19</v>
      </c>
      <c r="K160" s="1">
        <v>352400861</v>
      </c>
      <c r="L160" s="6" t="s">
        <v>20</v>
      </c>
    </row>
    <row r="161" spans="1:12" customFormat="1" ht="14.4" x14ac:dyDescent="0.3">
      <c r="A161" s="1" t="s">
        <v>12</v>
      </c>
      <c r="B161" s="1" t="s">
        <v>13</v>
      </c>
      <c r="C161" s="2" t="s">
        <v>14</v>
      </c>
      <c r="D161" s="1" t="s">
        <v>41</v>
      </c>
      <c r="E161" s="1" t="s">
        <v>42</v>
      </c>
      <c r="F161" s="1" t="s">
        <v>43</v>
      </c>
      <c r="G161" s="3">
        <v>4000</v>
      </c>
      <c r="H161" s="5">
        <v>45416</v>
      </c>
      <c r="I161" s="3" t="s">
        <v>87</v>
      </c>
      <c r="J161" s="3" t="s">
        <v>45</v>
      </c>
      <c r="K161" s="1">
        <v>352400862</v>
      </c>
      <c r="L161" s="6" t="s">
        <v>60</v>
      </c>
    </row>
    <row r="162" spans="1:12" customFormat="1" ht="14.4" x14ac:dyDescent="0.3">
      <c r="A162" s="1" t="s">
        <v>12</v>
      </c>
      <c r="B162" s="1" t="s">
        <v>13</v>
      </c>
      <c r="C162" s="2" t="s">
        <v>14</v>
      </c>
      <c r="D162" s="1" t="s">
        <v>64</v>
      </c>
      <c r="E162" s="1" t="s">
        <v>65</v>
      </c>
      <c r="F162" s="1" t="s">
        <v>66</v>
      </c>
      <c r="G162" s="3">
        <v>5250</v>
      </c>
      <c r="H162" s="5">
        <v>45416</v>
      </c>
      <c r="I162" s="3" t="s">
        <v>101</v>
      </c>
      <c r="J162" s="3" t="s">
        <v>68</v>
      </c>
      <c r="K162" s="1">
        <v>352400871</v>
      </c>
      <c r="L162" s="6" t="s">
        <v>69</v>
      </c>
    </row>
    <row r="163" spans="1:12" customFormat="1" ht="14.4" x14ac:dyDescent="0.3">
      <c r="A163" s="1" t="s">
        <v>12</v>
      </c>
      <c r="B163" s="1" t="s">
        <v>13</v>
      </c>
      <c r="C163" s="2" t="s">
        <v>14</v>
      </c>
      <c r="D163" s="1" t="s">
        <v>80</v>
      </c>
      <c r="E163" s="1">
        <v>40345821802</v>
      </c>
      <c r="F163" s="1" t="s">
        <v>82</v>
      </c>
      <c r="G163" s="3">
        <v>5250</v>
      </c>
      <c r="H163" s="5">
        <v>45416</v>
      </c>
      <c r="I163" s="3" t="s">
        <v>117</v>
      </c>
      <c r="J163" s="3" t="s">
        <v>118</v>
      </c>
      <c r="K163" s="1">
        <v>352400866</v>
      </c>
      <c r="L163" s="6" t="s">
        <v>69</v>
      </c>
    </row>
    <row r="164" spans="1:12" customFormat="1" ht="14.4" x14ac:dyDescent="0.3">
      <c r="A164" s="1" t="s">
        <v>12</v>
      </c>
      <c r="B164" s="1" t="s">
        <v>13</v>
      </c>
      <c r="C164" s="2" t="s">
        <v>14</v>
      </c>
      <c r="D164" s="1" t="s">
        <v>41</v>
      </c>
      <c r="E164" s="1" t="s">
        <v>61</v>
      </c>
      <c r="F164" s="1" t="s">
        <v>62</v>
      </c>
      <c r="G164" s="3">
        <v>4750</v>
      </c>
      <c r="H164" s="5">
        <v>45416</v>
      </c>
      <c r="I164" s="3" t="s">
        <v>63</v>
      </c>
      <c r="J164" s="3" t="s">
        <v>59</v>
      </c>
      <c r="K164" s="1">
        <v>352400859</v>
      </c>
      <c r="L164" s="6" t="s">
        <v>24</v>
      </c>
    </row>
    <row r="165" spans="1:12" customFormat="1" ht="14.4" x14ac:dyDescent="0.3">
      <c r="A165" s="1" t="s">
        <v>12</v>
      </c>
      <c r="B165" s="1" t="s">
        <v>13</v>
      </c>
      <c r="C165" s="2" t="s">
        <v>14</v>
      </c>
      <c r="D165" s="1" t="s">
        <v>36</v>
      </c>
      <c r="E165" s="1" t="s">
        <v>37</v>
      </c>
      <c r="F165" s="1" t="s">
        <v>38</v>
      </c>
      <c r="G165" s="3">
        <v>5250</v>
      </c>
      <c r="H165" s="5">
        <v>45416</v>
      </c>
      <c r="I165" s="3" t="s">
        <v>92</v>
      </c>
      <c r="J165" s="3" t="s">
        <v>40</v>
      </c>
      <c r="K165" s="1">
        <v>352400845</v>
      </c>
      <c r="L165" s="6" t="s">
        <v>69</v>
      </c>
    </row>
    <row r="166" spans="1:12" customFormat="1" ht="14.4" x14ac:dyDescent="0.3">
      <c r="A166" s="1" t="s">
        <v>12</v>
      </c>
      <c r="B166" s="1" t="s">
        <v>13</v>
      </c>
      <c r="C166" s="2" t="s">
        <v>14</v>
      </c>
      <c r="D166" s="1" t="s">
        <v>70</v>
      </c>
      <c r="E166" s="1" t="s">
        <v>71</v>
      </c>
      <c r="F166" s="1" t="s">
        <v>72</v>
      </c>
      <c r="G166" s="3">
        <v>5250</v>
      </c>
      <c r="H166" s="5">
        <v>45416</v>
      </c>
      <c r="I166" s="3" t="s">
        <v>83</v>
      </c>
      <c r="J166" s="3" t="s">
        <v>84</v>
      </c>
      <c r="K166" s="1">
        <v>352400865</v>
      </c>
      <c r="L166" s="6" t="s">
        <v>69</v>
      </c>
    </row>
    <row r="167" spans="1:12" customFormat="1" ht="14.4" x14ac:dyDescent="0.3">
      <c r="A167" s="1" t="s">
        <v>12</v>
      </c>
      <c r="B167" s="1" t="s">
        <v>13</v>
      </c>
      <c r="C167" s="2" t="s">
        <v>14</v>
      </c>
      <c r="D167" s="1" t="s">
        <v>73</v>
      </c>
      <c r="E167" s="1" t="s">
        <v>89</v>
      </c>
      <c r="F167" s="1" t="s">
        <v>74</v>
      </c>
      <c r="G167" s="3">
        <v>5250</v>
      </c>
      <c r="H167" s="5">
        <v>45416</v>
      </c>
      <c r="I167" s="3" t="s">
        <v>90</v>
      </c>
      <c r="J167" s="3" t="s">
        <v>76</v>
      </c>
      <c r="K167" s="1">
        <v>352400864</v>
      </c>
      <c r="L167" s="6" t="s">
        <v>69</v>
      </c>
    </row>
    <row r="168" spans="1:12" customFormat="1" ht="14.4" x14ac:dyDescent="0.3">
      <c r="A168" s="1" t="s">
        <v>12</v>
      </c>
      <c r="B168" s="1" t="s">
        <v>13</v>
      </c>
      <c r="C168" s="2" t="s">
        <v>14</v>
      </c>
      <c r="D168" s="1" t="s">
        <v>113</v>
      </c>
      <c r="E168" s="1" t="s">
        <v>114</v>
      </c>
      <c r="F168" s="1" t="s">
        <v>66</v>
      </c>
      <c r="G168" s="3">
        <v>500</v>
      </c>
      <c r="H168" s="5">
        <v>45417</v>
      </c>
      <c r="I168" s="3" t="s">
        <v>125</v>
      </c>
      <c r="J168" s="3" t="s">
        <v>126</v>
      </c>
      <c r="K168" s="1">
        <v>352400869</v>
      </c>
      <c r="L168" s="6" t="s">
        <v>24</v>
      </c>
    </row>
    <row r="169" spans="1:12" customFormat="1" ht="14.4" x14ac:dyDescent="0.3">
      <c r="A169" s="1" t="s">
        <v>12</v>
      </c>
      <c r="B169" s="1" t="s">
        <v>13</v>
      </c>
      <c r="C169" s="2" t="s">
        <v>14</v>
      </c>
      <c r="D169" s="3" t="s">
        <v>25</v>
      </c>
      <c r="E169" s="4" t="s">
        <v>26</v>
      </c>
      <c r="F169" s="3" t="s">
        <v>27</v>
      </c>
      <c r="G169" s="3">
        <v>7500</v>
      </c>
      <c r="H169" s="5">
        <v>45417</v>
      </c>
      <c r="I169" s="3" t="s">
        <v>77</v>
      </c>
      <c r="J169" s="3" t="s">
        <v>29</v>
      </c>
      <c r="K169" s="1">
        <v>352400867</v>
      </c>
      <c r="L169" s="6" t="s">
        <v>141</v>
      </c>
    </row>
    <row r="170" spans="1:12" customFormat="1" ht="14.4" x14ac:dyDescent="0.3">
      <c r="A170" s="1" t="s">
        <v>12</v>
      </c>
      <c r="B170" s="1" t="s">
        <v>13</v>
      </c>
      <c r="C170" s="2" t="s">
        <v>14</v>
      </c>
      <c r="D170" s="1" t="s">
        <v>15</v>
      </c>
      <c r="E170" s="1" t="s">
        <v>16</v>
      </c>
      <c r="F170" s="1" t="s">
        <v>17</v>
      </c>
      <c r="G170" s="3">
        <v>4000</v>
      </c>
      <c r="H170" s="5">
        <v>45418</v>
      </c>
      <c r="I170" s="3" t="s">
        <v>85</v>
      </c>
      <c r="J170" s="3" t="s">
        <v>19</v>
      </c>
      <c r="K170" s="1">
        <v>352400887</v>
      </c>
      <c r="L170" s="6" t="s">
        <v>20</v>
      </c>
    </row>
    <row r="171" spans="1:12" customFormat="1" ht="14.4" x14ac:dyDescent="0.3">
      <c r="A171" s="1" t="s">
        <v>12</v>
      </c>
      <c r="B171" s="1" t="s">
        <v>13</v>
      </c>
      <c r="C171" s="2" t="s">
        <v>14</v>
      </c>
      <c r="D171" s="1" t="s">
        <v>41</v>
      </c>
      <c r="E171" s="1" t="s">
        <v>42</v>
      </c>
      <c r="F171" s="1" t="s">
        <v>43</v>
      </c>
      <c r="G171" s="3">
        <v>4000</v>
      </c>
      <c r="H171" s="5">
        <v>45418</v>
      </c>
      <c r="I171" s="3" t="s">
        <v>87</v>
      </c>
      <c r="J171" s="3" t="s">
        <v>45</v>
      </c>
      <c r="K171" s="1">
        <v>352400895</v>
      </c>
      <c r="L171" s="6" t="s">
        <v>20</v>
      </c>
    </row>
    <row r="172" spans="1:12" customFormat="1" ht="14.4" x14ac:dyDescent="0.3">
      <c r="A172" s="1" t="s">
        <v>12</v>
      </c>
      <c r="B172" s="1" t="s">
        <v>13</v>
      </c>
      <c r="C172" s="2" t="s">
        <v>14</v>
      </c>
      <c r="D172" s="1" t="s">
        <v>64</v>
      </c>
      <c r="E172" s="1" t="s">
        <v>65</v>
      </c>
      <c r="F172" s="1" t="s">
        <v>66</v>
      </c>
      <c r="G172" s="3">
        <v>5250</v>
      </c>
      <c r="H172" s="5">
        <v>45418</v>
      </c>
      <c r="I172" s="3" t="s">
        <v>101</v>
      </c>
      <c r="J172" s="3" t="s">
        <v>68</v>
      </c>
      <c r="K172" s="1">
        <v>352400911</v>
      </c>
      <c r="L172" s="6" t="s">
        <v>69</v>
      </c>
    </row>
    <row r="173" spans="1:12" customFormat="1" ht="14.4" x14ac:dyDescent="0.3">
      <c r="A173" s="1" t="s">
        <v>12</v>
      </c>
      <c r="B173" s="1" t="s">
        <v>13</v>
      </c>
      <c r="C173" s="2" t="s">
        <v>14</v>
      </c>
      <c r="D173" s="1" t="s">
        <v>80</v>
      </c>
      <c r="E173" s="1" t="s">
        <v>81</v>
      </c>
      <c r="F173" s="1" t="s">
        <v>82</v>
      </c>
      <c r="G173" s="3">
        <v>5250</v>
      </c>
      <c r="H173" s="5">
        <v>45418</v>
      </c>
      <c r="I173" s="3" t="s">
        <v>117</v>
      </c>
      <c r="J173" s="3" t="s">
        <v>118</v>
      </c>
      <c r="K173" s="1">
        <v>352400908</v>
      </c>
      <c r="L173" s="6" t="s">
        <v>69</v>
      </c>
    </row>
    <row r="174" spans="1:12" customFormat="1" ht="14.4" x14ac:dyDescent="0.3">
      <c r="A174" s="1" t="s">
        <v>12</v>
      </c>
      <c r="B174" s="1" t="s">
        <v>13</v>
      </c>
      <c r="C174" s="2" t="s">
        <v>14</v>
      </c>
      <c r="D174" s="1" t="s">
        <v>41</v>
      </c>
      <c r="E174" s="1" t="s">
        <v>61</v>
      </c>
      <c r="F174" s="1" t="s">
        <v>62</v>
      </c>
      <c r="G174" s="3">
        <v>4750</v>
      </c>
      <c r="H174" s="5">
        <v>45418</v>
      </c>
      <c r="I174" s="3" t="s">
        <v>63</v>
      </c>
      <c r="J174" s="3" t="s">
        <v>59</v>
      </c>
      <c r="K174" s="1">
        <v>352400886</v>
      </c>
      <c r="L174" s="6" t="s">
        <v>24</v>
      </c>
    </row>
    <row r="175" spans="1:12" customFormat="1" ht="14.4" x14ac:dyDescent="0.3">
      <c r="A175" s="1" t="s">
        <v>12</v>
      </c>
      <c r="B175" s="1" t="s">
        <v>13</v>
      </c>
      <c r="C175" s="2" t="s">
        <v>14</v>
      </c>
      <c r="D175" s="8" t="s">
        <v>104</v>
      </c>
      <c r="E175" s="9">
        <v>309023553967</v>
      </c>
      <c r="F175" s="1" t="s">
        <v>105</v>
      </c>
      <c r="G175" s="3">
        <v>5000</v>
      </c>
      <c r="H175" s="5">
        <v>45418</v>
      </c>
      <c r="I175" s="3" t="s">
        <v>91</v>
      </c>
      <c r="J175" s="3" t="s">
        <v>22</v>
      </c>
      <c r="K175" s="1">
        <v>352400905</v>
      </c>
      <c r="L175" s="6" t="s">
        <v>35</v>
      </c>
    </row>
    <row r="176" spans="1:12" customFormat="1" ht="14.4" x14ac:dyDescent="0.3">
      <c r="A176" s="1" t="s">
        <v>12</v>
      </c>
      <c r="B176" s="1" t="s">
        <v>13</v>
      </c>
      <c r="C176" s="2" t="s">
        <v>14</v>
      </c>
      <c r="D176" s="3" t="s">
        <v>25</v>
      </c>
      <c r="E176" s="4" t="s">
        <v>26</v>
      </c>
      <c r="F176" s="3" t="s">
        <v>27</v>
      </c>
      <c r="G176" s="3">
        <v>5250</v>
      </c>
      <c r="H176" s="5">
        <v>45418</v>
      </c>
      <c r="I176" s="3" t="s">
        <v>77</v>
      </c>
      <c r="J176" s="3" t="s">
        <v>29</v>
      </c>
      <c r="K176" s="1">
        <v>352400904</v>
      </c>
      <c r="L176" s="6" t="s">
        <v>69</v>
      </c>
    </row>
    <row r="177" spans="1:12" customFormat="1" ht="14.4" x14ac:dyDescent="0.3">
      <c r="A177" s="1" t="s">
        <v>12</v>
      </c>
      <c r="B177" s="1" t="s">
        <v>13</v>
      </c>
      <c r="C177" s="2" t="s">
        <v>14</v>
      </c>
      <c r="D177" s="1" t="s">
        <v>36</v>
      </c>
      <c r="E177" s="1" t="s">
        <v>37</v>
      </c>
      <c r="F177" s="1" t="s">
        <v>38</v>
      </c>
      <c r="G177" s="3">
        <v>5250</v>
      </c>
      <c r="H177" s="5">
        <v>45418</v>
      </c>
      <c r="I177" s="3" t="s">
        <v>92</v>
      </c>
      <c r="J177" s="3" t="s">
        <v>40</v>
      </c>
      <c r="K177" s="1">
        <v>352400910</v>
      </c>
      <c r="L177" s="6" t="s">
        <v>69</v>
      </c>
    </row>
    <row r="178" spans="1:12" customFormat="1" ht="14.4" x14ac:dyDescent="0.3">
      <c r="A178" s="1" t="s">
        <v>12</v>
      </c>
      <c r="B178" s="1" t="s">
        <v>13</v>
      </c>
      <c r="C178" s="2" t="s">
        <v>14</v>
      </c>
      <c r="D178" s="1" t="s">
        <v>70</v>
      </c>
      <c r="E178" s="1" t="s">
        <v>71</v>
      </c>
      <c r="F178" s="1" t="s">
        <v>72</v>
      </c>
      <c r="G178" s="3">
        <v>5250</v>
      </c>
      <c r="H178" s="5">
        <v>45418</v>
      </c>
      <c r="I178" s="3" t="s">
        <v>83</v>
      </c>
      <c r="J178" s="3" t="s">
        <v>84</v>
      </c>
      <c r="K178" s="1">
        <v>352400909</v>
      </c>
      <c r="L178" s="6" t="s">
        <v>69</v>
      </c>
    </row>
    <row r="179" spans="1:12" customFormat="1" ht="14.4" x14ac:dyDescent="0.3">
      <c r="A179" s="1" t="s">
        <v>12</v>
      </c>
      <c r="B179" s="1" t="s">
        <v>13</v>
      </c>
      <c r="C179" s="2" t="s">
        <v>14</v>
      </c>
      <c r="D179" s="1" t="s">
        <v>73</v>
      </c>
      <c r="E179" s="1" t="s">
        <v>89</v>
      </c>
      <c r="F179" s="1" t="s">
        <v>74</v>
      </c>
      <c r="G179" s="3">
        <v>5250</v>
      </c>
      <c r="H179" s="5">
        <v>45418</v>
      </c>
      <c r="I179" s="3" t="s">
        <v>90</v>
      </c>
      <c r="J179" s="3" t="s">
        <v>76</v>
      </c>
      <c r="K179" s="1">
        <v>352400907</v>
      </c>
      <c r="L179" s="6" t="s">
        <v>69</v>
      </c>
    </row>
    <row r="180" spans="1:12" customFormat="1" ht="14.4" x14ac:dyDescent="0.3">
      <c r="A180" s="1" t="s">
        <v>12</v>
      </c>
      <c r="B180" s="1" t="s">
        <v>13</v>
      </c>
      <c r="C180" s="2" t="s">
        <v>14</v>
      </c>
      <c r="D180" s="1" t="s">
        <v>15</v>
      </c>
      <c r="E180" s="1" t="s">
        <v>16</v>
      </c>
      <c r="F180" s="1" t="s">
        <v>17</v>
      </c>
      <c r="G180" s="3">
        <v>4000</v>
      </c>
      <c r="H180" s="5">
        <v>45419</v>
      </c>
      <c r="I180" s="3" t="s">
        <v>85</v>
      </c>
      <c r="J180" s="3" t="s">
        <v>19</v>
      </c>
      <c r="K180" s="1">
        <v>352400928</v>
      </c>
      <c r="L180" s="6" t="s">
        <v>20</v>
      </c>
    </row>
    <row r="181" spans="1:12" customFormat="1" ht="14.4" x14ac:dyDescent="0.3">
      <c r="A181" s="1" t="s">
        <v>12</v>
      </c>
      <c r="B181" s="1" t="s">
        <v>13</v>
      </c>
      <c r="C181" s="2" t="s">
        <v>14</v>
      </c>
      <c r="D181" s="1" t="s">
        <v>64</v>
      </c>
      <c r="E181" s="1" t="s">
        <v>65</v>
      </c>
      <c r="F181" s="1" t="s">
        <v>66</v>
      </c>
      <c r="G181" s="3">
        <v>5250</v>
      </c>
      <c r="H181" s="5">
        <v>45419</v>
      </c>
      <c r="I181" s="3" t="s">
        <v>101</v>
      </c>
      <c r="J181" s="3" t="s">
        <v>68</v>
      </c>
      <c r="K181" s="1">
        <v>352400930</v>
      </c>
      <c r="L181" s="6" t="s">
        <v>69</v>
      </c>
    </row>
    <row r="182" spans="1:12" customFormat="1" ht="14.4" x14ac:dyDescent="0.3">
      <c r="A182" s="1" t="s">
        <v>12</v>
      </c>
      <c r="B182" s="1" t="s">
        <v>13</v>
      </c>
      <c r="C182" s="2" t="s">
        <v>14</v>
      </c>
      <c r="D182" s="1" t="s">
        <v>80</v>
      </c>
      <c r="E182" s="1" t="s">
        <v>81</v>
      </c>
      <c r="F182" s="1" t="s">
        <v>82</v>
      </c>
      <c r="G182" s="3">
        <v>5250</v>
      </c>
      <c r="H182" s="5">
        <v>45419</v>
      </c>
      <c r="I182" s="3" t="s">
        <v>117</v>
      </c>
      <c r="J182" s="3" t="s">
        <v>118</v>
      </c>
      <c r="K182" s="1">
        <v>352400951</v>
      </c>
      <c r="L182" s="6" t="s">
        <v>69</v>
      </c>
    </row>
    <row r="183" spans="1:12" customFormat="1" ht="14.4" x14ac:dyDescent="0.3">
      <c r="A183" s="1" t="s">
        <v>12</v>
      </c>
      <c r="B183" s="1" t="s">
        <v>13</v>
      </c>
      <c r="C183" s="2" t="s">
        <v>14</v>
      </c>
      <c r="D183" s="1" t="s">
        <v>41</v>
      </c>
      <c r="E183" s="1" t="s">
        <v>61</v>
      </c>
      <c r="F183" s="1" t="s">
        <v>62</v>
      </c>
      <c r="G183" s="3">
        <v>5000</v>
      </c>
      <c r="H183" s="5">
        <v>45419</v>
      </c>
      <c r="I183" s="3" t="s">
        <v>63</v>
      </c>
      <c r="J183" s="3" t="s">
        <v>59</v>
      </c>
      <c r="K183" s="1">
        <v>352400927</v>
      </c>
      <c r="L183" s="6" t="s">
        <v>35</v>
      </c>
    </row>
    <row r="184" spans="1:12" customFormat="1" ht="14.4" x14ac:dyDescent="0.3">
      <c r="A184" s="1" t="s">
        <v>12</v>
      </c>
      <c r="B184" s="1" t="s">
        <v>13</v>
      </c>
      <c r="C184" s="2" t="s">
        <v>14</v>
      </c>
      <c r="D184" s="3" t="s">
        <v>25</v>
      </c>
      <c r="E184" s="4" t="s">
        <v>26</v>
      </c>
      <c r="F184" s="3" t="s">
        <v>27</v>
      </c>
      <c r="G184" s="3">
        <v>5250</v>
      </c>
      <c r="H184" s="5">
        <v>45419</v>
      </c>
      <c r="I184" s="3" t="s">
        <v>77</v>
      </c>
      <c r="J184" s="3" t="s">
        <v>29</v>
      </c>
      <c r="K184" s="1">
        <v>352400933</v>
      </c>
      <c r="L184" s="6" t="s">
        <v>69</v>
      </c>
    </row>
    <row r="185" spans="1:12" customFormat="1" ht="14.4" x14ac:dyDescent="0.3">
      <c r="A185" s="1" t="s">
        <v>12</v>
      </c>
      <c r="B185" s="1" t="s">
        <v>13</v>
      </c>
      <c r="C185" s="2" t="s">
        <v>14</v>
      </c>
      <c r="D185" s="1" t="s">
        <v>36</v>
      </c>
      <c r="E185" s="1" t="s">
        <v>37</v>
      </c>
      <c r="F185" s="1" t="s">
        <v>38</v>
      </c>
      <c r="G185" s="3">
        <v>5250</v>
      </c>
      <c r="H185" s="5">
        <v>45419</v>
      </c>
      <c r="I185" s="3" t="s">
        <v>92</v>
      </c>
      <c r="J185" s="3" t="s">
        <v>40</v>
      </c>
      <c r="K185" s="1">
        <v>352400932</v>
      </c>
      <c r="L185" s="6" t="s">
        <v>69</v>
      </c>
    </row>
    <row r="186" spans="1:12" customFormat="1" ht="14.4" x14ac:dyDescent="0.3">
      <c r="A186" s="1" t="s">
        <v>12</v>
      </c>
      <c r="B186" s="1" t="s">
        <v>13</v>
      </c>
      <c r="C186" s="2" t="s">
        <v>14</v>
      </c>
      <c r="D186" s="1" t="s">
        <v>70</v>
      </c>
      <c r="E186" s="1" t="s">
        <v>71</v>
      </c>
      <c r="F186" s="1" t="s">
        <v>72</v>
      </c>
      <c r="G186" s="3">
        <v>5250</v>
      </c>
      <c r="H186" s="5">
        <v>45419</v>
      </c>
      <c r="I186" s="3" t="s">
        <v>83</v>
      </c>
      <c r="J186" s="3" t="s">
        <v>84</v>
      </c>
      <c r="K186" s="1">
        <v>352400934</v>
      </c>
      <c r="L186" s="6" t="s">
        <v>69</v>
      </c>
    </row>
    <row r="187" spans="1:12" customFormat="1" ht="14.4" x14ac:dyDescent="0.3">
      <c r="A187" s="1" t="s">
        <v>12</v>
      </c>
      <c r="B187" s="1" t="s">
        <v>13</v>
      </c>
      <c r="C187" s="2" t="s">
        <v>14</v>
      </c>
      <c r="D187" s="1" t="s">
        <v>73</v>
      </c>
      <c r="E187" s="1" t="s">
        <v>89</v>
      </c>
      <c r="F187" s="1" t="s">
        <v>74</v>
      </c>
      <c r="G187" s="3">
        <v>5250</v>
      </c>
      <c r="H187" s="5">
        <v>45419</v>
      </c>
      <c r="I187" s="3" t="s">
        <v>90</v>
      </c>
      <c r="J187" s="3" t="s">
        <v>76</v>
      </c>
      <c r="K187" s="1">
        <v>352400931</v>
      </c>
      <c r="L187" s="6" t="s">
        <v>69</v>
      </c>
    </row>
    <row r="188" spans="1:12" customFormat="1" ht="14.4" x14ac:dyDescent="0.3">
      <c r="A188" s="1" t="s">
        <v>12</v>
      </c>
      <c r="B188" s="1" t="s">
        <v>13</v>
      </c>
      <c r="C188" s="2" t="s">
        <v>14</v>
      </c>
      <c r="D188" s="1" t="s">
        <v>15</v>
      </c>
      <c r="E188" s="1" t="s">
        <v>16</v>
      </c>
      <c r="F188" s="1" t="s">
        <v>17</v>
      </c>
      <c r="G188" s="3">
        <v>4000</v>
      </c>
      <c r="H188" s="5">
        <v>45420</v>
      </c>
      <c r="I188" s="3" t="s">
        <v>85</v>
      </c>
      <c r="J188" s="3" t="s">
        <v>19</v>
      </c>
      <c r="K188" s="1">
        <v>352400928</v>
      </c>
      <c r="L188" s="6" t="s">
        <v>20</v>
      </c>
    </row>
    <row r="189" spans="1:12" customFormat="1" ht="14.4" x14ac:dyDescent="0.3">
      <c r="A189" s="1" t="s">
        <v>12</v>
      </c>
      <c r="B189" s="1" t="s">
        <v>13</v>
      </c>
      <c r="C189" s="2" t="s">
        <v>14</v>
      </c>
      <c r="D189" s="1" t="s">
        <v>41</v>
      </c>
      <c r="E189" s="1" t="s">
        <v>42</v>
      </c>
      <c r="F189" s="1" t="s">
        <v>43</v>
      </c>
      <c r="G189" s="3">
        <v>4000</v>
      </c>
      <c r="H189" s="5">
        <v>45420</v>
      </c>
      <c r="I189" s="3" t="s">
        <v>87</v>
      </c>
      <c r="J189" s="3" t="s">
        <v>45</v>
      </c>
      <c r="K189" s="1">
        <v>352400953</v>
      </c>
      <c r="L189" s="6" t="s">
        <v>60</v>
      </c>
    </row>
    <row r="190" spans="1:12" customFormat="1" ht="14.4" x14ac:dyDescent="0.3">
      <c r="A190" s="1" t="s">
        <v>12</v>
      </c>
      <c r="B190" s="1" t="s">
        <v>13</v>
      </c>
      <c r="C190" s="2" t="s">
        <v>14</v>
      </c>
      <c r="D190" s="1" t="s">
        <v>64</v>
      </c>
      <c r="E190" s="1" t="s">
        <v>65</v>
      </c>
      <c r="F190" s="1" t="s">
        <v>66</v>
      </c>
      <c r="G190" s="3">
        <v>5250</v>
      </c>
      <c r="H190" s="5">
        <v>45420</v>
      </c>
      <c r="I190" s="3" t="s">
        <v>101</v>
      </c>
      <c r="J190" s="3" t="s">
        <v>68</v>
      </c>
      <c r="K190" s="1">
        <v>352400969</v>
      </c>
      <c r="L190" s="6" t="s">
        <v>69</v>
      </c>
    </row>
    <row r="191" spans="1:12" customFormat="1" ht="14.4" x14ac:dyDescent="0.3">
      <c r="A191" s="1" t="s">
        <v>12</v>
      </c>
      <c r="B191" s="1" t="s">
        <v>13</v>
      </c>
      <c r="C191" s="2" t="s">
        <v>14</v>
      </c>
      <c r="D191" s="1" t="s">
        <v>80</v>
      </c>
      <c r="E191" s="1" t="s">
        <v>81</v>
      </c>
      <c r="F191" s="1" t="s">
        <v>82</v>
      </c>
      <c r="G191" s="3">
        <v>5250</v>
      </c>
      <c r="H191" s="5">
        <v>45420</v>
      </c>
      <c r="I191" s="3" t="s">
        <v>117</v>
      </c>
      <c r="J191" s="3" t="s">
        <v>118</v>
      </c>
      <c r="K191" s="1">
        <v>352400972</v>
      </c>
      <c r="L191" s="6" t="s">
        <v>69</v>
      </c>
    </row>
    <row r="192" spans="1:12" customFormat="1" ht="14.4" x14ac:dyDescent="0.3">
      <c r="A192" s="1" t="s">
        <v>12</v>
      </c>
      <c r="B192" s="1" t="s">
        <v>13</v>
      </c>
      <c r="C192" s="2" t="s">
        <v>14</v>
      </c>
      <c r="D192" s="1" t="s">
        <v>41</v>
      </c>
      <c r="E192" s="1" t="s">
        <v>61</v>
      </c>
      <c r="F192" s="1" t="s">
        <v>62</v>
      </c>
      <c r="G192" s="3">
        <v>5000</v>
      </c>
      <c r="H192" s="5">
        <v>45420</v>
      </c>
      <c r="I192" s="3" t="s">
        <v>63</v>
      </c>
      <c r="J192" s="3" t="s">
        <v>59</v>
      </c>
      <c r="K192" s="1">
        <v>352400970</v>
      </c>
      <c r="L192" s="6" t="s">
        <v>35</v>
      </c>
    </row>
    <row r="193" spans="1:12" customFormat="1" ht="14.4" x14ac:dyDescent="0.3">
      <c r="A193" s="1" t="s">
        <v>12</v>
      </c>
      <c r="B193" s="1" t="s">
        <v>13</v>
      </c>
      <c r="C193" s="2" t="s">
        <v>14</v>
      </c>
      <c r="D193" s="3" t="s">
        <v>25</v>
      </c>
      <c r="E193" s="4" t="s">
        <v>26</v>
      </c>
      <c r="F193" s="3" t="s">
        <v>27</v>
      </c>
      <c r="G193" s="3">
        <v>5250</v>
      </c>
      <c r="H193" s="5">
        <v>45420</v>
      </c>
      <c r="I193" s="3" t="s">
        <v>77</v>
      </c>
      <c r="J193" s="3" t="s">
        <v>29</v>
      </c>
      <c r="K193" s="1">
        <v>352400978</v>
      </c>
      <c r="L193" s="6" t="s">
        <v>69</v>
      </c>
    </row>
    <row r="194" spans="1:12" customFormat="1" ht="14.4" x14ac:dyDescent="0.3">
      <c r="A194" s="1" t="s">
        <v>12</v>
      </c>
      <c r="B194" s="1" t="s">
        <v>13</v>
      </c>
      <c r="C194" s="2" t="s">
        <v>14</v>
      </c>
      <c r="D194" s="1" t="s">
        <v>36</v>
      </c>
      <c r="E194" s="1" t="s">
        <v>37</v>
      </c>
      <c r="F194" s="1" t="s">
        <v>38</v>
      </c>
      <c r="G194" s="3">
        <v>5250</v>
      </c>
      <c r="H194" s="5">
        <v>45420</v>
      </c>
      <c r="I194" s="3" t="s">
        <v>92</v>
      </c>
      <c r="J194" s="3" t="s">
        <v>40</v>
      </c>
      <c r="K194" s="1">
        <v>352400971</v>
      </c>
      <c r="L194" s="6" t="s">
        <v>69</v>
      </c>
    </row>
    <row r="195" spans="1:12" customFormat="1" ht="14.4" x14ac:dyDescent="0.3">
      <c r="A195" s="1" t="s">
        <v>12</v>
      </c>
      <c r="B195" s="1" t="s">
        <v>13</v>
      </c>
      <c r="C195" s="2" t="s">
        <v>14</v>
      </c>
      <c r="D195" s="1" t="s">
        <v>70</v>
      </c>
      <c r="E195" s="1" t="s">
        <v>71</v>
      </c>
      <c r="F195" s="1" t="s">
        <v>72</v>
      </c>
      <c r="G195" s="3">
        <v>5250</v>
      </c>
      <c r="H195" s="5">
        <v>45420</v>
      </c>
      <c r="I195" s="3" t="s">
        <v>83</v>
      </c>
      <c r="J195" s="3" t="s">
        <v>84</v>
      </c>
      <c r="K195" s="1">
        <v>352400977</v>
      </c>
      <c r="L195" s="6" t="s">
        <v>69</v>
      </c>
    </row>
    <row r="196" spans="1:12" customFormat="1" ht="14.4" x14ac:dyDescent="0.3">
      <c r="A196" s="1" t="s">
        <v>12</v>
      </c>
      <c r="B196" s="1" t="s">
        <v>13</v>
      </c>
      <c r="C196" s="2" t="s">
        <v>14</v>
      </c>
      <c r="D196" s="1" t="s">
        <v>73</v>
      </c>
      <c r="E196" s="1" t="s">
        <v>89</v>
      </c>
      <c r="F196" s="1" t="s">
        <v>74</v>
      </c>
      <c r="G196" s="3">
        <v>7500</v>
      </c>
      <c r="H196" s="5">
        <v>45420</v>
      </c>
      <c r="I196" s="3" t="s">
        <v>90</v>
      </c>
      <c r="J196" s="3" t="s">
        <v>76</v>
      </c>
      <c r="K196" s="1">
        <v>352400973</v>
      </c>
      <c r="L196" s="6" t="s">
        <v>141</v>
      </c>
    </row>
    <row r="197" spans="1:12" customFormat="1" ht="14.4" x14ac:dyDescent="0.3">
      <c r="A197" s="1" t="s">
        <v>12</v>
      </c>
      <c r="B197" s="1" t="s">
        <v>13</v>
      </c>
      <c r="C197" s="2" t="s">
        <v>14</v>
      </c>
      <c r="D197" s="8" t="s">
        <v>104</v>
      </c>
      <c r="E197" s="9">
        <v>309023553967</v>
      </c>
      <c r="F197" s="1" t="s">
        <v>105</v>
      </c>
      <c r="G197" s="3">
        <v>6200</v>
      </c>
      <c r="H197" s="5">
        <v>45420</v>
      </c>
      <c r="I197" s="3" t="s">
        <v>91</v>
      </c>
      <c r="J197" s="3" t="s">
        <v>22</v>
      </c>
      <c r="K197" s="1">
        <v>352400926</v>
      </c>
      <c r="L197" s="6" t="s">
        <v>30</v>
      </c>
    </row>
    <row r="198" spans="1:12" customFormat="1" ht="14.4" x14ac:dyDescent="0.3">
      <c r="A198" s="1" t="s">
        <v>12</v>
      </c>
      <c r="B198" s="1" t="s">
        <v>13</v>
      </c>
      <c r="C198" s="2" t="s">
        <v>14</v>
      </c>
      <c r="D198" s="1" t="s">
        <v>15</v>
      </c>
      <c r="E198" s="1" t="s">
        <v>16</v>
      </c>
      <c r="F198" s="1" t="s">
        <v>17</v>
      </c>
      <c r="G198" s="3">
        <v>4000</v>
      </c>
      <c r="H198" s="5">
        <v>45421</v>
      </c>
      <c r="I198" s="3" t="s">
        <v>85</v>
      </c>
      <c r="J198" s="3" t="s">
        <v>19</v>
      </c>
      <c r="K198" s="1">
        <v>352401005</v>
      </c>
      <c r="L198" s="6" t="s">
        <v>20</v>
      </c>
    </row>
    <row r="199" spans="1:12" customFormat="1" ht="14.4" x14ac:dyDescent="0.3">
      <c r="A199" s="1" t="s">
        <v>12</v>
      </c>
      <c r="B199" s="1" t="s">
        <v>13</v>
      </c>
      <c r="C199" s="2" t="s">
        <v>14</v>
      </c>
      <c r="D199" s="1" t="s">
        <v>41</v>
      </c>
      <c r="E199" s="1" t="s">
        <v>42</v>
      </c>
      <c r="F199" s="1" t="s">
        <v>43</v>
      </c>
      <c r="G199" s="3">
        <v>4000</v>
      </c>
      <c r="H199" s="5">
        <v>45421</v>
      </c>
      <c r="I199" s="3" t="s">
        <v>87</v>
      </c>
      <c r="J199" s="3" t="s">
        <v>45</v>
      </c>
      <c r="K199" s="1">
        <v>352401020</v>
      </c>
      <c r="L199" s="6" t="s">
        <v>60</v>
      </c>
    </row>
    <row r="200" spans="1:12" customFormat="1" ht="14.4" x14ac:dyDescent="0.3">
      <c r="A200" s="1" t="s">
        <v>12</v>
      </c>
      <c r="B200" s="1" t="s">
        <v>13</v>
      </c>
      <c r="C200" s="2" t="s">
        <v>14</v>
      </c>
      <c r="D200" s="1" t="s">
        <v>64</v>
      </c>
      <c r="E200" s="1" t="s">
        <v>65</v>
      </c>
      <c r="F200" s="1" t="s">
        <v>66</v>
      </c>
      <c r="G200" s="3">
        <v>5250</v>
      </c>
      <c r="H200" s="5">
        <v>45421</v>
      </c>
      <c r="I200" s="3" t="s">
        <v>101</v>
      </c>
      <c r="J200" s="3" t="s">
        <v>68</v>
      </c>
      <c r="K200" s="1">
        <v>352401009</v>
      </c>
      <c r="L200" s="6" t="s">
        <v>69</v>
      </c>
    </row>
    <row r="201" spans="1:12" customFormat="1" ht="14.4" x14ac:dyDescent="0.3">
      <c r="A201" s="1" t="s">
        <v>12</v>
      </c>
      <c r="B201" s="1" t="s">
        <v>13</v>
      </c>
      <c r="C201" s="2" t="s">
        <v>14</v>
      </c>
      <c r="D201" s="1" t="s">
        <v>80</v>
      </c>
      <c r="E201" s="1" t="s">
        <v>81</v>
      </c>
      <c r="F201" s="1" t="s">
        <v>82</v>
      </c>
      <c r="G201" s="3">
        <v>5250</v>
      </c>
      <c r="H201" s="5">
        <v>45421</v>
      </c>
      <c r="I201" s="3" t="s">
        <v>117</v>
      </c>
      <c r="J201" s="3" t="s">
        <v>118</v>
      </c>
      <c r="K201" s="1">
        <v>352401006</v>
      </c>
      <c r="L201" s="6" t="s">
        <v>69</v>
      </c>
    </row>
    <row r="202" spans="1:12" customFormat="1" ht="14.4" x14ac:dyDescent="0.3">
      <c r="A202" s="1" t="s">
        <v>12</v>
      </c>
      <c r="B202" s="1" t="s">
        <v>13</v>
      </c>
      <c r="C202" s="2" t="s">
        <v>14</v>
      </c>
      <c r="D202" s="1" t="s">
        <v>41</v>
      </c>
      <c r="E202" s="1" t="s">
        <v>61</v>
      </c>
      <c r="F202" s="1" t="s">
        <v>62</v>
      </c>
      <c r="G202" s="3">
        <v>4750</v>
      </c>
      <c r="H202" s="5">
        <v>45421</v>
      </c>
      <c r="I202" s="3" t="s">
        <v>63</v>
      </c>
      <c r="J202" s="3" t="s">
        <v>59</v>
      </c>
      <c r="K202" s="1">
        <v>352401013</v>
      </c>
      <c r="L202" s="6" t="s">
        <v>24</v>
      </c>
    </row>
    <row r="203" spans="1:12" customFormat="1" ht="14.4" x14ac:dyDescent="0.3">
      <c r="A203" s="1" t="s">
        <v>12</v>
      </c>
      <c r="B203" s="1" t="s">
        <v>13</v>
      </c>
      <c r="C203" s="2" t="s">
        <v>14</v>
      </c>
      <c r="D203" s="8" t="s">
        <v>104</v>
      </c>
      <c r="E203" s="9">
        <v>309023553967</v>
      </c>
      <c r="F203" s="1" t="s">
        <v>105</v>
      </c>
      <c r="G203" s="3">
        <v>5250</v>
      </c>
      <c r="H203" s="5">
        <v>45421</v>
      </c>
      <c r="I203" s="3" t="s">
        <v>91</v>
      </c>
      <c r="J203" s="3" t="s">
        <v>22</v>
      </c>
      <c r="K203" s="1">
        <v>352401031</v>
      </c>
      <c r="L203" s="6" t="s">
        <v>69</v>
      </c>
    </row>
    <row r="204" spans="1:12" customFormat="1" ht="14.4" x14ac:dyDescent="0.3">
      <c r="A204" s="1" t="s">
        <v>12</v>
      </c>
      <c r="B204" s="1" t="s">
        <v>13</v>
      </c>
      <c r="C204" s="2" t="s">
        <v>14</v>
      </c>
      <c r="D204" s="3" t="s">
        <v>25</v>
      </c>
      <c r="E204" s="4" t="s">
        <v>26</v>
      </c>
      <c r="F204" s="3" t="s">
        <v>27</v>
      </c>
      <c r="G204" s="3">
        <v>5250</v>
      </c>
      <c r="H204" s="5">
        <v>45421</v>
      </c>
      <c r="I204" s="3" t="s">
        <v>77</v>
      </c>
      <c r="J204" s="3" t="s">
        <v>29</v>
      </c>
      <c r="K204" s="1">
        <v>352400978</v>
      </c>
      <c r="L204" s="6" t="s">
        <v>69</v>
      </c>
    </row>
    <row r="205" spans="1:12" customFormat="1" ht="14.4" x14ac:dyDescent="0.3">
      <c r="A205" s="1" t="s">
        <v>12</v>
      </c>
      <c r="B205" s="1" t="s">
        <v>13</v>
      </c>
      <c r="C205" s="2" t="s">
        <v>14</v>
      </c>
      <c r="D205" s="1" t="s">
        <v>70</v>
      </c>
      <c r="E205" s="1" t="s">
        <v>71</v>
      </c>
      <c r="F205" s="1" t="s">
        <v>72</v>
      </c>
      <c r="G205" s="3">
        <v>5250</v>
      </c>
      <c r="H205" s="5">
        <v>45421</v>
      </c>
      <c r="I205" s="3" t="s">
        <v>83</v>
      </c>
      <c r="J205" s="3" t="s">
        <v>84</v>
      </c>
      <c r="K205" s="1">
        <v>352401008</v>
      </c>
      <c r="L205" s="6" t="s">
        <v>69</v>
      </c>
    </row>
    <row r="206" spans="1:12" customFormat="1" ht="14.4" x14ac:dyDescent="0.3">
      <c r="A206" s="1" t="s">
        <v>12</v>
      </c>
      <c r="B206" s="1" t="s">
        <v>13</v>
      </c>
      <c r="C206" s="2" t="s">
        <v>14</v>
      </c>
      <c r="D206" s="1" t="s">
        <v>55</v>
      </c>
      <c r="E206" s="1" t="s">
        <v>56</v>
      </c>
      <c r="F206" s="1" t="s">
        <v>57</v>
      </c>
      <c r="G206" s="3">
        <v>400</v>
      </c>
      <c r="H206" s="5">
        <v>45422</v>
      </c>
      <c r="I206" s="3" t="s">
        <v>137</v>
      </c>
      <c r="J206" s="3" t="s">
        <v>142</v>
      </c>
      <c r="K206" s="6">
        <v>352401015</v>
      </c>
      <c r="L206" s="6" t="s">
        <v>54</v>
      </c>
    </row>
    <row r="207" spans="1:12" customFormat="1" ht="14.4" x14ac:dyDescent="0.3">
      <c r="A207" s="1" t="s">
        <v>12</v>
      </c>
      <c r="B207" s="1" t="s">
        <v>13</v>
      </c>
      <c r="C207" s="2" t="s">
        <v>14</v>
      </c>
      <c r="D207" s="1" t="s">
        <v>55</v>
      </c>
      <c r="E207" s="1" t="s">
        <v>56</v>
      </c>
      <c r="F207" s="1" t="s">
        <v>57</v>
      </c>
      <c r="G207" s="3">
        <v>800</v>
      </c>
      <c r="H207" s="5">
        <v>45422</v>
      </c>
      <c r="I207" s="3" t="s">
        <v>137</v>
      </c>
      <c r="J207" s="3" t="s">
        <v>142</v>
      </c>
      <c r="K207" s="6">
        <v>352401014</v>
      </c>
      <c r="L207" s="6" t="s">
        <v>53</v>
      </c>
    </row>
    <row r="208" spans="1:12" customFormat="1" ht="14.4" x14ac:dyDescent="0.3">
      <c r="A208" s="1" t="s">
        <v>12</v>
      </c>
      <c r="B208" s="1" t="s">
        <v>13</v>
      </c>
      <c r="C208" s="2" t="s">
        <v>14</v>
      </c>
      <c r="D208" s="1" t="s">
        <v>15</v>
      </c>
      <c r="E208" s="1" t="s">
        <v>16</v>
      </c>
      <c r="F208" s="1" t="s">
        <v>17</v>
      </c>
      <c r="G208" s="3">
        <v>4000</v>
      </c>
      <c r="H208" s="5">
        <v>45422</v>
      </c>
      <c r="I208" s="3" t="s">
        <v>85</v>
      </c>
      <c r="J208" s="3" t="s">
        <v>19</v>
      </c>
      <c r="K208" s="1">
        <v>352401047</v>
      </c>
      <c r="L208" s="6" t="s">
        <v>20</v>
      </c>
    </row>
    <row r="209" spans="1:12" customFormat="1" ht="14.4" x14ac:dyDescent="0.3">
      <c r="A209" s="1" t="s">
        <v>12</v>
      </c>
      <c r="B209" s="1" t="s">
        <v>13</v>
      </c>
      <c r="C209" s="2" t="s">
        <v>14</v>
      </c>
      <c r="D209" s="1" t="s">
        <v>41</v>
      </c>
      <c r="E209" s="1" t="s">
        <v>42</v>
      </c>
      <c r="F209" s="1" t="s">
        <v>43</v>
      </c>
      <c r="G209" s="3">
        <v>4000</v>
      </c>
      <c r="H209" s="5">
        <v>45422</v>
      </c>
      <c r="I209" s="3" t="s">
        <v>87</v>
      </c>
      <c r="J209" s="3" t="s">
        <v>45</v>
      </c>
      <c r="K209" s="1">
        <v>352401065</v>
      </c>
      <c r="L209" s="6" t="s">
        <v>60</v>
      </c>
    </row>
    <row r="210" spans="1:12" customFormat="1" ht="14.4" x14ac:dyDescent="0.3">
      <c r="A210" s="1" t="s">
        <v>12</v>
      </c>
      <c r="B210" s="1" t="s">
        <v>13</v>
      </c>
      <c r="C210" s="2" t="s">
        <v>14</v>
      </c>
      <c r="D210" s="1" t="s">
        <v>64</v>
      </c>
      <c r="E210" s="1" t="s">
        <v>65</v>
      </c>
      <c r="F210" s="1" t="s">
        <v>66</v>
      </c>
      <c r="G210" s="3">
        <v>5250</v>
      </c>
      <c r="H210" s="5">
        <v>45422</v>
      </c>
      <c r="I210" s="3" t="s">
        <v>101</v>
      </c>
      <c r="J210" s="3" t="s">
        <v>68</v>
      </c>
      <c r="K210" s="1">
        <v>352401052</v>
      </c>
      <c r="L210" s="6" t="s">
        <v>69</v>
      </c>
    </row>
    <row r="211" spans="1:12" customFormat="1" ht="14.4" x14ac:dyDescent="0.3">
      <c r="A211" s="1" t="s">
        <v>12</v>
      </c>
      <c r="B211" s="1" t="s">
        <v>13</v>
      </c>
      <c r="C211" s="2" t="s">
        <v>14</v>
      </c>
      <c r="D211" s="1" t="s">
        <v>80</v>
      </c>
      <c r="E211" s="1" t="s">
        <v>81</v>
      </c>
      <c r="F211" s="1" t="s">
        <v>82</v>
      </c>
      <c r="G211" s="3">
        <v>5250</v>
      </c>
      <c r="H211" s="5">
        <v>45422</v>
      </c>
      <c r="I211" s="3" t="s">
        <v>117</v>
      </c>
      <c r="J211" s="3" t="s">
        <v>118</v>
      </c>
      <c r="K211" s="1">
        <v>352401066</v>
      </c>
      <c r="L211" s="6" t="s">
        <v>69</v>
      </c>
    </row>
    <row r="212" spans="1:12" customFormat="1" ht="14.4" x14ac:dyDescent="0.3">
      <c r="A212" s="1" t="s">
        <v>12</v>
      </c>
      <c r="B212" s="1" t="s">
        <v>13</v>
      </c>
      <c r="C212" s="2" t="s">
        <v>14</v>
      </c>
      <c r="D212" s="1" t="s">
        <v>41</v>
      </c>
      <c r="E212" s="1" t="s">
        <v>61</v>
      </c>
      <c r="F212" s="1" t="s">
        <v>62</v>
      </c>
      <c r="G212" s="3">
        <v>5000</v>
      </c>
      <c r="H212" s="5">
        <v>45422</v>
      </c>
      <c r="I212" s="3" t="s">
        <v>63</v>
      </c>
      <c r="J212" s="3" t="s">
        <v>59</v>
      </c>
      <c r="K212" s="1">
        <v>352401046</v>
      </c>
      <c r="L212" s="6" t="s">
        <v>35</v>
      </c>
    </row>
    <row r="213" spans="1:12" customFormat="1" ht="14.4" x14ac:dyDescent="0.3">
      <c r="A213" s="1" t="s">
        <v>12</v>
      </c>
      <c r="B213" s="1" t="s">
        <v>13</v>
      </c>
      <c r="C213" s="2" t="s">
        <v>14</v>
      </c>
      <c r="D213" s="8" t="s">
        <v>104</v>
      </c>
      <c r="E213" s="9">
        <v>309023553967</v>
      </c>
      <c r="F213" s="1" t="s">
        <v>105</v>
      </c>
      <c r="G213" s="3">
        <v>5250</v>
      </c>
      <c r="H213" s="5">
        <v>45422</v>
      </c>
      <c r="I213" s="3" t="s">
        <v>91</v>
      </c>
      <c r="J213" s="3" t="s">
        <v>22</v>
      </c>
      <c r="K213" s="1">
        <v>352401050</v>
      </c>
      <c r="L213" s="6" t="s">
        <v>69</v>
      </c>
    </row>
    <row r="214" spans="1:12" customFormat="1" ht="14.4" x14ac:dyDescent="0.3">
      <c r="A214" s="1" t="s">
        <v>12</v>
      </c>
      <c r="B214" s="1" t="s">
        <v>13</v>
      </c>
      <c r="C214" s="2" t="s">
        <v>14</v>
      </c>
      <c r="D214" s="3" t="s">
        <v>25</v>
      </c>
      <c r="E214" s="4" t="s">
        <v>26</v>
      </c>
      <c r="F214" s="3" t="s">
        <v>27</v>
      </c>
      <c r="G214" s="3">
        <v>5250</v>
      </c>
      <c r="H214" s="5">
        <v>45422</v>
      </c>
      <c r="I214" s="3" t="s">
        <v>77</v>
      </c>
      <c r="J214" s="3" t="s">
        <v>29</v>
      </c>
      <c r="K214" s="1">
        <v>352401049</v>
      </c>
      <c r="L214" s="6" t="s">
        <v>69</v>
      </c>
    </row>
    <row r="215" spans="1:12" customFormat="1" ht="14.4" x14ac:dyDescent="0.3">
      <c r="A215" s="1" t="s">
        <v>12</v>
      </c>
      <c r="B215" s="1" t="s">
        <v>13</v>
      </c>
      <c r="C215" s="2" t="s">
        <v>14</v>
      </c>
      <c r="D215" s="1" t="s">
        <v>70</v>
      </c>
      <c r="E215" s="1" t="s">
        <v>71</v>
      </c>
      <c r="F215" s="1" t="s">
        <v>72</v>
      </c>
      <c r="G215" s="3">
        <v>5250</v>
      </c>
      <c r="H215" s="5">
        <v>45422</v>
      </c>
      <c r="I215" s="3" t="s">
        <v>83</v>
      </c>
      <c r="J215" s="3" t="s">
        <v>84</v>
      </c>
      <c r="K215" s="1">
        <v>352401051</v>
      </c>
      <c r="L215" s="6" t="s">
        <v>69</v>
      </c>
    </row>
    <row r="216" spans="1:12" customFormat="1" ht="14.4" x14ac:dyDescent="0.3">
      <c r="A216" s="1" t="s">
        <v>12</v>
      </c>
      <c r="B216" s="1" t="s">
        <v>13</v>
      </c>
      <c r="C216" s="2" t="s">
        <v>14</v>
      </c>
      <c r="D216" s="1" t="s">
        <v>73</v>
      </c>
      <c r="E216" s="1" t="s">
        <v>89</v>
      </c>
      <c r="F216" s="1" t="s">
        <v>74</v>
      </c>
      <c r="G216" s="3">
        <v>6200</v>
      </c>
      <c r="H216" s="5">
        <v>45422</v>
      </c>
      <c r="I216" s="3" t="s">
        <v>90</v>
      </c>
      <c r="J216" s="3" t="s">
        <v>76</v>
      </c>
      <c r="K216" s="1">
        <v>352400986</v>
      </c>
      <c r="L216" s="6" t="s">
        <v>30</v>
      </c>
    </row>
    <row r="217" spans="1:12" customFormat="1" ht="14.4" x14ac:dyDescent="0.3">
      <c r="A217" s="1" t="s">
        <v>12</v>
      </c>
      <c r="B217" s="1" t="s">
        <v>13</v>
      </c>
      <c r="C217" s="2" t="s">
        <v>14</v>
      </c>
      <c r="D217" s="1" t="s">
        <v>73</v>
      </c>
      <c r="E217" s="1" t="s">
        <v>89</v>
      </c>
      <c r="F217" s="1" t="s">
        <v>74</v>
      </c>
      <c r="G217" s="3">
        <v>6200</v>
      </c>
      <c r="H217" s="5">
        <v>45424</v>
      </c>
      <c r="I217" s="3" t="s">
        <v>90</v>
      </c>
      <c r="J217" s="3" t="s">
        <v>76</v>
      </c>
      <c r="K217" s="1">
        <v>352401103</v>
      </c>
      <c r="L217" s="6" t="s">
        <v>30</v>
      </c>
    </row>
    <row r="218" spans="1:12" customFormat="1" ht="14.4" x14ac:dyDescent="0.3">
      <c r="A218" s="1" t="s">
        <v>12</v>
      </c>
      <c r="B218" s="1" t="s">
        <v>13</v>
      </c>
      <c r="C218" s="2" t="s">
        <v>14</v>
      </c>
      <c r="D218" s="1" t="s">
        <v>15</v>
      </c>
      <c r="E218" s="1" t="s">
        <v>16</v>
      </c>
      <c r="F218" s="1" t="s">
        <v>17</v>
      </c>
      <c r="G218" s="3">
        <v>2000</v>
      </c>
      <c r="H218" s="5">
        <v>45425</v>
      </c>
      <c r="I218" s="3" t="s">
        <v>85</v>
      </c>
      <c r="J218" s="3" t="s">
        <v>19</v>
      </c>
      <c r="K218" s="1">
        <v>352401135</v>
      </c>
      <c r="L218" s="6" t="s">
        <v>143</v>
      </c>
    </row>
    <row r="219" spans="1:12" customFormat="1" ht="14.4" x14ac:dyDescent="0.3">
      <c r="A219" s="1" t="s">
        <v>12</v>
      </c>
      <c r="B219" s="1" t="s">
        <v>13</v>
      </c>
      <c r="C219" s="2" t="s">
        <v>14</v>
      </c>
      <c r="D219" s="1" t="s">
        <v>15</v>
      </c>
      <c r="E219" s="1" t="s">
        <v>16</v>
      </c>
      <c r="F219" s="1" t="s">
        <v>17</v>
      </c>
      <c r="G219" s="3">
        <v>4000</v>
      </c>
      <c r="H219" s="5">
        <v>45425</v>
      </c>
      <c r="I219" s="3" t="s">
        <v>85</v>
      </c>
      <c r="J219" s="3" t="s">
        <v>19</v>
      </c>
      <c r="K219" s="1">
        <v>352401109</v>
      </c>
      <c r="L219" s="6" t="s">
        <v>20</v>
      </c>
    </row>
    <row r="220" spans="1:12" customFormat="1" ht="14.4" x14ac:dyDescent="0.3">
      <c r="A220" s="1" t="s">
        <v>12</v>
      </c>
      <c r="B220" s="1" t="s">
        <v>13</v>
      </c>
      <c r="C220" s="2" t="s">
        <v>14</v>
      </c>
      <c r="D220" s="1" t="s">
        <v>41</v>
      </c>
      <c r="E220" s="1" t="s">
        <v>42</v>
      </c>
      <c r="F220" s="1" t="s">
        <v>43</v>
      </c>
      <c r="G220" s="3">
        <v>4000</v>
      </c>
      <c r="H220" s="5">
        <v>45425</v>
      </c>
      <c r="I220" s="3" t="s">
        <v>87</v>
      </c>
      <c r="J220" s="3" t="s">
        <v>45</v>
      </c>
      <c r="K220" s="1">
        <v>352401136</v>
      </c>
      <c r="L220" s="6" t="s">
        <v>60</v>
      </c>
    </row>
    <row r="221" spans="1:12" customFormat="1" ht="14.4" x14ac:dyDescent="0.3">
      <c r="A221" s="1" t="s">
        <v>12</v>
      </c>
      <c r="B221" s="1" t="s">
        <v>13</v>
      </c>
      <c r="C221" s="2" t="s">
        <v>14</v>
      </c>
      <c r="D221" s="1" t="s">
        <v>64</v>
      </c>
      <c r="E221" s="1" t="s">
        <v>65</v>
      </c>
      <c r="F221" s="1" t="s">
        <v>66</v>
      </c>
      <c r="G221" s="3">
        <v>5250</v>
      </c>
      <c r="H221" s="5">
        <v>45425</v>
      </c>
      <c r="I221" s="3" t="s">
        <v>101</v>
      </c>
      <c r="J221" s="3" t="s">
        <v>68</v>
      </c>
      <c r="K221" s="1">
        <v>352401121</v>
      </c>
      <c r="L221" s="6" t="s">
        <v>69</v>
      </c>
    </row>
    <row r="222" spans="1:12" customFormat="1" ht="14.4" x14ac:dyDescent="0.3">
      <c r="A222" s="1" t="s">
        <v>12</v>
      </c>
      <c r="B222" s="1" t="s">
        <v>13</v>
      </c>
      <c r="C222" s="2" t="s">
        <v>14</v>
      </c>
      <c r="D222" s="1" t="s">
        <v>80</v>
      </c>
      <c r="E222" s="1" t="s">
        <v>81</v>
      </c>
      <c r="F222" s="1" t="s">
        <v>82</v>
      </c>
      <c r="G222" s="3">
        <v>5250</v>
      </c>
      <c r="H222" s="5">
        <v>45425</v>
      </c>
      <c r="I222" s="3" t="s">
        <v>117</v>
      </c>
      <c r="J222" s="3" t="s">
        <v>118</v>
      </c>
      <c r="K222" s="1">
        <v>352401089</v>
      </c>
      <c r="L222" s="6" t="s">
        <v>69</v>
      </c>
    </row>
    <row r="223" spans="1:12" customFormat="1" ht="14.4" x14ac:dyDescent="0.3">
      <c r="A223" s="1" t="s">
        <v>12</v>
      </c>
      <c r="B223" s="1" t="s">
        <v>13</v>
      </c>
      <c r="C223" s="2" t="s">
        <v>14</v>
      </c>
      <c r="D223" s="1" t="s">
        <v>41</v>
      </c>
      <c r="E223" s="1" t="s">
        <v>61</v>
      </c>
      <c r="F223" s="1" t="s">
        <v>62</v>
      </c>
      <c r="G223" s="3">
        <v>4750</v>
      </c>
      <c r="H223" s="5">
        <v>45425</v>
      </c>
      <c r="I223" s="3" t="s">
        <v>63</v>
      </c>
      <c r="J223" s="3" t="s">
        <v>59</v>
      </c>
      <c r="K223" s="1">
        <v>352401119</v>
      </c>
      <c r="L223" s="6" t="s">
        <v>24</v>
      </c>
    </row>
    <row r="224" spans="1:12" customFormat="1" ht="14.4" x14ac:dyDescent="0.3">
      <c r="A224" s="1" t="s">
        <v>12</v>
      </c>
      <c r="B224" s="1" t="s">
        <v>13</v>
      </c>
      <c r="C224" s="2" t="s">
        <v>14</v>
      </c>
      <c r="D224" s="8" t="s">
        <v>104</v>
      </c>
      <c r="E224" s="9">
        <v>309023553967</v>
      </c>
      <c r="F224" s="1" t="s">
        <v>105</v>
      </c>
      <c r="G224" s="3">
        <v>5250</v>
      </c>
      <c r="H224" s="5">
        <v>45425</v>
      </c>
      <c r="I224" s="3" t="s">
        <v>91</v>
      </c>
      <c r="J224" s="3" t="s">
        <v>22</v>
      </c>
      <c r="K224" s="1">
        <v>352401120</v>
      </c>
      <c r="L224" s="6" t="s">
        <v>69</v>
      </c>
    </row>
    <row r="225" spans="1:12" customFormat="1" ht="14.4" x14ac:dyDescent="0.3">
      <c r="A225" s="1" t="s">
        <v>12</v>
      </c>
      <c r="B225" s="1" t="s">
        <v>13</v>
      </c>
      <c r="C225" s="2" t="s">
        <v>14</v>
      </c>
      <c r="D225" s="3" t="s">
        <v>25</v>
      </c>
      <c r="E225" s="4" t="s">
        <v>26</v>
      </c>
      <c r="F225" s="3" t="s">
        <v>27</v>
      </c>
      <c r="G225" s="3">
        <v>5250</v>
      </c>
      <c r="H225" s="5">
        <v>45425</v>
      </c>
      <c r="I225" s="3" t="s">
        <v>77</v>
      </c>
      <c r="J225" s="3" t="s">
        <v>29</v>
      </c>
      <c r="K225" s="1">
        <v>352401122</v>
      </c>
      <c r="L225" s="6" t="s">
        <v>69</v>
      </c>
    </row>
    <row r="226" spans="1:12" x14ac:dyDescent="0.25">
      <c r="A226" s="30" t="s">
        <v>12</v>
      </c>
      <c r="B226" s="30" t="s">
        <v>13</v>
      </c>
      <c r="C226" s="30" t="s">
        <v>14</v>
      </c>
      <c r="D226" s="30" t="s">
        <v>144</v>
      </c>
      <c r="E226" s="39">
        <v>42542201947</v>
      </c>
      <c r="F226" s="30" t="s">
        <v>145</v>
      </c>
      <c r="G226" s="32">
        <v>2800</v>
      </c>
      <c r="H226" s="33">
        <v>45425</v>
      </c>
      <c r="I226" s="32" t="s">
        <v>146</v>
      </c>
      <c r="J226" s="32" t="s">
        <v>147</v>
      </c>
      <c r="K226" s="30">
        <v>352401074</v>
      </c>
      <c r="L226" s="35" t="s">
        <v>148</v>
      </c>
    </row>
    <row r="227" spans="1:12" customFormat="1" ht="14.4" x14ac:dyDescent="0.3">
      <c r="A227" s="1" t="s">
        <v>12</v>
      </c>
      <c r="B227" s="1" t="s">
        <v>13</v>
      </c>
      <c r="C227" s="2" t="s">
        <v>14</v>
      </c>
      <c r="D227" s="1" t="s">
        <v>36</v>
      </c>
      <c r="E227" s="1" t="s">
        <v>37</v>
      </c>
      <c r="F227" s="1" t="s">
        <v>38</v>
      </c>
      <c r="G227" s="3">
        <v>5250</v>
      </c>
      <c r="H227" s="5">
        <v>45425</v>
      </c>
      <c r="I227" s="3" t="s">
        <v>92</v>
      </c>
      <c r="J227" s="3" t="s">
        <v>40</v>
      </c>
      <c r="K227" s="1">
        <v>352401123</v>
      </c>
      <c r="L227" s="6" t="s">
        <v>69</v>
      </c>
    </row>
    <row r="228" spans="1:12" customFormat="1" ht="14.4" x14ac:dyDescent="0.3">
      <c r="A228" s="1" t="s">
        <v>12</v>
      </c>
      <c r="B228" s="1" t="s">
        <v>13</v>
      </c>
      <c r="C228" s="2" t="s">
        <v>14</v>
      </c>
      <c r="D228" s="1" t="s">
        <v>70</v>
      </c>
      <c r="E228" s="1" t="s">
        <v>71</v>
      </c>
      <c r="F228" s="1" t="s">
        <v>72</v>
      </c>
      <c r="G228" s="3">
        <v>5000</v>
      </c>
      <c r="H228" s="5">
        <v>45425</v>
      </c>
      <c r="I228" s="3" t="s">
        <v>83</v>
      </c>
      <c r="J228" s="3" t="s">
        <v>84</v>
      </c>
      <c r="K228" s="1">
        <v>352401124</v>
      </c>
      <c r="L228" s="6" t="s">
        <v>35</v>
      </c>
    </row>
    <row r="229" spans="1:12" customFormat="1" ht="14.4" x14ac:dyDescent="0.3">
      <c r="A229" s="1" t="s">
        <v>12</v>
      </c>
      <c r="B229" s="1" t="s">
        <v>13</v>
      </c>
      <c r="C229" s="2" t="s">
        <v>14</v>
      </c>
      <c r="D229" s="1" t="s">
        <v>73</v>
      </c>
      <c r="E229" s="1" t="s">
        <v>89</v>
      </c>
      <c r="F229" s="1" t="s">
        <v>74</v>
      </c>
      <c r="G229" s="3">
        <v>5250</v>
      </c>
      <c r="H229" s="5">
        <v>45425</v>
      </c>
      <c r="I229" s="3" t="s">
        <v>90</v>
      </c>
      <c r="J229" s="3" t="s">
        <v>76</v>
      </c>
      <c r="K229" s="1">
        <v>352401103</v>
      </c>
      <c r="L229" s="6" t="s">
        <v>69</v>
      </c>
    </row>
    <row r="230" spans="1:12" customFormat="1" ht="14.4" x14ac:dyDescent="0.3">
      <c r="A230" s="1" t="s">
        <v>12</v>
      </c>
      <c r="B230" s="1" t="s">
        <v>13</v>
      </c>
      <c r="C230" s="2" t="s">
        <v>14</v>
      </c>
      <c r="D230" s="1" t="s">
        <v>15</v>
      </c>
      <c r="E230" s="1" t="s">
        <v>16</v>
      </c>
      <c r="F230" s="1" t="s">
        <v>17</v>
      </c>
      <c r="G230" s="3">
        <v>4000</v>
      </c>
      <c r="H230" s="5">
        <v>45426</v>
      </c>
      <c r="I230" s="3" t="s">
        <v>85</v>
      </c>
      <c r="J230" s="3" t="s">
        <v>19</v>
      </c>
      <c r="K230" s="1"/>
      <c r="L230" s="6" t="s">
        <v>20</v>
      </c>
    </row>
    <row r="231" spans="1:12" customFormat="1" ht="14.4" x14ac:dyDescent="0.3">
      <c r="A231" s="1" t="s">
        <v>12</v>
      </c>
      <c r="B231" s="1" t="s">
        <v>13</v>
      </c>
      <c r="C231" s="2" t="s">
        <v>14</v>
      </c>
      <c r="D231" s="1" t="s">
        <v>41</v>
      </c>
      <c r="E231" s="1" t="s">
        <v>42</v>
      </c>
      <c r="F231" s="1" t="s">
        <v>43</v>
      </c>
      <c r="G231" s="3">
        <v>4000</v>
      </c>
      <c r="H231" s="5">
        <v>45426</v>
      </c>
      <c r="I231" s="3" t="s">
        <v>87</v>
      </c>
      <c r="J231" s="3" t="s">
        <v>45</v>
      </c>
      <c r="K231" s="1"/>
      <c r="L231" s="6" t="s">
        <v>20</v>
      </c>
    </row>
    <row r="232" spans="1:12" customFormat="1" ht="14.4" x14ac:dyDescent="0.3">
      <c r="A232" s="1" t="s">
        <v>12</v>
      </c>
      <c r="B232" s="1" t="s">
        <v>13</v>
      </c>
      <c r="C232" s="2" t="s">
        <v>14</v>
      </c>
      <c r="D232" s="1" t="s">
        <v>64</v>
      </c>
      <c r="E232" s="1" t="s">
        <v>65</v>
      </c>
      <c r="F232" s="1" t="s">
        <v>66</v>
      </c>
      <c r="G232" s="3">
        <v>5250</v>
      </c>
      <c r="H232" s="5">
        <v>45426</v>
      </c>
      <c r="I232" s="3" t="s">
        <v>101</v>
      </c>
      <c r="J232" s="3" t="s">
        <v>68</v>
      </c>
      <c r="K232" s="1"/>
      <c r="L232" s="6" t="s">
        <v>69</v>
      </c>
    </row>
    <row r="233" spans="1:12" customFormat="1" ht="14.4" x14ac:dyDescent="0.3">
      <c r="A233" s="1" t="s">
        <v>12</v>
      </c>
      <c r="B233" s="1" t="s">
        <v>13</v>
      </c>
      <c r="C233" s="2" t="s">
        <v>14</v>
      </c>
      <c r="D233" s="1" t="s">
        <v>80</v>
      </c>
      <c r="E233" s="1" t="s">
        <v>81</v>
      </c>
      <c r="F233" s="1" t="s">
        <v>82</v>
      </c>
      <c r="G233" s="3">
        <v>5250</v>
      </c>
      <c r="H233" s="5">
        <v>45426</v>
      </c>
      <c r="I233" s="3" t="s">
        <v>117</v>
      </c>
      <c r="J233" s="3" t="s">
        <v>118</v>
      </c>
      <c r="K233" s="1"/>
      <c r="L233" s="6" t="s">
        <v>69</v>
      </c>
    </row>
    <row r="234" spans="1:12" customFormat="1" ht="14.4" x14ac:dyDescent="0.3">
      <c r="A234" s="1" t="s">
        <v>12</v>
      </c>
      <c r="B234" s="1" t="s">
        <v>13</v>
      </c>
      <c r="C234" s="2" t="s">
        <v>14</v>
      </c>
      <c r="D234" s="1" t="s">
        <v>41</v>
      </c>
      <c r="E234" s="1" t="s">
        <v>61</v>
      </c>
      <c r="F234" s="1" t="s">
        <v>62</v>
      </c>
      <c r="G234" s="3">
        <v>4750</v>
      </c>
      <c r="H234" s="5">
        <v>45426</v>
      </c>
      <c r="I234" s="3" t="s">
        <v>63</v>
      </c>
      <c r="J234" s="3" t="s">
        <v>59</v>
      </c>
      <c r="K234" s="1"/>
      <c r="L234" s="6" t="s">
        <v>24</v>
      </c>
    </row>
    <row r="235" spans="1:12" customFormat="1" ht="14.4" x14ac:dyDescent="0.3">
      <c r="A235" s="1" t="s">
        <v>12</v>
      </c>
      <c r="B235" s="1" t="s">
        <v>13</v>
      </c>
      <c r="C235" s="2" t="s">
        <v>14</v>
      </c>
      <c r="D235" s="8" t="s">
        <v>104</v>
      </c>
      <c r="E235" s="9">
        <v>309023553967</v>
      </c>
      <c r="F235" s="1" t="s">
        <v>105</v>
      </c>
      <c r="G235" s="3">
        <v>5250</v>
      </c>
      <c r="H235" s="5">
        <v>45426</v>
      </c>
      <c r="I235" s="3" t="s">
        <v>91</v>
      </c>
      <c r="J235" s="3" t="s">
        <v>22</v>
      </c>
      <c r="K235" s="1"/>
      <c r="L235" s="6" t="s">
        <v>69</v>
      </c>
    </row>
    <row r="236" spans="1:12" customFormat="1" ht="14.4" x14ac:dyDescent="0.3">
      <c r="A236" s="1" t="s">
        <v>12</v>
      </c>
      <c r="B236" s="1" t="s">
        <v>13</v>
      </c>
      <c r="C236" s="2" t="s">
        <v>14</v>
      </c>
      <c r="D236" s="3" t="s">
        <v>149</v>
      </c>
      <c r="E236" s="18">
        <v>50100624324501</v>
      </c>
      <c r="F236" s="3" t="s">
        <v>150</v>
      </c>
      <c r="G236" s="3">
        <v>7500</v>
      </c>
      <c r="H236" s="5">
        <v>45426</v>
      </c>
      <c r="I236" s="3" t="s">
        <v>77</v>
      </c>
      <c r="J236" s="3" t="s">
        <v>29</v>
      </c>
      <c r="K236" s="1"/>
      <c r="L236" s="6" t="s">
        <v>141</v>
      </c>
    </row>
    <row r="237" spans="1:12" customFormat="1" ht="14.4" x14ac:dyDescent="0.3">
      <c r="A237" s="1" t="s">
        <v>12</v>
      </c>
      <c r="B237" s="1" t="s">
        <v>13</v>
      </c>
      <c r="C237" s="2" t="s">
        <v>14</v>
      </c>
      <c r="D237" s="1" t="s">
        <v>36</v>
      </c>
      <c r="E237" s="1" t="s">
        <v>37</v>
      </c>
      <c r="F237" s="1" t="s">
        <v>38</v>
      </c>
      <c r="G237" s="3">
        <v>5250</v>
      </c>
      <c r="H237" s="5">
        <v>45426</v>
      </c>
      <c r="I237" s="3" t="s">
        <v>92</v>
      </c>
      <c r="J237" s="3" t="s">
        <v>40</v>
      </c>
      <c r="K237" s="1"/>
      <c r="L237" s="6" t="s">
        <v>69</v>
      </c>
    </row>
    <row r="238" spans="1:12" customFormat="1" ht="14.4" x14ac:dyDescent="0.3">
      <c r="A238" s="1" t="s">
        <v>12</v>
      </c>
      <c r="B238" s="1" t="s">
        <v>13</v>
      </c>
      <c r="C238" s="2" t="s">
        <v>14</v>
      </c>
      <c r="D238" s="1" t="s">
        <v>70</v>
      </c>
      <c r="E238" s="1" t="s">
        <v>71</v>
      </c>
      <c r="F238" s="1" t="s">
        <v>72</v>
      </c>
      <c r="G238" s="3">
        <v>5250</v>
      </c>
      <c r="H238" s="5">
        <v>45426</v>
      </c>
      <c r="I238" s="3" t="s">
        <v>83</v>
      </c>
      <c r="J238" s="3" t="s">
        <v>84</v>
      </c>
      <c r="K238" s="1"/>
      <c r="L238" s="6" t="s">
        <v>69</v>
      </c>
    </row>
    <row r="239" spans="1:12" customFormat="1" ht="14.4" x14ac:dyDescent="0.3">
      <c r="A239" s="1" t="s">
        <v>12</v>
      </c>
      <c r="B239" s="1" t="s">
        <v>13</v>
      </c>
      <c r="C239" s="2" t="s">
        <v>14</v>
      </c>
      <c r="D239" s="1" t="s">
        <v>73</v>
      </c>
      <c r="E239" s="1" t="s">
        <v>89</v>
      </c>
      <c r="F239" s="1" t="s">
        <v>74</v>
      </c>
      <c r="G239" s="3">
        <v>4750</v>
      </c>
      <c r="H239" s="5">
        <v>45426</v>
      </c>
      <c r="I239" s="3" t="s">
        <v>90</v>
      </c>
      <c r="J239" s="3" t="s">
        <v>76</v>
      </c>
      <c r="K239" s="1"/>
      <c r="L239" s="6" t="s">
        <v>24</v>
      </c>
    </row>
    <row r="240" spans="1:12" customFormat="1" ht="14.4" x14ac:dyDescent="0.3">
      <c r="A240" s="1" t="s">
        <v>12</v>
      </c>
      <c r="B240" s="1" t="s">
        <v>13</v>
      </c>
      <c r="C240" s="2" t="s">
        <v>14</v>
      </c>
      <c r="D240" s="1" t="s">
        <v>41</v>
      </c>
      <c r="E240" s="1" t="s">
        <v>42</v>
      </c>
      <c r="F240" s="1" t="s">
        <v>43</v>
      </c>
      <c r="G240" s="3">
        <v>4000</v>
      </c>
      <c r="H240" s="5">
        <v>45427</v>
      </c>
      <c r="I240" s="3" t="s">
        <v>87</v>
      </c>
      <c r="J240" s="3" t="s">
        <v>45</v>
      </c>
      <c r="K240" s="1">
        <v>352401196</v>
      </c>
      <c r="L240" s="6" t="s">
        <v>20</v>
      </c>
    </row>
    <row r="241" spans="1:12" customFormat="1" ht="14.4" x14ac:dyDescent="0.3">
      <c r="A241" s="1" t="s">
        <v>12</v>
      </c>
      <c r="B241" s="1" t="s">
        <v>13</v>
      </c>
      <c r="C241" s="2" t="s">
        <v>14</v>
      </c>
      <c r="D241" s="1" t="s">
        <v>64</v>
      </c>
      <c r="E241" s="1" t="s">
        <v>65</v>
      </c>
      <c r="F241" s="1" t="s">
        <v>66</v>
      </c>
      <c r="G241" s="3">
        <v>5250</v>
      </c>
      <c r="H241" s="5">
        <v>45427</v>
      </c>
      <c r="I241" s="3" t="s">
        <v>101</v>
      </c>
      <c r="J241" s="3" t="s">
        <v>68</v>
      </c>
      <c r="K241" s="1">
        <v>352401190</v>
      </c>
      <c r="L241" s="6" t="s">
        <v>69</v>
      </c>
    </row>
    <row r="242" spans="1:12" customFormat="1" ht="14.4" x14ac:dyDescent="0.3">
      <c r="A242" s="1" t="s">
        <v>12</v>
      </c>
      <c r="B242" s="1" t="s">
        <v>13</v>
      </c>
      <c r="C242" s="2" t="s">
        <v>14</v>
      </c>
      <c r="D242" s="1" t="s">
        <v>80</v>
      </c>
      <c r="E242" s="1" t="s">
        <v>81</v>
      </c>
      <c r="F242" s="1" t="s">
        <v>82</v>
      </c>
      <c r="G242" s="3">
        <v>5250</v>
      </c>
      <c r="H242" s="5">
        <v>45427</v>
      </c>
      <c r="I242" s="3" t="s">
        <v>117</v>
      </c>
      <c r="J242" s="3" t="s">
        <v>118</v>
      </c>
      <c r="K242" s="1">
        <v>352401187</v>
      </c>
      <c r="L242" s="6" t="s">
        <v>69</v>
      </c>
    </row>
    <row r="243" spans="1:12" customFormat="1" ht="14.4" x14ac:dyDescent="0.3">
      <c r="A243" s="1" t="s">
        <v>12</v>
      </c>
      <c r="B243" s="1" t="s">
        <v>13</v>
      </c>
      <c r="C243" s="2" t="s">
        <v>14</v>
      </c>
      <c r="D243" s="1" t="s">
        <v>41</v>
      </c>
      <c r="E243" s="1" t="s">
        <v>61</v>
      </c>
      <c r="F243" s="1" t="s">
        <v>62</v>
      </c>
      <c r="G243" s="3">
        <v>5000</v>
      </c>
      <c r="H243" s="5">
        <v>45427</v>
      </c>
      <c r="I243" s="3" t="s">
        <v>63</v>
      </c>
      <c r="J243" s="3" t="s">
        <v>59</v>
      </c>
      <c r="K243" s="1">
        <v>352401205</v>
      </c>
      <c r="L243" s="6" t="s">
        <v>35</v>
      </c>
    </row>
    <row r="244" spans="1:12" customFormat="1" ht="14.4" x14ac:dyDescent="0.3">
      <c r="A244" s="1" t="s">
        <v>12</v>
      </c>
      <c r="B244" s="1" t="s">
        <v>13</v>
      </c>
      <c r="C244" s="2" t="s">
        <v>14</v>
      </c>
      <c r="D244" s="8" t="s">
        <v>104</v>
      </c>
      <c r="E244" s="9">
        <v>309023553967</v>
      </c>
      <c r="F244" s="1" t="s">
        <v>105</v>
      </c>
      <c r="G244" s="3">
        <v>5000</v>
      </c>
      <c r="H244" s="5">
        <v>45427</v>
      </c>
      <c r="I244" s="3" t="s">
        <v>91</v>
      </c>
      <c r="J244" s="3" t="s">
        <v>22</v>
      </c>
      <c r="K244" s="1">
        <v>352401191</v>
      </c>
      <c r="L244" s="6" t="s">
        <v>35</v>
      </c>
    </row>
    <row r="245" spans="1:12" customFormat="1" ht="14.4" x14ac:dyDescent="0.3">
      <c r="A245" s="1" t="s">
        <v>12</v>
      </c>
      <c r="B245" s="1" t="s">
        <v>13</v>
      </c>
      <c r="C245" s="2" t="s">
        <v>14</v>
      </c>
      <c r="D245" s="3" t="s">
        <v>149</v>
      </c>
      <c r="E245" s="18">
        <v>50100624324501</v>
      </c>
      <c r="F245" s="3" t="s">
        <v>150</v>
      </c>
      <c r="G245" s="3">
        <v>5000</v>
      </c>
      <c r="H245" s="5">
        <v>45427</v>
      </c>
      <c r="I245" s="3" t="s">
        <v>77</v>
      </c>
      <c r="J245" s="3" t="s">
        <v>29</v>
      </c>
      <c r="K245" s="1">
        <v>352401158</v>
      </c>
      <c r="L245" s="6" t="s">
        <v>131</v>
      </c>
    </row>
    <row r="246" spans="1:12" customFormat="1" ht="14.4" x14ac:dyDescent="0.3">
      <c r="A246" s="1" t="s">
        <v>12</v>
      </c>
      <c r="B246" s="1" t="s">
        <v>13</v>
      </c>
      <c r="C246" s="2" t="s">
        <v>14</v>
      </c>
      <c r="D246" s="1" t="s">
        <v>36</v>
      </c>
      <c r="E246" s="1" t="s">
        <v>37</v>
      </c>
      <c r="F246" s="1" t="s">
        <v>38</v>
      </c>
      <c r="G246" s="3">
        <v>5250</v>
      </c>
      <c r="H246" s="5">
        <v>45427</v>
      </c>
      <c r="I246" s="3" t="s">
        <v>92</v>
      </c>
      <c r="J246" s="3" t="s">
        <v>40</v>
      </c>
      <c r="K246" s="1">
        <v>352401188</v>
      </c>
      <c r="L246" s="6" t="s">
        <v>69</v>
      </c>
    </row>
    <row r="247" spans="1:12" customFormat="1" ht="14.4" x14ac:dyDescent="0.3">
      <c r="A247" s="1" t="s">
        <v>12</v>
      </c>
      <c r="B247" s="1" t="s">
        <v>13</v>
      </c>
      <c r="C247" s="2" t="s">
        <v>14</v>
      </c>
      <c r="D247" s="1" t="s">
        <v>70</v>
      </c>
      <c r="E247" s="1" t="s">
        <v>71</v>
      </c>
      <c r="F247" s="1" t="s">
        <v>72</v>
      </c>
      <c r="G247" s="3">
        <v>5250</v>
      </c>
      <c r="H247" s="5">
        <v>45427</v>
      </c>
      <c r="I247" s="3" t="s">
        <v>83</v>
      </c>
      <c r="J247" s="3" t="s">
        <v>84</v>
      </c>
      <c r="K247" s="1">
        <v>352401189</v>
      </c>
      <c r="L247" s="6" t="s">
        <v>69</v>
      </c>
    </row>
    <row r="248" spans="1:12" customFormat="1" ht="14.4" x14ac:dyDescent="0.3">
      <c r="A248" s="1" t="s">
        <v>12</v>
      </c>
      <c r="B248" s="1" t="s">
        <v>13</v>
      </c>
      <c r="C248" s="2" t="s">
        <v>14</v>
      </c>
      <c r="D248" s="1" t="s">
        <v>15</v>
      </c>
      <c r="E248" s="1" t="s">
        <v>16</v>
      </c>
      <c r="F248" s="1" t="s">
        <v>17</v>
      </c>
      <c r="G248" s="3">
        <v>4000</v>
      </c>
      <c r="H248" s="5">
        <v>45428</v>
      </c>
      <c r="I248" s="3" t="s">
        <v>85</v>
      </c>
      <c r="J248" s="3" t="s">
        <v>19</v>
      </c>
      <c r="K248" s="1">
        <v>352401186</v>
      </c>
      <c r="L248" s="6" t="s">
        <v>20</v>
      </c>
    </row>
    <row r="249" spans="1:12" customFormat="1" ht="14.4" x14ac:dyDescent="0.3">
      <c r="A249" s="1" t="s">
        <v>12</v>
      </c>
      <c r="B249" s="1" t="s">
        <v>13</v>
      </c>
      <c r="C249" s="2" t="s">
        <v>14</v>
      </c>
      <c r="D249" s="1" t="s">
        <v>41</v>
      </c>
      <c r="E249" s="1" t="s">
        <v>42</v>
      </c>
      <c r="F249" s="1" t="s">
        <v>43</v>
      </c>
      <c r="G249" s="3">
        <v>4000</v>
      </c>
      <c r="H249" s="5">
        <v>45428</v>
      </c>
      <c r="I249" s="3" t="s">
        <v>87</v>
      </c>
      <c r="J249" s="3" t="s">
        <v>45</v>
      </c>
      <c r="K249" s="1">
        <v>352401225</v>
      </c>
      <c r="L249" s="6" t="s">
        <v>20</v>
      </c>
    </row>
    <row r="250" spans="1:12" customFormat="1" ht="14.4" x14ac:dyDescent="0.3">
      <c r="A250" s="1" t="s">
        <v>12</v>
      </c>
      <c r="B250" s="1" t="s">
        <v>13</v>
      </c>
      <c r="C250" s="2" t="s">
        <v>14</v>
      </c>
      <c r="D250" s="1" t="s">
        <v>64</v>
      </c>
      <c r="E250" s="1" t="s">
        <v>65</v>
      </c>
      <c r="F250" s="1" t="s">
        <v>66</v>
      </c>
      <c r="G250" s="3">
        <v>5000</v>
      </c>
      <c r="H250" s="5">
        <v>45428</v>
      </c>
      <c r="I250" s="3" t="s">
        <v>101</v>
      </c>
      <c r="J250" s="3" t="s">
        <v>68</v>
      </c>
      <c r="K250" s="1">
        <v>352401230</v>
      </c>
      <c r="L250" s="6" t="s">
        <v>35</v>
      </c>
    </row>
    <row r="251" spans="1:12" customFormat="1" ht="14.4" x14ac:dyDescent="0.3">
      <c r="A251" s="1" t="s">
        <v>12</v>
      </c>
      <c r="B251" s="1" t="s">
        <v>13</v>
      </c>
      <c r="C251" s="2" t="s">
        <v>14</v>
      </c>
      <c r="D251" s="1" t="s">
        <v>80</v>
      </c>
      <c r="E251" s="1" t="s">
        <v>81</v>
      </c>
      <c r="F251" s="1" t="s">
        <v>82</v>
      </c>
      <c r="G251" s="3">
        <v>5250</v>
      </c>
      <c r="H251" s="5">
        <v>45428</v>
      </c>
      <c r="I251" s="3" t="s">
        <v>117</v>
      </c>
      <c r="J251" s="3" t="s">
        <v>118</v>
      </c>
      <c r="K251" s="1">
        <v>352401227</v>
      </c>
      <c r="L251" s="6" t="s">
        <v>69</v>
      </c>
    </row>
    <row r="252" spans="1:12" customFormat="1" ht="14.4" x14ac:dyDescent="0.3">
      <c r="A252" s="1" t="s">
        <v>12</v>
      </c>
      <c r="B252" s="1" t="s">
        <v>13</v>
      </c>
      <c r="C252" s="2" t="s">
        <v>14</v>
      </c>
      <c r="D252" s="1" t="s">
        <v>41</v>
      </c>
      <c r="E252" s="1" t="s">
        <v>61</v>
      </c>
      <c r="F252" s="1" t="s">
        <v>62</v>
      </c>
      <c r="G252" s="3">
        <v>3750</v>
      </c>
      <c r="H252" s="5">
        <v>45428</v>
      </c>
      <c r="I252" s="3" t="s">
        <v>63</v>
      </c>
      <c r="J252" s="3" t="s">
        <v>59</v>
      </c>
      <c r="K252" s="1">
        <v>352401228</v>
      </c>
      <c r="L252" s="6" t="s">
        <v>69</v>
      </c>
    </row>
    <row r="253" spans="1:12" customFormat="1" ht="14.4" x14ac:dyDescent="0.3">
      <c r="A253" s="1" t="s">
        <v>12</v>
      </c>
      <c r="B253" s="1" t="s">
        <v>13</v>
      </c>
      <c r="C253" s="2" t="s">
        <v>14</v>
      </c>
      <c r="D253" s="1" t="s">
        <v>31</v>
      </c>
      <c r="E253" s="1" t="s">
        <v>32</v>
      </c>
      <c r="F253" s="1" t="s">
        <v>33</v>
      </c>
      <c r="G253" s="3">
        <f>3200+800</f>
        <v>4000</v>
      </c>
      <c r="H253" s="5">
        <v>45428</v>
      </c>
      <c r="I253" s="3" t="s">
        <v>78</v>
      </c>
      <c r="J253" s="3" t="s">
        <v>79</v>
      </c>
      <c r="K253" s="6">
        <v>352401220</v>
      </c>
      <c r="L253" s="6" t="s">
        <v>151</v>
      </c>
    </row>
    <row r="254" spans="1:12" customFormat="1" ht="14.4" x14ac:dyDescent="0.3">
      <c r="A254" s="1" t="s">
        <v>12</v>
      </c>
      <c r="B254" s="1" t="s">
        <v>13</v>
      </c>
      <c r="C254" s="2" t="s">
        <v>14</v>
      </c>
      <c r="D254" s="1" t="s">
        <v>36</v>
      </c>
      <c r="E254" s="1" t="s">
        <v>37</v>
      </c>
      <c r="F254" s="1" t="s">
        <v>38</v>
      </c>
      <c r="G254" s="3">
        <v>5250</v>
      </c>
      <c r="H254" s="5">
        <v>45428</v>
      </c>
      <c r="I254" s="3" t="s">
        <v>92</v>
      </c>
      <c r="J254" s="3" t="s">
        <v>40</v>
      </c>
      <c r="K254" s="1">
        <v>352401229</v>
      </c>
      <c r="L254" s="6" t="s">
        <v>69</v>
      </c>
    </row>
    <row r="255" spans="1:12" customFormat="1" ht="14.4" x14ac:dyDescent="0.3">
      <c r="A255" s="1" t="s">
        <v>12</v>
      </c>
      <c r="B255" s="1" t="s">
        <v>13</v>
      </c>
      <c r="C255" s="2" t="s">
        <v>14</v>
      </c>
      <c r="D255" s="1" t="s">
        <v>70</v>
      </c>
      <c r="E255" s="1" t="s">
        <v>71</v>
      </c>
      <c r="F255" s="1" t="s">
        <v>72</v>
      </c>
      <c r="G255" s="3">
        <v>5250</v>
      </c>
      <c r="H255" s="5">
        <v>45428</v>
      </c>
      <c r="I255" s="3" t="s">
        <v>83</v>
      </c>
      <c r="J255" s="3" t="s">
        <v>84</v>
      </c>
      <c r="K255" s="1">
        <v>352401244</v>
      </c>
      <c r="L255" s="6" t="s">
        <v>69</v>
      </c>
    </row>
    <row r="256" spans="1:12" customFormat="1" ht="14.4" x14ac:dyDescent="0.3">
      <c r="A256" s="1" t="s">
        <v>12</v>
      </c>
      <c r="B256" s="1" t="s">
        <v>13</v>
      </c>
      <c r="C256" s="2" t="s">
        <v>14</v>
      </c>
      <c r="D256" s="1" t="s">
        <v>15</v>
      </c>
      <c r="E256" s="1" t="s">
        <v>16</v>
      </c>
      <c r="F256" s="1" t="s">
        <v>17</v>
      </c>
      <c r="G256" s="3">
        <v>4000</v>
      </c>
      <c r="H256" s="5">
        <v>45429</v>
      </c>
      <c r="I256" s="3" t="s">
        <v>85</v>
      </c>
      <c r="J256" s="3" t="s">
        <v>19</v>
      </c>
      <c r="K256" s="1">
        <v>352401261</v>
      </c>
      <c r="L256" s="6" t="s">
        <v>20</v>
      </c>
    </row>
    <row r="257" spans="1:12" customFormat="1" ht="14.4" x14ac:dyDescent="0.3">
      <c r="A257" s="1" t="s">
        <v>12</v>
      </c>
      <c r="B257" s="1" t="s">
        <v>13</v>
      </c>
      <c r="C257" s="2" t="s">
        <v>14</v>
      </c>
      <c r="D257" s="1" t="s">
        <v>41</v>
      </c>
      <c r="E257" s="1" t="s">
        <v>42</v>
      </c>
      <c r="F257" s="1" t="s">
        <v>43</v>
      </c>
      <c r="G257" s="3">
        <v>4000</v>
      </c>
      <c r="H257" s="5">
        <v>45429</v>
      </c>
      <c r="I257" s="3" t="s">
        <v>87</v>
      </c>
      <c r="J257" s="3" t="s">
        <v>45</v>
      </c>
      <c r="K257" s="1">
        <v>352401262</v>
      </c>
      <c r="L257" s="6" t="s">
        <v>60</v>
      </c>
    </row>
    <row r="258" spans="1:12" customFormat="1" ht="14.4" x14ac:dyDescent="0.3">
      <c r="A258" s="1" t="s">
        <v>12</v>
      </c>
      <c r="B258" s="1" t="s">
        <v>13</v>
      </c>
      <c r="C258" s="2" t="s">
        <v>14</v>
      </c>
      <c r="D258" s="1" t="s">
        <v>41</v>
      </c>
      <c r="E258" s="1" t="s">
        <v>61</v>
      </c>
      <c r="F258" s="1" t="s">
        <v>62</v>
      </c>
      <c r="G258" s="3">
        <v>4750</v>
      </c>
      <c r="H258" s="5">
        <v>45429</v>
      </c>
      <c r="I258" s="3" t="s">
        <v>88</v>
      </c>
      <c r="J258" s="3" t="s">
        <v>59</v>
      </c>
      <c r="K258" s="1">
        <v>352401260</v>
      </c>
      <c r="L258" s="6" t="s">
        <v>24</v>
      </c>
    </row>
    <row r="259" spans="1:12" customFormat="1" ht="14.4" x14ac:dyDescent="0.3">
      <c r="A259" s="1" t="s">
        <v>12</v>
      </c>
      <c r="B259" s="1" t="s">
        <v>13</v>
      </c>
      <c r="C259" s="2" t="s">
        <v>14</v>
      </c>
      <c r="D259" s="1" t="s">
        <v>152</v>
      </c>
      <c r="E259" s="1" t="s">
        <v>153</v>
      </c>
      <c r="F259" s="1" t="s">
        <v>154</v>
      </c>
      <c r="G259" s="3">
        <v>800</v>
      </c>
      <c r="H259" s="5">
        <v>45429</v>
      </c>
      <c r="I259" s="3" t="s">
        <v>155</v>
      </c>
      <c r="J259" s="3" t="s">
        <v>156</v>
      </c>
      <c r="K259" s="1">
        <v>352401243</v>
      </c>
      <c r="L259" s="6" t="s">
        <v>157</v>
      </c>
    </row>
    <row r="260" spans="1:12" customFormat="1" ht="14.4" x14ac:dyDescent="0.3">
      <c r="A260" s="3" t="s">
        <v>12</v>
      </c>
      <c r="B260" s="3" t="s">
        <v>13</v>
      </c>
      <c r="C260" s="16" t="s">
        <v>14</v>
      </c>
      <c r="D260" s="3" t="s">
        <v>113</v>
      </c>
      <c r="E260" s="3" t="s">
        <v>114</v>
      </c>
      <c r="F260" s="3" t="s">
        <v>66</v>
      </c>
      <c r="G260" s="3">
        <v>500</v>
      </c>
      <c r="H260" s="19">
        <v>45430</v>
      </c>
      <c r="I260" s="3" t="s">
        <v>125</v>
      </c>
      <c r="J260" s="3" t="s">
        <v>126</v>
      </c>
      <c r="K260" s="3">
        <v>352401286</v>
      </c>
      <c r="L260" s="3" t="s">
        <v>158</v>
      </c>
    </row>
    <row r="261" spans="1:12" customFormat="1" ht="14.4" x14ac:dyDescent="0.3">
      <c r="A261" s="3" t="s">
        <v>12</v>
      </c>
      <c r="B261" s="3" t="s">
        <v>13</v>
      </c>
      <c r="C261" s="16" t="s">
        <v>14</v>
      </c>
      <c r="D261" s="3" t="s">
        <v>113</v>
      </c>
      <c r="E261" s="3" t="s">
        <v>114</v>
      </c>
      <c r="F261" s="3" t="s">
        <v>66</v>
      </c>
      <c r="G261" s="3">
        <v>500</v>
      </c>
      <c r="H261" s="19">
        <v>45430</v>
      </c>
      <c r="I261" s="3" t="s">
        <v>125</v>
      </c>
      <c r="J261" s="3" t="s">
        <v>126</v>
      </c>
      <c r="K261" s="3">
        <v>352401281</v>
      </c>
      <c r="L261" s="3" t="s">
        <v>159</v>
      </c>
    </row>
    <row r="262" spans="1:12" customFormat="1" ht="14.4" x14ac:dyDescent="0.3">
      <c r="A262" s="1" t="s">
        <v>12</v>
      </c>
      <c r="B262" s="1" t="s">
        <v>13</v>
      </c>
      <c r="C262" s="2" t="s">
        <v>14</v>
      </c>
      <c r="D262" s="1" t="s">
        <v>15</v>
      </c>
      <c r="E262" s="1" t="s">
        <v>16</v>
      </c>
      <c r="F262" s="1" t="s">
        <v>17</v>
      </c>
      <c r="G262" s="3">
        <v>4000</v>
      </c>
      <c r="H262" s="19">
        <v>45430</v>
      </c>
      <c r="I262" s="3" t="s">
        <v>85</v>
      </c>
      <c r="J262" s="3" t="s">
        <v>19</v>
      </c>
      <c r="K262" s="1">
        <v>352401296</v>
      </c>
      <c r="L262" s="6" t="s">
        <v>20</v>
      </c>
    </row>
    <row r="263" spans="1:12" customFormat="1" ht="14.4" x14ac:dyDescent="0.3">
      <c r="A263" s="1" t="s">
        <v>12</v>
      </c>
      <c r="B263" s="1" t="s">
        <v>13</v>
      </c>
      <c r="C263" s="2" t="s">
        <v>14</v>
      </c>
      <c r="D263" s="1" t="s">
        <v>41</v>
      </c>
      <c r="E263" s="1" t="s">
        <v>42</v>
      </c>
      <c r="F263" s="1" t="s">
        <v>43</v>
      </c>
      <c r="G263" s="3">
        <v>4000</v>
      </c>
      <c r="H263" s="19">
        <v>45430</v>
      </c>
      <c r="I263" s="3" t="s">
        <v>87</v>
      </c>
      <c r="J263" s="3" t="s">
        <v>45</v>
      </c>
      <c r="K263" s="1">
        <v>352401294</v>
      </c>
      <c r="L263" s="6" t="s">
        <v>20</v>
      </c>
    </row>
    <row r="264" spans="1:12" customFormat="1" ht="14.4" x14ac:dyDescent="0.3">
      <c r="A264" s="1" t="s">
        <v>12</v>
      </c>
      <c r="B264" s="1" t="s">
        <v>13</v>
      </c>
      <c r="C264" s="2" t="s">
        <v>14</v>
      </c>
      <c r="D264" s="1" t="s">
        <v>31</v>
      </c>
      <c r="E264" s="1" t="s">
        <v>32</v>
      </c>
      <c r="F264" s="1" t="s">
        <v>33</v>
      </c>
      <c r="G264" s="3">
        <v>5250</v>
      </c>
      <c r="H264" s="19">
        <v>45430</v>
      </c>
      <c r="I264" s="3" t="s">
        <v>78</v>
      </c>
      <c r="J264" s="3" t="s">
        <v>79</v>
      </c>
      <c r="K264" s="6">
        <v>352401266</v>
      </c>
      <c r="L264" s="6" t="s">
        <v>69</v>
      </c>
    </row>
    <row r="265" spans="1:12" customFormat="1" ht="14.4" x14ac:dyDescent="0.3">
      <c r="A265" s="1" t="s">
        <v>12</v>
      </c>
      <c r="B265" s="1" t="s">
        <v>13</v>
      </c>
      <c r="C265" s="2" t="s">
        <v>14</v>
      </c>
      <c r="D265" s="1" t="s">
        <v>41</v>
      </c>
      <c r="E265" s="1" t="s">
        <v>61</v>
      </c>
      <c r="F265" s="1" t="s">
        <v>62</v>
      </c>
      <c r="G265" s="3">
        <v>4750</v>
      </c>
      <c r="H265" s="19">
        <v>45430</v>
      </c>
      <c r="I265" s="3" t="s">
        <v>88</v>
      </c>
      <c r="J265" s="3" t="s">
        <v>59</v>
      </c>
      <c r="K265" s="1">
        <v>352401295</v>
      </c>
      <c r="L265" s="6" t="s">
        <v>24</v>
      </c>
    </row>
    <row r="266" spans="1:12" customFormat="1" ht="14.4" x14ac:dyDescent="0.3">
      <c r="A266" s="1" t="s">
        <v>12</v>
      </c>
      <c r="B266" s="1" t="s">
        <v>13</v>
      </c>
      <c r="C266" s="2" t="s">
        <v>14</v>
      </c>
      <c r="D266" s="8" t="s">
        <v>104</v>
      </c>
      <c r="E266" s="9">
        <v>309023553967</v>
      </c>
      <c r="F266" s="1" t="s">
        <v>105</v>
      </c>
      <c r="G266" s="3">
        <v>3750</v>
      </c>
      <c r="H266" s="19">
        <v>45430</v>
      </c>
      <c r="I266" s="3" t="s">
        <v>91</v>
      </c>
      <c r="J266" s="3" t="s">
        <v>22</v>
      </c>
      <c r="K266" s="1">
        <v>352401212</v>
      </c>
      <c r="L266" s="6" t="s">
        <v>69</v>
      </c>
    </row>
    <row r="267" spans="1:12" customFormat="1" ht="14.4" x14ac:dyDescent="0.3">
      <c r="A267" s="1" t="s">
        <v>12</v>
      </c>
      <c r="B267" s="1" t="s">
        <v>13</v>
      </c>
      <c r="C267" s="2" t="s">
        <v>14</v>
      </c>
      <c r="D267" s="3" t="s">
        <v>149</v>
      </c>
      <c r="E267" s="18">
        <v>50100624324501</v>
      </c>
      <c r="F267" s="3" t="s">
        <v>150</v>
      </c>
      <c r="G267" s="3">
        <v>5250</v>
      </c>
      <c r="H267" s="19">
        <v>45430</v>
      </c>
      <c r="I267" s="3" t="s">
        <v>77</v>
      </c>
      <c r="J267" s="3" t="s">
        <v>29</v>
      </c>
      <c r="K267" s="1">
        <v>352401270</v>
      </c>
      <c r="L267" s="6" t="s">
        <v>69</v>
      </c>
    </row>
    <row r="268" spans="1:12" customFormat="1" ht="14.4" x14ac:dyDescent="0.3">
      <c r="A268" s="1" t="s">
        <v>12</v>
      </c>
      <c r="B268" s="1" t="s">
        <v>13</v>
      </c>
      <c r="C268" s="2" t="s">
        <v>14</v>
      </c>
      <c r="D268" s="1" t="s">
        <v>70</v>
      </c>
      <c r="E268" s="1" t="s">
        <v>71</v>
      </c>
      <c r="F268" s="1" t="s">
        <v>72</v>
      </c>
      <c r="G268" s="3">
        <v>5250</v>
      </c>
      <c r="H268" s="19">
        <v>45430</v>
      </c>
      <c r="I268" s="3" t="s">
        <v>83</v>
      </c>
      <c r="J268" s="3" t="s">
        <v>84</v>
      </c>
      <c r="K268" s="1">
        <v>352401263</v>
      </c>
      <c r="L268" s="6" t="s">
        <v>69</v>
      </c>
    </row>
    <row r="269" spans="1:12" customFormat="1" ht="14.4" x14ac:dyDescent="0.3">
      <c r="A269" s="1" t="s">
        <v>12</v>
      </c>
      <c r="B269" s="1" t="s">
        <v>13</v>
      </c>
      <c r="C269" s="2" t="s">
        <v>14</v>
      </c>
      <c r="D269" s="1" t="s">
        <v>15</v>
      </c>
      <c r="E269" s="1" t="s">
        <v>16</v>
      </c>
      <c r="F269" s="1" t="s">
        <v>17</v>
      </c>
      <c r="G269" s="3">
        <v>4000</v>
      </c>
      <c r="H269" s="19">
        <v>45432</v>
      </c>
      <c r="I269" s="3" t="s">
        <v>85</v>
      </c>
      <c r="J269" s="3" t="s">
        <v>19</v>
      </c>
      <c r="K269" s="1">
        <v>352401319</v>
      </c>
      <c r="L269" s="6" t="s">
        <v>20</v>
      </c>
    </row>
    <row r="270" spans="1:12" customFormat="1" ht="14.4" x14ac:dyDescent="0.3">
      <c r="A270" s="1" t="s">
        <v>12</v>
      </c>
      <c r="B270" s="1" t="s">
        <v>13</v>
      </c>
      <c r="C270" s="2" t="s">
        <v>14</v>
      </c>
      <c r="D270" s="1" t="s">
        <v>41</v>
      </c>
      <c r="E270" s="1" t="s">
        <v>42</v>
      </c>
      <c r="F270" s="1" t="s">
        <v>43</v>
      </c>
      <c r="G270" s="3">
        <v>4000</v>
      </c>
      <c r="H270" s="19">
        <v>45432</v>
      </c>
      <c r="I270" s="3" t="s">
        <v>87</v>
      </c>
      <c r="J270" s="3" t="s">
        <v>45</v>
      </c>
      <c r="K270" s="1">
        <v>352401322</v>
      </c>
      <c r="L270" s="6" t="s">
        <v>60</v>
      </c>
    </row>
    <row r="271" spans="1:12" customFormat="1" ht="14.4" x14ac:dyDescent="0.3">
      <c r="A271" s="1" t="s">
        <v>12</v>
      </c>
      <c r="B271" s="1" t="s">
        <v>13</v>
      </c>
      <c r="C271" s="2" t="s">
        <v>14</v>
      </c>
      <c r="D271" s="1" t="s">
        <v>31</v>
      </c>
      <c r="E271" s="1" t="s">
        <v>32</v>
      </c>
      <c r="F271" s="1" t="s">
        <v>33</v>
      </c>
      <c r="G271" s="3">
        <v>5250</v>
      </c>
      <c r="H271" s="19">
        <v>45432</v>
      </c>
      <c r="I271" s="3" t="s">
        <v>78</v>
      </c>
      <c r="J271" s="3" t="s">
        <v>79</v>
      </c>
      <c r="K271" s="6">
        <v>352401335</v>
      </c>
      <c r="L271" s="6" t="s">
        <v>69</v>
      </c>
    </row>
    <row r="272" spans="1:12" customFormat="1" ht="14.4" x14ac:dyDescent="0.3">
      <c r="A272" s="1" t="s">
        <v>12</v>
      </c>
      <c r="B272" s="1" t="s">
        <v>13</v>
      </c>
      <c r="C272" s="2" t="s">
        <v>14</v>
      </c>
      <c r="D272" s="8" t="s">
        <v>104</v>
      </c>
      <c r="E272" s="9">
        <v>309023553967</v>
      </c>
      <c r="F272" s="1" t="s">
        <v>105</v>
      </c>
      <c r="G272" s="3">
        <v>5250</v>
      </c>
      <c r="H272" s="19">
        <v>45432</v>
      </c>
      <c r="I272" s="3" t="s">
        <v>91</v>
      </c>
      <c r="J272" s="3" t="s">
        <v>22</v>
      </c>
      <c r="K272" s="1">
        <v>352401332</v>
      </c>
      <c r="L272" s="6" t="s">
        <v>69</v>
      </c>
    </row>
    <row r="273" spans="1:12" customFormat="1" ht="14.4" x14ac:dyDescent="0.3">
      <c r="A273" s="1" t="s">
        <v>12</v>
      </c>
      <c r="B273" s="1" t="s">
        <v>13</v>
      </c>
      <c r="C273" s="2" t="s">
        <v>14</v>
      </c>
      <c r="D273" s="1" t="s">
        <v>36</v>
      </c>
      <c r="E273" s="1" t="s">
        <v>37</v>
      </c>
      <c r="F273" s="1" t="s">
        <v>38</v>
      </c>
      <c r="G273" s="3">
        <v>4750</v>
      </c>
      <c r="H273" s="19">
        <v>45432</v>
      </c>
      <c r="I273" s="3" t="s">
        <v>92</v>
      </c>
      <c r="J273" s="3" t="s">
        <v>40</v>
      </c>
      <c r="K273" s="1">
        <v>352401265</v>
      </c>
      <c r="L273" s="6" t="s">
        <v>24</v>
      </c>
    </row>
    <row r="274" spans="1:12" customFormat="1" ht="14.4" x14ac:dyDescent="0.3">
      <c r="A274" s="1" t="s">
        <v>12</v>
      </c>
      <c r="B274" s="1" t="s">
        <v>13</v>
      </c>
      <c r="C274" s="2" t="s">
        <v>14</v>
      </c>
      <c r="D274" s="1" t="s">
        <v>15</v>
      </c>
      <c r="E274" s="1" t="s">
        <v>16</v>
      </c>
      <c r="F274" s="1" t="s">
        <v>17</v>
      </c>
      <c r="G274" s="3">
        <v>4000</v>
      </c>
      <c r="H274" s="19">
        <v>45433</v>
      </c>
      <c r="I274" s="3" t="s">
        <v>85</v>
      </c>
      <c r="J274" s="3" t="s">
        <v>19</v>
      </c>
      <c r="K274" s="1">
        <v>352401347</v>
      </c>
      <c r="L274" s="6" t="s">
        <v>20</v>
      </c>
    </row>
    <row r="275" spans="1:12" customFormat="1" ht="14.4" x14ac:dyDescent="0.3">
      <c r="A275" s="1" t="s">
        <v>12</v>
      </c>
      <c r="B275" s="1" t="s">
        <v>13</v>
      </c>
      <c r="C275" s="2" t="s">
        <v>14</v>
      </c>
      <c r="D275" s="1" t="s">
        <v>41</v>
      </c>
      <c r="E275" s="1" t="s">
        <v>42</v>
      </c>
      <c r="F275" s="1" t="s">
        <v>43</v>
      </c>
      <c r="G275" s="3">
        <v>4000</v>
      </c>
      <c r="H275" s="19">
        <v>45433</v>
      </c>
      <c r="I275" s="3" t="s">
        <v>87</v>
      </c>
      <c r="J275" s="3" t="s">
        <v>45</v>
      </c>
      <c r="K275" s="1">
        <v>352401341</v>
      </c>
      <c r="L275" s="6" t="s">
        <v>20</v>
      </c>
    </row>
    <row r="276" spans="1:12" customFormat="1" ht="14.4" x14ac:dyDescent="0.3">
      <c r="A276" s="1" t="s">
        <v>12</v>
      </c>
      <c r="B276" s="1" t="s">
        <v>13</v>
      </c>
      <c r="C276" s="2" t="s">
        <v>14</v>
      </c>
      <c r="D276" s="1" t="s">
        <v>41</v>
      </c>
      <c r="E276" s="1" t="s">
        <v>61</v>
      </c>
      <c r="F276" s="1" t="s">
        <v>62</v>
      </c>
      <c r="G276" s="3">
        <v>4750</v>
      </c>
      <c r="H276" s="19">
        <v>45433</v>
      </c>
      <c r="I276" s="3" t="s">
        <v>88</v>
      </c>
      <c r="J276" s="3" t="s">
        <v>59</v>
      </c>
      <c r="K276" s="1">
        <v>352401321</v>
      </c>
      <c r="L276" s="6" t="s">
        <v>24</v>
      </c>
    </row>
    <row r="277" spans="1:12" customFormat="1" ht="14.4" x14ac:dyDescent="0.3">
      <c r="A277" s="1" t="s">
        <v>12</v>
      </c>
      <c r="B277" s="1" t="s">
        <v>13</v>
      </c>
      <c r="C277" s="2" t="s">
        <v>14</v>
      </c>
      <c r="D277" s="8" t="s">
        <v>104</v>
      </c>
      <c r="E277" s="9">
        <v>309023553967</v>
      </c>
      <c r="F277" s="1" t="s">
        <v>105</v>
      </c>
      <c r="G277" s="3">
        <v>5250</v>
      </c>
      <c r="H277" s="19">
        <v>45433</v>
      </c>
      <c r="I277" s="3" t="s">
        <v>91</v>
      </c>
      <c r="J277" s="3" t="s">
        <v>22</v>
      </c>
      <c r="K277" s="1">
        <v>352401349</v>
      </c>
      <c r="L277" s="6" t="s">
        <v>69</v>
      </c>
    </row>
    <row r="278" spans="1:12" customFormat="1" ht="14.4" x14ac:dyDescent="0.3">
      <c r="A278" s="1" t="s">
        <v>12</v>
      </c>
      <c r="B278" s="1" t="s">
        <v>13</v>
      </c>
      <c r="C278" s="2" t="s">
        <v>14</v>
      </c>
      <c r="D278" s="3" t="s">
        <v>149</v>
      </c>
      <c r="E278" s="18">
        <v>50100624324501</v>
      </c>
      <c r="F278" s="3" t="s">
        <v>150</v>
      </c>
      <c r="G278" s="3">
        <v>5250</v>
      </c>
      <c r="H278" s="19">
        <v>45433</v>
      </c>
      <c r="I278" s="3" t="s">
        <v>77</v>
      </c>
      <c r="J278" s="3" t="s">
        <v>29</v>
      </c>
      <c r="K278" s="1">
        <v>352401333</v>
      </c>
      <c r="L278" s="6" t="s">
        <v>69</v>
      </c>
    </row>
    <row r="279" spans="1:12" customFormat="1" ht="14.4" x14ac:dyDescent="0.3">
      <c r="A279" s="1" t="s">
        <v>12</v>
      </c>
      <c r="B279" s="1" t="s">
        <v>13</v>
      </c>
      <c r="C279" s="2" t="s">
        <v>14</v>
      </c>
      <c r="D279" s="1" t="s">
        <v>70</v>
      </c>
      <c r="E279" s="1" t="s">
        <v>71</v>
      </c>
      <c r="F279" s="1" t="s">
        <v>72</v>
      </c>
      <c r="G279" s="3">
        <v>2250</v>
      </c>
      <c r="H279" s="19">
        <v>45433</v>
      </c>
      <c r="I279" s="3" t="s">
        <v>83</v>
      </c>
      <c r="J279" s="3" t="s">
        <v>84</v>
      </c>
      <c r="K279" s="1">
        <v>352401334</v>
      </c>
      <c r="L279" s="6" t="s">
        <v>69</v>
      </c>
    </row>
    <row r="280" spans="1:12" customFormat="1" ht="14.4" x14ac:dyDescent="0.3">
      <c r="A280" s="3" t="s">
        <v>12</v>
      </c>
      <c r="B280" s="3" t="s">
        <v>13</v>
      </c>
      <c r="C280" s="16" t="s">
        <v>14</v>
      </c>
      <c r="D280" s="3" t="s">
        <v>113</v>
      </c>
      <c r="E280" s="3" t="s">
        <v>114</v>
      </c>
      <c r="F280" s="3" t="s">
        <v>66</v>
      </c>
      <c r="G280" s="3">
        <v>3100</v>
      </c>
      <c r="H280" s="19">
        <v>45434</v>
      </c>
      <c r="I280" s="3" t="s">
        <v>125</v>
      </c>
      <c r="J280" s="3" t="s">
        <v>126</v>
      </c>
      <c r="K280" s="3">
        <v>352401320</v>
      </c>
      <c r="L280" s="3" t="s">
        <v>160</v>
      </c>
    </row>
    <row r="281" spans="1:12" customFormat="1" ht="14.4" x14ac:dyDescent="0.3">
      <c r="A281" s="1" t="s">
        <v>12</v>
      </c>
      <c r="B281" s="1" t="s">
        <v>13</v>
      </c>
      <c r="C281" s="2" t="s">
        <v>14</v>
      </c>
      <c r="D281" s="1" t="s">
        <v>41</v>
      </c>
      <c r="E281" s="1" t="s">
        <v>42</v>
      </c>
      <c r="F281" s="1" t="s">
        <v>43</v>
      </c>
      <c r="G281" s="3">
        <v>4000</v>
      </c>
      <c r="H281" s="19">
        <v>45434</v>
      </c>
      <c r="I281" s="3" t="s">
        <v>87</v>
      </c>
      <c r="J281" s="3" t="s">
        <v>45</v>
      </c>
      <c r="K281" s="1">
        <v>352401378</v>
      </c>
      <c r="L281" s="6" t="s">
        <v>20</v>
      </c>
    </row>
    <row r="282" spans="1:12" customFormat="1" ht="14.4" x14ac:dyDescent="0.3">
      <c r="A282" s="1" t="s">
        <v>12</v>
      </c>
      <c r="B282" s="1" t="s">
        <v>13</v>
      </c>
      <c r="C282" s="2" t="s">
        <v>14</v>
      </c>
      <c r="D282" s="1" t="s">
        <v>64</v>
      </c>
      <c r="E282" s="1" t="s">
        <v>65</v>
      </c>
      <c r="F282" s="1" t="s">
        <v>66</v>
      </c>
      <c r="G282" s="3">
        <v>5250</v>
      </c>
      <c r="H282" s="19">
        <v>45434</v>
      </c>
      <c r="I282" s="3" t="s">
        <v>101</v>
      </c>
      <c r="J282" s="3" t="s">
        <v>68</v>
      </c>
      <c r="K282" s="1">
        <v>352401380</v>
      </c>
      <c r="L282" s="6" t="s">
        <v>69</v>
      </c>
    </row>
    <row r="283" spans="1:12" customFormat="1" ht="14.4" x14ac:dyDescent="0.3">
      <c r="A283" s="1" t="s">
        <v>12</v>
      </c>
      <c r="B283" s="1" t="s">
        <v>13</v>
      </c>
      <c r="C283" s="2" t="s">
        <v>14</v>
      </c>
      <c r="D283" s="1" t="s">
        <v>80</v>
      </c>
      <c r="E283" s="1" t="s">
        <v>81</v>
      </c>
      <c r="F283" s="1" t="s">
        <v>82</v>
      </c>
      <c r="G283" s="3">
        <v>5250</v>
      </c>
      <c r="H283" s="19">
        <v>45434</v>
      </c>
      <c r="I283" s="3" t="s">
        <v>117</v>
      </c>
      <c r="J283" s="3" t="s">
        <v>118</v>
      </c>
      <c r="K283" s="1">
        <v>352401348</v>
      </c>
      <c r="L283" s="6" t="s">
        <v>69</v>
      </c>
    </row>
    <row r="284" spans="1:12" customFormat="1" ht="14.4" x14ac:dyDescent="0.3">
      <c r="A284" s="1" t="s">
        <v>12</v>
      </c>
      <c r="B284" s="1" t="s">
        <v>13</v>
      </c>
      <c r="C284" s="2" t="s">
        <v>14</v>
      </c>
      <c r="D284" s="1" t="s">
        <v>41</v>
      </c>
      <c r="E284" s="1" t="s">
        <v>61</v>
      </c>
      <c r="F284" s="1" t="s">
        <v>62</v>
      </c>
      <c r="G284" s="3">
        <v>2000</v>
      </c>
      <c r="H284" s="19">
        <v>45434</v>
      </c>
      <c r="I284" s="3" t="s">
        <v>88</v>
      </c>
      <c r="J284" s="3" t="s">
        <v>59</v>
      </c>
      <c r="K284" s="1">
        <v>352401376</v>
      </c>
      <c r="L284" s="6" t="s">
        <v>23</v>
      </c>
    </row>
    <row r="285" spans="1:12" customFormat="1" ht="14.4" x14ac:dyDescent="0.3">
      <c r="A285" s="1" t="s">
        <v>12</v>
      </c>
      <c r="B285" s="1" t="s">
        <v>13</v>
      </c>
      <c r="C285" s="2" t="s">
        <v>14</v>
      </c>
      <c r="D285" s="1" t="s">
        <v>36</v>
      </c>
      <c r="E285" s="1" t="s">
        <v>37</v>
      </c>
      <c r="F285" s="1" t="s">
        <v>38</v>
      </c>
      <c r="G285" s="3">
        <v>3750</v>
      </c>
      <c r="H285" s="19">
        <v>45434</v>
      </c>
      <c r="I285" s="3" t="s">
        <v>92</v>
      </c>
      <c r="J285" s="3" t="s">
        <v>40</v>
      </c>
      <c r="K285" s="1">
        <v>352401346</v>
      </c>
      <c r="L285" s="6" t="s">
        <v>69</v>
      </c>
    </row>
    <row r="286" spans="1:12" customFormat="1" ht="14.4" x14ac:dyDescent="0.3">
      <c r="A286" s="1" t="s">
        <v>12</v>
      </c>
      <c r="B286" s="1" t="s">
        <v>13</v>
      </c>
      <c r="C286" s="2" t="s">
        <v>14</v>
      </c>
      <c r="D286" s="1" t="s">
        <v>73</v>
      </c>
      <c r="E286" s="1" t="s">
        <v>89</v>
      </c>
      <c r="F286" s="1" t="s">
        <v>74</v>
      </c>
      <c r="G286" s="3">
        <v>3750</v>
      </c>
      <c r="H286" s="19">
        <v>45434</v>
      </c>
      <c r="I286" s="3" t="s">
        <v>90</v>
      </c>
      <c r="J286" s="3" t="s">
        <v>76</v>
      </c>
      <c r="K286" s="1">
        <v>352401185</v>
      </c>
      <c r="L286" s="6" t="s">
        <v>69</v>
      </c>
    </row>
    <row r="287" spans="1:12" customFormat="1" ht="14.4" x14ac:dyDescent="0.3">
      <c r="A287" s="1" t="s">
        <v>12</v>
      </c>
      <c r="B287" s="1" t="s">
        <v>13</v>
      </c>
      <c r="C287" s="2" t="s">
        <v>14</v>
      </c>
      <c r="D287" s="1" t="s">
        <v>15</v>
      </c>
      <c r="E287" s="1" t="s">
        <v>16</v>
      </c>
      <c r="F287" s="1" t="s">
        <v>17</v>
      </c>
      <c r="G287" s="3">
        <v>4000</v>
      </c>
      <c r="H287" s="19">
        <v>45435</v>
      </c>
      <c r="I287" s="3" t="s">
        <v>85</v>
      </c>
      <c r="J287" s="3" t="s">
        <v>19</v>
      </c>
      <c r="K287" s="1">
        <v>352401379</v>
      </c>
      <c r="L287" s="6" t="s">
        <v>20</v>
      </c>
    </row>
    <row r="288" spans="1:12" customFormat="1" ht="14.4" x14ac:dyDescent="0.3">
      <c r="A288" s="1" t="s">
        <v>12</v>
      </c>
      <c r="B288" s="1" t="s">
        <v>13</v>
      </c>
      <c r="C288" s="2" t="s">
        <v>14</v>
      </c>
      <c r="D288" s="1" t="s">
        <v>41</v>
      </c>
      <c r="E288" s="1" t="s">
        <v>42</v>
      </c>
      <c r="F288" s="1" t="s">
        <v>43</v>
      </c>
      <c r="G288" s="3">
        <v>4000</v>
      </c>
      <c r="H288" s="19">
        <v>45435</v>
      </c>
      <c r="I288" s="3" t="s">
        <v>87</v>
      </c>
      <c r="J288" s="3" t="s">
        <v>45</v>
      </c>
      <c r="K288" s="1">
        <v>352401418</v>
      </c>
      <c r="L288" s="6" t="s">
        <v>20</v>
      </c>
    </row>
    <row r="289" spans="1:12" customFormat="1" ht="14.4" x14ac:dyDescent="0.3">
      <c r="A289" s="1" t="s">
        <v>12</v>
      </c>
      <c r="B289" s="1" t="s">
        <v>13</v>
      </c>
      <c r="C289" s="2" t="s">
        <v>14</v>
      </c>
      <c r="D289" s="1" t="s">
        <v>31</v>
      </c>
      <c r="E289" s="1" t="s">
        <v>32</v>
      </c>
      <c r="F289" s="1" t="s">
        <v>33</v>
      </c>
      <c r="G289" s="3">
        <v>5250</v>
      </c>
      <c r="H289" s="19">
        <v>45435</v>
      </c>
      <c r="I289" s="3" t="s">
        <v>78</v>
      </c>
      <c r="J289" s="3" t="s">
        <v>79</v>
      </c>
      <c r="K289" s="6">
        <v>352401350</v>
      </c>
      <c r="L289" s="6" t="s">
        <v>69</v>
      </c>
    </row>
    <row r="290" spans="1:12" customFormat="1" ht="14.4" x14ac:dyDescent="0.3">
      <c r="A290" s="1" t="s">
        <v>12</v>
      </c>
      <c r="B290" s="1" t="s">
        <v>13</v>
      </c>
      <c r="C290" s="2" t="s">
        <v>14</v>
      </c>
      <c r="D290" s="1" t="s">
        <v>41</v>
      </c>
      <c r="E290" s="1" t="s">
        <v>61</v>
      </c>
      <c r="F290" s="1" t="s">
        <v>62</v>
      </c>
      <c r="G290" s="3">
        <v>4750</v>
      </c>
      <c r="H290" s="19">
        <v>45435</v>
      </c>
      <c r="I290" s="3" t="s">
        <v>88</v>
      </c>
      <c r="J290" s="3" t="s">
        <v>59</v>
      </c>
      <c r="K290" s="1">
        <v>352401376</v>
      </c>
      <c r="L290" s="6" t="s">
        <v>24</v>
      </c>
    </row>
    <row r="291" spans="1:12" x14ac:dyDescent="0.25">
      <c r="A291" s="30" t="s">
        <v>12</v>
      </c>
      <c r="B291" s="30" t="s">
        <v>13</v>
      </c>
      <c r="C291" s="30" t="s">
        <v>14</v>
      </c>
      <c r="D291" s="30" t="s">
        <v>144</v>
      </c>
      <c r="E291" s="39">
        <v>42542201947</v>
      </c>
      <c r="F291" s="30" t="s">
        <v>145</v>
      </c>
      <c r="G291" s="32">
        <v>5250</v>
      </c>
      <c r="H291" s="75">
        <v>45435</v>
      </c>
      <c r="I291" s="32" t="s">
        <v>146</v>
      </c>
      <c r="J291" s="32" t="s">
        <v>147</v>
      </c>
      <c r="K291" s="30">
        <v>352401074</v>
      </c>
      <c r="L291" s="35" t="s">
        <v>69</v>
      </c>
    </row>
    <row r="292" spans="1:12" customFormat="1" ht="14.4" x14ac:dyDescent="0.3">
      <c r="A292" s="1" t="s">
        <v>12</v>
      </c>
      <c r="B292" s="1" t="s">
        <v>13</v>
      </c>
      <c r="C292" s="2" t="s">
        <v>14</v>
      </c>
      <c r="D292" s="1" t="s">
        <v>31</v>
      </c>
      <c r="E292" s="1" t="s">
        <v>32</v>
      </c>
      <c r="F292" s="1" t="s">
        <v>33</v>
      </c>
      <c r="G292" s="3">
        <v>3200</v>
      </c>
      <c r="H292" s="19">
        <v>45435</v>
      </c>
      <c r="I292" s="3" t="s">
        <v>93</v>
      </c>
      <c r="J292" s="3" t="s">
        <v>34</v>
      </c>
      <c r="K292" s="6">
        <v>352401431</v>
      </c>
      <c r="L292" s="6" t="s">
        <v>69</v>
      </c>
    </row>
    <row r="293" spans="1:12" customFormat="1" ht="14.4" x14ac:dyDescent="0.3">
      <c r="A293" s="1" t="s">
        <v>12</v>
      </c>
      <c r="B293" s="1" t="s">
        <v>13</v>
      </c>
      <c r="C293" s="2" t="s">
        <v>14</v>
      </c>
      <c r="D293" s="1" t="s">
        <v>36</v>
      </c>
      <c r="E293" s="1" t="s">
        <v>37</v>
      </c>
      <c r="F293" s="1" t="s">
        <v>38</v>
      </c>
      <c r="G293" s="3">
        <v>5250</v>
      </c>
      <c r="H293" s="19">
        <v>45435</v>
      </c>
      <c r="I293" s="3" t="s">
        <v>92</v>
      </c>
      <c r="J293" s="3" t="s">
        <v>40</v>
      </c>
      <c r="K293" s="1">
        <v>352401423</v>
      </c>
      <c r="L293" s="6" t="s">
        <v>69</v>
      </c>
    </row>
    <row r="294" spans="1:12" customFormat="1" ht="14.4" x14ac:dyDescent="0.3">
      <c r="A294" s="1" t="s">
        <v>12</v>
      </c>
      <c r="B294" s="1" t="s">
        <v>13</v>
      </c>
      <c r="C294" s="2" t="s">
        <v>14</v>
      </c>
      <c r="D294" s="1" t="s">
        <v>73</v>
      </c>
      <c r="E294" s="1" t="s">
        <v>89</v>
      </c>
      <c r="F294" s="1" t="s">
        <v>74</v>
      </c>
      <c r="G294" s="3">
        <v>5250</v>
      </c>
      <c r="H294" s="19">
        <v>45435</v>
      </c>
      <c r="I294" s="3" t="s">
        <v>90</v>
      </c>
      <c r="J294" s="3" t="s">
        <v>76</v>
      </c>
      <c r="K294" s="1">
        <v>352401421</v>
      </c>
      <c r="L294" s="6" t="s">
        <v>69</v>
      </c>
    </row>
    <row r="295" spans="1:12" customFormat="1" ht="14.4" x14ac:dyDescent="0.3">
      <c r="A295" s="1" t="s">
        <v>12</v>
      </c>
      <c r="B295" s="1" t="s">
        <v>13</v>
      </c>
      <c r="C295" s="2" t="s">
        <v>14</v>
      </c>
      <c r="D295" s="1" t="s">
        <v>15</v>
      </c>
      <c r="E295" s="1" t="s">
        <v>16</v>
      </c>
      <c r="F295" s="1" t="s">
        <v>17</v>
      </c>
      <c r="G295" s="3">
        <v>4000</v>
      </c>
      <c r="H295" s="19">
        <v>45436</v>
      </c>
      <c r="I295" s="3" t="s">
        <v>85</v>
      </c>
      <c r="J295" s="3" t="s">
        <v>19</v>
      </c>
      <c r="K295" s="1">
        <v>352401451</v>
      </c>
      <c r="L295" s="6" t="s">
        <v>60</v>
      </c>
    </row>
    <row r="296" spans="1:12" customFormat="1" ht="14.4" x14ac:dyDescent="0.3">
      <c r="A296" s="1" t="s">
        <v>12</v>
      </c>
      <c r="B296" s="1" t="s">
        <v>13</v>
      </c>
      <c r="C296" s="2" t="s">
        <v>14</v>
      </c>
      <c r="D296" s="1" t="s">
        <v>41</v>
      </c>
      <c r="E296" s="1" t="s">
        <v>42</v>
      </c>
      <c r="F296" s="1" t="s">
        <v>43</v>
      </c>
      <c r="G296" s="3">
        <v>4000</v>
      </c>
      <c r="H296" s="19">
        <v>45436</v>
      </c>
      <c r="I296" s="3" t="s">
        <v>87</v>
      </c>
      <c r="J296" s="3" t="s">
        <v>45</v>
      </c>
      <c r="K296" s="1">
        <v>352401452</v>
      </c>
      <c r="L296" s="6" t="s">
        <v>20</v>
      </c>
    </row>
    <row r="297" spans="1:12" x14ac:dyDescent="0.25">
      <c r="A297" s="30" t="s">
        <v>12</v>
      </c>
      <c r="B297" s="30" t="s">
        <v>13</v>
      </c>
      <c r="C297" s="30" t="s">
        <v>14</v>
      </c>
      <c r="D297" s="30" t="s">
        <v>144</v>
      </c>
      <c r="E297" s="39">
        <v>42542201947</v>
      </c>
      <c r="F297" s="30" t="s">
        <v>145</v>
      </c>
      <c r="G297" s="32">
        <v>2000</v>
      </c>
      <c r="H297" s="75">
        <v>45436</v>
      </c>
      <c r="I297" s="32" t="s">
        <v>146</v>
      </c>
      <c r="J297" s="32" t="s">
        <v>147</v>
      </c>
      <c r="K297" s="30">
        <v>352401468</v>
      </c>
      <c r="L297" s="35" t="s">
        <v>119</v>
      </c>
    </row>
    <row r="298" spans="1:12" customFormat="1" ht="14.4" x14ac:dyDescent="0.3">
      <c r="A298" s="1" t="s">
        <v>12</v>
      </c>
      <c r="B298" s="1" t="s">
        <v>13</v>
      </c>
      <c r="C298" s="2" t="s">
        <v>14</v>
      </c>
      <c r="D298" s="1" t="s">
        <v>15</v>
      </c>
      <c r="E298" s="1" t="s">
        <v>16</v>
      </c>
      <c r="F298" s="1" t="s">
        <v>17</v>
      </c>
      <c r="G298" s="3">
        <v>4000</v>
      </c>
      <c r="H298" s="19">
        <v>45437</v>
      </c>
      <c r="I298" s="3" t="s">
        <v>85</v>
      </c>
      <c r="J298" s="3" t="s">
        <v>19</v>
      </c>
      <c r="K298" s="1">
        <v>352401505</v>
      </c>
      <c r="L298" s="6" t="s">
        <v>20</v>
      </c>
    </row>
    <row r="299" spans="1:12" customFormat="1" ht="14.4" x14ac:dyDescent="0.3">
      <c r="A299" s="1" t="s">
        <v>12</v>
      </c>
      <c r="B299" s="1" t="s">
        <v>13</v>
      </c>
      <c r="C299" s="2" t="s">
        <v>14</v>
      </c>
      <c r="D299" s="1" t="s">
        <v>41</v>
      </c>
      <c r="E299" s="1" t="s">
        <v>42</v>
      </c>
      <c r="F299" s="1" t="s">
        <v>43</v>
      </c>
      <c r="G299" s="3">
        <v>4000</v>
      </c>
      <c r="H299" s="19">
        <v>45437</v>
      </c>
      <c r="I299" s="3" t="s">
        <v>87</v>
      </c>
      <c r="J299" s="3" t="s">
        <v>45</v>
      </c>
      <c r="K299" s="1">
        <v>352401496</v>
      </c>
      <c r="L299" s="6" t="s">
        <v>20</v>
      </c>
    </row>
    <row r="300" spans="1:12" customFormat="1" ht="14.4" x14ac:dyDescent="0.3">
      <c r="A300" s="1" t="s">
        <v>12</v>
      </c>
      <c r="B300" s="1" t="s">
        <v>13</v>
      </c>
      <c r="C300" s="2" t="s">
        <v>14</v>
      </c>
      <c r="D300" s="1" t="s">
        <v>64</v>
      </c>
      <c r="E300" s="1" t="s">
        <v>65</v>
      </c>
      <c r="F300" s="1" t="s">
        <v>66</v>
      </c>
      <c r="G300" s="3">
        <v>5250</v>
      </c>
      <c r="H300" s="19">
        <v>45437</v>
      </c>
      <c r="I300" s="3" t="s">
        <v>101</v>
      </c>
      <c r="J300" s="3" t="s">
        <v>68</v>
      </c>
      <c r="K300" s="1">
        <v>352401420</v>
      </c>
      <c r="L300" s="6" t="s">
        <v>69</v>
      </c>
    </row>
    <row r="301" spans="1:12" customFormat="1" ht="14.4" x14ac:dyDescent="0.3">
      <c r="A301" s="1" t="s">
        <v>12</v>
      </c>
      <c r="B301" s="1" t="s">
        <v>13</v>
      </c>
      <c r="C301" s="2" t="s">
        <v>14</v>
      </c>
      <c r="D301" s="1" t="s">
        <v>80</v>
      </c>
      <c r="E301" s="1" t="s">
        <v>81</v>
      </c>
      <c r="F301" s="1" t="s">
        <v>82</v>
      </c>
      <c r="G301" s="3">
        <v>5250</v>
      </c>
      <c r="H301" s="19">
        <v>45437</v>
      </c>
      <c r="I301" s="3" t="s">
        <v>117</v>
      </c>
      <c r="J301" s="3" t="s">
        <v>118</v>
      </c>
      <c r="K301" s="1">
        <v>352401422</v>
      </c>
      <c r="L301" s="6" t="s">
        <v>69</v>
      </c>
    </row>
    <row r="302" spans="1:12" customFormat="1" ht="14.4" x14ac:dyDescent="0.3">
      <c r="A302" s="1" t="s">
        <v>12</v>
      </c>
      <c r="B302" s="1" t="s">
        <v>13</v>
      </c>
      <c r="C302" s="2" t="s">
        <v>14</v>
      </c>
      <c r="D302" s="1" t="s">
        <v>31</v>
      </c>
      <c r="E302" s="1" t="s">
        <v>32</v>
      </c>
      <c r="F302" s="1" t="s">
        <v>33</v>
      </c>
      <c r="G302" s="3">
        <v>5250</v>
      </c>
      <c r="H302" s="19">
        <v>45437</v>
      </c>
      <c r="I302" s="3" t="s">
        <v>78</v>
      </c>
      <c r="J302" s="3" t="s">
        <v>79</v>
      </c>
      <c r="K302" s="1">
        <v>352401456</v>
      </c>
      <c r="L302" s="6" t="s">
        <v>69</v>
      </c>
    </row>
    <row r="303" spans="1:12" customFormat="1" ht="14.4" x14ac:dyDescent="0.3">
      <c r="A303" s="1" t="s">
        <v>12</v>
      </c>
      <c r="B303" s="1" t="s">
        <v>13</v>
      </c>
      <c r="C303" s="2" t="s">
        <v>14</v>
      </c>
      <c r="D303" s="1" t="s">
        <v>41</v>
      </c>
      <c r="E303" s="1" t="s">
        <v>61</v>
      </c>
      <c r="F303" s="1" t="s">
        <v>62</v>
      </c>
      <c r="G303" s="3">
        <v>4750</v>
      </c>
      <c r="H303" s="19">
        <v>45437</v>
      </c>
      <c r="I303" s="3" t="s">
        <v>88</v>
      </c>
      <c r="J303" s="3" t="s">
        <v>59</v>
      </c>
      <c r="K303" s="1">
        <v>352401450</v>
      </c>
      <c r="L303" s="6" t="s">
        <v>24</v>
      </c>
    </row>
    <row r="304" spans="1:12" customFormat="1" ht="14.4" x14ac:dyDescent="0.3">
      <c r="A304" s="1" t="s">
        <v>12</v>
      </c>
      <c r="B304" s="1" t="s">
        <v>13</v>
      </c>
      <c r="C304" s="2" t="s">
        <v>14</v>
      </c>
      <c r="D304" s="8" t="s">
        <v>104</v>
      </c>
      <c r="E304" s="9">
        <v>309023553967</v>
      </c>
      <c r="F304" s="1" t="s">
        <v>105</v>
      </c>
      <c r="G304" s="3">
        <v>5250</v>
      </c>
      <c r="H304" s="19">
        <v>45437</v>
      </c>
      <c r="I304" s="3" t="s">
        <v>91</v>
      </c>
      <c r="J304" s="3" t="s">
        <v>22</v>
      </c>
      <c r="K304" s="1">
        <v>352401384</v>
      </c>
      <c r="L304" s="6" t="s">
        <v>69</v>
      </c>
    </row>
    <row r="305" spans="1:12" customFormat="1" ht="14.4" x14ac:dyDescent="0.3">
      <c r="A305" s="1" t="s">
        <v>12</v>
      </c>
      <c r="B305" s="1" t="s">
        <v>13</v>
      </c>
      <c r="C305" s="2" t="s">
        <v>14</v>
      </c>
      <c r="D305" s="3" t="s">
        <v>149</v>
      </c>
      <c r="E305" s="18">
        <v>50100624324501</v>
      </c>
      <c r="F305" s="3" t="s">
        <v>150</v>
      </c>
      <c r="G305" s="3">
        <v>5250</v>
      </c>
      <c r="H305" s="19">
        <v>45437</v>
      </c>
      <c r="I305" s="3" t="s">
        <v>77</v>
      </c>
      <c r="J305" s="3" t="s">
        <v>29</v>
      </c>
      <c r="K305" s="1">
        <v>352401382</v>
      </c>
      <c r="L305" s="6" t="s">
        <v>69</v>
      </c>
    </row>
    <row r="306" spans="1:12" customFormat="1" ht="14.4" x14ac:dyDescent="0.3">
      <c r="A306" s="1" t="s">
        <v>12</v>
      </c>
      <c r="B306" s="1" t="s">
        <v>13</v>
      </c>
      <c r="C306" s="2" t="s">
        <v>14</v>
      </c>
      <c r="D306" s="1" t="s">
        <v>31</v>
      </c>
      <c r="E306" s="1" t="s">
        <v>32</v>
      </c>
      <c r="F306" s="1" t="s">
        <v>33</v>
      </c>
      <c r="G306" s="3">
        <v>5250</v>
      </c>
      <c r="H306" s="19">
        <v>45437</v>
      </c>
      <c r="I306" s="3" t="s">
        <v>93</v>
      </c>
      <c r="J306" s="3" t="s">
        <v>34</v>
      </c>
      <c r="K306" s="1">
        <v>352401455</v>
      </c>
      <c r="L306" s="6" t="s">
        <v>69</v>
      </c>
    </row>
    <row r="307" spans="1:12" customFormat="1" ht="14.4" x14ac:dyDescent="0.3">
      <c r="A307" s="1" t="s">
        <v>12</v>
      </c>
      <c r="B307" s="1" t="s">
        <v>13</v>
      </c>
      <c r="C307" s="2" t="s">
        <v>14</v>
      </c>
      <c r="D307" s="1" t="s">
        <v>36</v>
      </c>
      <c r="E307" s="1" t="s">
        <v>37</v>
      </c>
      <c r="F307" s="1" t="s">
        <v>38</v>
      </c>
      <c r="G307" s="3">
        <v>5250</v>
      </c>
      <c r="H307" s="19">
        <v>45437</v>
      </c>
      <c r="I307" s="3" t="s">
        <v>92</v>
      </c>
      <c r="J307" s="3" t="s">
        <v>40</v>
      </c>
      <c r="K307" s="1">
        <v>352401470</v>
      </c>
      <c r="L307" s="6" t="s">
        <v>69</v>
      </c>
    </row>
    <row r="308" spans="1:12" customFormat="1" ht="14.4" x14ac:dyDescent="0.3">
      <c r="A308" s="1" t="s">
        <v>12</v>
      </c>
      <c r="B308" s="1" t="s">
        <v>13</v>
      </c>
      <c r="C308" s="2" t="s">
        <v>14</v>
      </c>
      <c r="D308" s="1" t="s">
        <v>70</v>
      </c>
      <c r="E308" s="1" t="s">
        <v>71</v>
      </c>
      <c r="F308" s="1" t="s">
        <v>72</v>
      </c>
      <c r="G308" s="3">
        <v>5250</v>
      </c>
      <c r="H308" s="19">
        <v>45437</v>
      </c>
      <c r="I308" s="3" t="s">
        <v>83</v>
      </c>
      <c r="J308" s="3" t="s">
        <v>84</v>
      </c>
      <c r="K308" s="1">
        <v>352401385</v>
      </c>
      <c r="L308" s="6" t="s">
        <v>69</v>
      </c>
    </row>
    <row r="309" spans="1:12" customFormat="1" ht="14.4" x14ac:dyDescent="0.3">
      <c r="A309" s="1" t="s">
        <v>12</v>
      </c>
      <c r="B309" s="1" t="s">
        <v>13</v>
      </c>
      <c r="C309" s="2" t="s">
        <v>14</v>
      </c>
      <c r="D309" s="1" t="s">
        <v>152</v>
      </c>
      <c r="E309" s="1" t="s">
        <v>153</v>
      </c>
      <c r="F309" s="1" t="s">
        <v>154</v>
      </c>
      <c r="G309" s="3">
        <v>500</v>
      </c>
      <c r="H309" s="5">
        <v>45439</v>
      </c>
      <c r="I309" s="3" t="s">
        <v>155</v>
      </c>
      <c r="J309" s="3" t="s">
        <v>156</v>
      </c>
      <c r="K309" s="1">
        <v>352401525</v>
      </c>
      <c r="L309" s="6" t="s">
        <v>161</v>
      </c>
    </row>
    <row r="310" spans="1:12" customFormat="1" ht="14.4" x14ac:dyDescent="0.3">
      <c r="A310" s="1" t="s">
        <v>12</v>
      </c>
      <c r="B310" s="1" t="s">
        <v>13</v>
      </c>
      <c r="C310" s="2" t="s">
        <v>14</v>
      </c>
      <c r="D310" s="1" t="s">
        <v>15</v>
      </c>
      <c r="E310" s="1" t="s">
        <v>16</v>
      </c>
      <c r="F310" s="1" t="s">
        <v>17</v>
      </c>
      <c r="G310" s="3">
        <v>500</v>
      </c>
      <c r="H310" s="5">
        <v>45439</v>
      </c>
      <c r="I310" s="3" t="s">
        <v>85</v>
      </c>
      <c r="J310" s="3" t="s">
        <v>19</v>
      </c>
      <c r="K310" s="1">
        <v>352401544</v>
      </c>
      <c r="L310" s="6" t="s">
        <v>162</v>
      </c>
    </row>
    <row r="311" spans="1:12" customFormat="1" ht="14.4" x14ac:dyDescent="0.3">
      <c r="A311" s="1" t="s">
        <v>12</v>
      </c>
      <c r="B311" s="1" t="s">
        <v>13</v>
      </c>
      <c r="C311" s="2" t="s">
        <v>14</v>
      </c>
      <c r="D311" s="1" t="s">
        <v>41</v>
      </c>
      <c r="E311" s="1" t="s">
        <v>42</v>
      </c>
      <c r="F311" s="1" t="s">
        <v>43</v>
      </c>
      <c r="G311" s="3">
        <v>2000</v>
      </c>
      <c r="H311" s="5">
        <v>45439</v>
      </c>
      <c r="I311" s="3" t="s">
        <v>87</v>
      </c>
      <c r="J311" s="3" t="s">
        <v>45</v>
      </c>
      <c r="K311" s="1">
        <v>352401545</v>
      </c>
      <c r="L311" s="6" t="s">
        <v>163</v>
      </c>
    </row>
    <row r="312" spans="1:12" customFormat="1" ht="14.4" x14ac:dyDescent="0.3">
      <c r="A312" s="1" t="s">
        <v>12</v>
      </c>
      <c r="B312" s="1" t="s">
        <v>13</v>
      </c>
      <c r="C312" s="2" t="s">
        <v>14</v>
      </c>
      <c r="D312" s="1" t="s">
        <v>41</v>
      </c>
      <c r="E312" s="1" t="s">
        <v>42</v>
      </c>
      <c r="F312" s="1" t="s">
        <v>43</v>
      </c>
      <c r="G312" s="3">
        <v>4000</v>
      </c>
      <c r="H312" s="5">
        <v>45439</v>
      </c>
      <c r="I312" s="3" t="s">
        <v>87</v>
      </c>
      <c r="J312" s="3" t="s">
        <v>45</v>
      </c>
      <c r="K312" s="1">
        <v>352401538</v>
      </c>
      <c r="L312" s="6" t="s">
        <v>20</v>
      </c>
    </row>
    <row r="313" spans="1:12" customFormat="1" ht="14.4" x14ac:dyDescent="0.3">
      <c r="A313" s="1" t="s">
        <v>12</v>
      </c>
      <c r="B313" s="1" t="s">
        <v>13</v>
      </c>
      <c r="C313" s="2" t="s">
        <v>14</v>
      </c>
      <c r="D313" s="8" t="s">
        <v>104</v>
      </c>
      <c r="E313" s="9">
        <v>309023553967</v>
      </c>
      <c r="F313" s="1" t="s">
        <v>105</v>
      </c>
      <c r="G313" s="3">
        <v>5250</v>
      </c>
      <c r="H313" s="5">
        <v>45439</v>
      </c>
      <c r="I313" s="3" t="s">
        <v>91</v>
      </c>
      <c r="J313" s="3" t="s">
        <v>22</v>
      </c>
      <c r="K313" s="1">
        <v>352401533</v>
      </c>
      <c r="L313" s="6" t="s">
        <v>69</v>
      </c>
    </row>
    <row r="314" spans="1:12" customFormat="1" ht="14.4" x14ac:dyDescent="0.3">
      <c r="A314" s="1" t="s">
        <v>12</v>
      </c>
      <c r="B314" s="1" t="s">
        <v>13</v>
      </c>
      <c r="C314" s="2" t="s">
        <v>14</v>
      </c>
      <c r="D314" s="1" t="s">
        <v>36</v>
      </c>
      <c r="E314" s="1" t="s">
        <v>37</v>
      </c>
      <c r="F314" s="1" t="s">
        <v>38</v>
      </c>
      <c r="G314" s="3">
        <v>5250</v>
      </c>
      <c r="H314" s="5">
        <v>45439</v>
      </c>
      <c r="I314" s="3" t="s">
        <v>92</v>
      </c>
      <c r="J314" s="3" t="s">
        <v>40</v>
      </c>
      <c r="K314" s="1">
        <v>352401535</v>
      </c>
      <c r="L314" s="6" t="s">
        <v>69</v>
      </c>
    </row>
    <row r="315" spans="1:12" customFormat="1" ht="14.4" x14ac:dyDescent="0.3">
      <c r="A315" s="1" t="s">
        <v>12</v>
      </c>
      <c r="B315" s="1" t="s">
        <v>13</v>
      </c>
      <c r="C315" s="2" t="s">
        <v>14</v>
      </c>
      <c r="D315" s="1" t="s">
        <v>73</v>
      </c>
      <c r="E315" s="1" t="s">
        <v>89</v>
      </c>
      <c r="F315" s="1" t="s">
        <v>74</v>
      </c>
      <c r="G315" s="3">
        <v>5250</v>
      </c>
      <c r="H315" s="5">
        <v>45439</v>
      </c>
      <c r="I315" s="3" t="s">
        <v>90</v>
      </c>
      <c r="J315" s="3" t="s">
        <v>76</v>
      </c>
      <c r="K315" s="1">
        <v>352401469</v>
      </c>
      <c r="L315" s="6" t="s">
        <v>69</v>
      </c>
    </row>
    <row r="316" spans="1:12" customFormat="1" ht="14.4" x14ac:dyDescent="0.3">
      <c r="A316" s="1" t="s">
        <v>12</v>
      </c>
      <c r="B316" s="1" t="s">
        <v>13</v>
      </c>
      <c r="C316" s="2" t="s">
        <v>14</v>
      </c>
      <c r="D316" s="1" t="s">
        <v>15</v>
      </c>
      <c r="E316" s="1" t="s">
        <v>16</v>
      </c>
      <c r="F316" s="1" t="s">
        <v>17</v>
      </c>
      <c r="G316" s="3">
        <v>4000</v>
      </c>
      <c r="H316" s="19">
        <v>45440</v>
      </c>
      <c r="I316" s="3" t="s">
        <v>85</v>
      </c>
      <c r="J316" s="3" t="s">
        <v>19</v>
      </c>
      <c r="K316" s="1">
        <v>352401527</v>
      </c>
      <c r="L316" s="6" t="s">
        <v>20</v>
      </c>
    </row>
    <row r="317" spans="1:12" customFormat="1" ht="14.4" x14ac:dyDescent="0.3">
      <c r="A317" s="1" t="s">
        <v>12</v>
      </c>
      <c r="B317" s="1" t="s">
        <v>13</v>
      </c>
      <c r="C317" s="2" t="s">
        <v>14</v>
      </c>
      <c r="D317" s="1" t="s">
        <v>41</v>
      </c>
      <c r="E317" s="1" t="s">
        <v>42</v>
      </c>
      <c r="F317" s="1" t="s">
        <v>43</v>
      </c>
      <c r="G317" s="3">
        <v>4000</v>
      </c>
      <c r="H317" s="19">
        <v>45440</v>
      </c>
      <c r="I317" s="3" t="s">
        <v>87</v>
      </c>
      <c r="J317" s="3" t="s">
        <v>45</v>
      </c>
      <c r="K317" s="1">
        <v>352401558</v>
      </c>
      <c r="L317" s="6" t="s">
        <v>20</v>
      </c>
    </row>
    <row r="318" spans="1:12" customFormat="1" ht="14.4" x14ac:dyDescent="0.3">
      <c r="A318" s="1" t="s">
        <v>12</v>
      </c>
      <c r="B318" s="1" t="s">
        <v>13</v>
      </c>
      <c r="C318" s="2" t="s">
        <v>14</v>
      </c>
      <c r="D318" s="3" t="s">
        <v>149</v>
      </c>
      <c r="E318" s="18">
        <v>50100624324501</v>
      </c>
      <c r="F318" s="3" t="s">
        <v>150</v>
      </c>
      <c r="G318" s="3">
        <v>5250</v>
      </c>
      <c r="H318" s="19">
        <v>45440</v>
      </c>
      <c r="I318" s="3" t="s">
        <v>77</v>
      </c>
      <c r="J318" s="3" t="s">
        <v>29</v>
      </c>
      <c r="K318" s="1">
        <v>352401529</v>
      </c>
      <c r="L318" s="6" t="s">
        <v>69</v>
      </c>
    </row>
    <row r="319" spans="1:12" customFormat="1" ht="14.4" x14ac:dyDescent="0.3">
      <c r="A319" s="1" t="s">
        <v>12</v>
      </c>
      <c r="B319" s="1" t="s">
        <v>13</v>
      </c>
      <c r="C319" s="2" t="s">
        <v>14</v>
      </c>
      <c r="D319" s="1" t="s">
        <v>70</v>
      </c>
      <c r="E319" s="1" t="s">
        <v>71</v>
      </c>
      <c r="F319" s="1" t="s">
        <v>72</v>
      </c>
      <c r="G319" s="3">
        <v>5250</v>
      </c>
      <c r="H319" s="19">
        <v>45440</v>
      </c>
      <c r="I319" s="3" t="s">
        <v>83</v>
      </c>
      <c r="J319" s="3" t="s">
        <v>84</v>
      </c>
      <c r="K319" s="1">
        <v>352401535</v>
      </c>
      <c r="L319" s="6" t="s">
        <v>69</v>
      </c>
    </row>
    <row r="320" spans="1:12" customFormat="1" ht="14.4" x14ac:dyDescent="0.3">
      <c r="A320" s="1" t="s">
        <v>12</v>
      </c>
      <c r="B320" s="1" t="s">
        <v>13</v>
      </c>
      <c r="C320" s="2" t="s">
        <v>14</v>
      </c>
      <c r="D320" s="1" t="s">
        <v>31</v>
      </c>
      <c r="E320" s="1" t="s">
        <v>32</v>
      </c>
      <c r="F320" s="1" t="s">
        <v>33</v>
      </c>
      <c r="G320" s="3">
        <v>5250</v>
      </c>
      <c r="H320" s="19">
        <v>45440</v>
      </c>
      <c r="I320" s="3" t="s">
        <v>78</v>
      </c>
      <c r="J320" s="3" t="s">
        <v>79</v>
      </c>
      <c r="K320" s="1">
        <v>352401530</v>
      </c>
      <c r="L320" s="6" t="s">
        <v>69</v>
      </c>
    </row>
    <row r="321" spans="1:12" customFormat="1" ht="14.4" x14ac:dyDescent="0.3">
      <c r="A321" s="1" t="s">
        <v>12</v>
      </c>
      <c r="B321" s="1" t="s">
        <v>13</v>
      </c>
      <c r="C321" s="2" t="s">
        <v>14</v>
      </c>
      <c r="D321" s="1" t="s">
        <v>41</v>
      </c>
      <c r="E321" s="1" t="s">
        <v>42</v>
      </c>
      <c r="F321" s="1" t="s">
        <v>43</v>
      </c>
      <c r="G321" s="3">
        <v>4000</v>
      </c>
      <c r="H321" s="19">
        <v>45441</v>
      </c>
      <c r="I321" s="3" t="s">
        <v>87</v>
      </c>
      <c r="J321" s="3" t="s">
        <v>45</v>
      </c>
      <c r="K321" s="1">
        <v>352401597</v>
      </c>
      <c r="L321" s="6" t="s">
        <v>20</v>
      </c>
    </row>
    <row r="322" spans="1:12" customFormat="1" ht="14.4" x14ac:dyDescent="0.3">
      <c r="A322" s="1" t="s">
        <v>12</v>
      </c>
      <c r="B322" s="1" t="s">
        <v>13</v>
      </c>
      <c r="C322" s="2" t="s">
        <v>14</v>
      </c>
      <c r="D322" s="1" t="s">
        <v>64</v>
      </c>
      <c r="E322" s="1" t="s">
        <v>65</v>
      </c>
      <c r="F322" s="1" t="s">
        <v>66</v>
      </c>
      <c r="G322" s="3">
        <v>5250</v>
      </c>
      <c r="H322" s="19">
        <v>45441</v>
      </c>
      <c r="I322" s="3" t="s">
        <v>101</v>
      </c>
      <c r="J322" s="3" t="s">
        <v>68</v>
      </c>
      <c r="K322" s="1">
        <v>352401534</v>
      </c>
      <c r="L322" s="6" t="s">
        <v>69</v>
      </c>
    </row>
    <row r="323" spans="1:12" customFormat="1" ht="14.4" x14ac:dyDescent="0.3">
      <c r="A323" s="1" t="s">
        <v>12</v>
      </c>
      <c r="B323" s="1" t="s">
        <v>13</v>
      </c>
      <c r="C323" s="2" t="s">
        <v>14</v>
      </c>
      <c r="D323" s="1" t="s">
        <v>80</v>
      </c>
      <c r="E323" s="1" t="s">
        <v>81</v>
      </c>
      <c r="F323" s="1" t="s">
        <v>82</v>
      </c>
      <c r="G323" s="3">
        <v>5250</v>
      </c>
      <c r="H323" s="19">
        <v>45441</v>
      </c>
      <c r="I323" s="3" t="s">
        <v>117</v>
      </c>
      <c r="J323" s="3" t="s">
        <v>118</v>
      </c>
      <c r="K323" s="1">
        <v>352401532</v>
      </c>
      <c r="L323" s="6" t="s">
        <v>69</v>
      </c>
    </row>
    <row r="324" spans="1:12" customFormat="1" ht="14.4" x14ac:dyDescent="0.3">
      <c r="A324" s="1" t="s">
        <v>12</v>
      </c>
      <c r="B324" s="1" t="s">
        <v>13</v>
      </c>
      <c r="C324" s="2" t="s">
        <v>14</v>
      </c>
      <c r="D324" s="1" t="s">
        <v>31</v>
      </c>
      <c r="E324" s="1" t="s">
        <v>32</v>
      </c>
      <c r="F324" s="1" t="s">
        <v>33</v>
      </c>
      <c r="G324" s="3">
        <v>5250</v>
      </c>
      <c r="H324" s="19">
        <v>45441</v>
      </c>
      <c r="I324" s="3" t="s">
        <v>93</v>
      </c>
      <c r="J324" s="3" t="s">
        <v>34</v>
      </c>
      <c r="K324" s="1">
        <v>352401531</v>
      </c>
      <c r="L324" s="6" t="s">
        <v>69</v>
      </c>
    </row>
    <row r="325" spans="1:12" customFormat="1" ht="14.4" x14ac:dyDescent="0.3">
      <c r="A325" s="1" t="s">
        <v>12</v>
      </c>
      <c r="B325" s="1" t="s">
        <v>13</v>
      </c>
      <c r="C325" s="2" t="s">
        <v>14</v>
      </c>
      <c r="D325" s="1" t="s">
        <v>70</v>
      </c>
      <c r="E325" s="1" t="s">
        <v>71</v>
      </c>
      <c r="F325" s="1" t="s">
        <v>72</v>
      </c>
      <c r="G325" s="3">
        <v>5000</v>
      </c>
      <c r="H325" s="19">
        <v>45441</v>
      </c>
      <c r="I325" s="3" t="s">
        <v>83</v>
      </c>
      <c r="J325" s="3" t="s">
        <v>84</v>
      </c>
      <c r="K325" s="1">
        <v>352401599</v>
      </c>
      <c r="L325" s="6" t="s">
        <v>164</v>
      </c>
    </row>
    <row r="326" spans="1:12" customFormat="1" ht="14.4" x14ac:dyDescent="0.3">
      <c r="A326" s="1" t="s">
        <v>12</v>
      </c>
      <c r="B326" s="1" t="s">
        <v>13</v>
      </c>
      <c r="C326" s="2" t="s">
        <v>14</v>
      </c>
      <c r="D326" s="1" t="s">
        <v>73</v>
      </c>
      <c r="E326" s="1" t="s">
        <v>89</v>
      </c>
      <c r="F326" s="1" t="s">
        <v>74</v>
      </c>
      <c r="G326" s="3">
        <v>5000</v>
      </c>
      <c r="H326" s="19">
        <v>45441</v>
      </c>
      <c r="I326" s="3" t="s">
        <v>90</v>
      </c>
      <c r="J326" s="3" t="s">
        <v>76</v>
      </c>
      <c r="K326" s="1">
        <v>352401559</v>
      </c>
      <c r="L326" s="6" t="s">
        <v>164</v>
      </c>
    </row>
    <row r="327" spans="1:12" customFormat="1" ht="14.4" x14ac:dyDescent="0.3">
      <c r="A327" s="1" t="s">
        <v>12</v>
      </c>
      <c r="B327" s="1" t="s">
        <v>13</v>
      </c>
      <c r="C327" s="2" t="s">
        <v>14</v>
      </c>
      <c r="D327" s="1" t="s">
        <v>41</v>
      </c>
      <c r="E327" s="1" t="s">
        <v>61</v>
      </c>
      <c r="F327" s="1" t="s">
        <v>62</v>
      </c>
      <c r="G327" s="3">
        <v>4750</v>
      </c>
      <c r="H327" s="19">
        <v>45441</v>
      </c>
      <c r="I327" s="3" t="s">
        <v>88</v>
      </c>
      <c r="J327" s="3" t="s">
        <v>59</v>
      </c>
      <c r="K327" s="1">
        <v>352401526</v>
      </c>
      <c r="L327" s="6" t="s">
        <v>24</v>
      </c>
    </row>
    <row r="328" spans="1:12" customFormat="1" ht="14.4" x14ac:dyDescent="0.3">
      <c r="A328" s="1" t="s">
        <v>12</v>
      </c>
      <c r="B328" s="1" t="s">
        <v>13</v>
      </c>
      <c r="C328" s="2" t="s">
        <v>14</v>
      </c>
      <c r="D328" s="1" t="s">
        <v>41</v>
      </c>
      <c r="E328" s="1" t="s">
        <v>42</v>
      </c>
      <c r="F328" s="1" t="s">
        <v>43</v>
      </c>
      <c r="G328" s="3">
        <v>4000</v>
      </c>
      <c r="H328" s="19">
        <v>45442</v>
      </c>
      <c r="I328" s="3" t="s">
        <v>87</v>
      </c>
      <c r="J328" s="3" t="s">
        <v>45</v>
      </c>
      <c r="K328" s="1">
        <v>352401620</v>
      </c>
      <c r="L328" s="6" t="s">
        <v>20</v>
      </c>
    </row>
    <row r="329" spans="1:12" customFormat="1" ht="14.4" x14ac:dyDescent="0.3">
      <c r="A329" s="1" t="s">
        <v>12</v>
      </c>
      <c r="B329" s="1" t="s">
        <v>13</v>
      </c>
      <c r="C329" s="2" t="s">
        <v>14</v>
      </c>
      <c r="D329" s="1" t="s">
        <v>64</v>
      </c>
      <c r="E329" s="1" t="s">
        <v>65</v>
      </c>
      <c r="F329" s="1" t="s">
        <v>66</v>
      </c>
      <c r="G329" s="3">
        <v>5250</v>
      </c>
      <c r="H329" s="19">
        <v>45442</v>
      </c>
      <c r="I329" s="3" t="s">
        <v>101</v>
      </c>
      <c r="J329" s="3" t="s">
        <v>68</v>
      </c>
      <c r="K329" s="1">
        <v>352401626</v>
      </c>
      <c r="L329" s="6" t="s">
        <v>69</v>
      </c>
    </row>
    <row r="330" spans="1:12" customFormat="1" ht="14.4" x14ac:dyDescent="0.3">
      <c r="A330" s="1" t="s">
        <v>12</v>
      </c>
      <c r="B330" s="1" t="s">
        <v>13</v>
      </c>
      <c r="C330" s="2" t="s">
        <v>14</v>
      </c>
      <c r="D330" s="1" t="s">
        <v>31</v>
      </c>
      <c r="E330" s="1" t="s">
        <v>32</v>
      </c>
      <c r="F330" s="1" t="s">
        <v>33</v>
      </c>
      <c r="G330" s="3">
        <v>5250</v>
      </c>
      <c r="H330" s="19">
        <v>45442</v>
      </c>
      <c r="I330" s="3" t="s">
        <v>78</v>
      </c>
      <c r="J330" s="3" t="s">
        <v>79</v>
      </c>
      <c r="K330" s="1">
        <v>352401600</v>
      </c>
      <c r="L330" s="6" t="s">
        <v>69</v>
      </c>
    </row>
    <row r="331" spans="1:12" customFormat="1" ht="14.4" x14ac:dyDescent="0.3">
      <c r="A331" s="1" t="s">
        <v>12</v>
      </c>
      <c r="B331" s="1" t="s">
        <v>13</v>
      </c>
      <c r="C331" s="2" t="s">
        <v>14</v>
      </c>
      <c r="D331" s="8" t="s">
        <v>104</v>
      </c>
      <c r="E331" s="9">
        <v>309023553967</v>
      </c>
      <c r="F331" s="1" t="s">
        <v>105</v>
      </c>
      <c r="G331" s="3">
        <v>5250</v>
      </c>
      <c r="H331" s="19">
        <v>45442</v>
      </c>
      <c r="I331" s="3" t="s">
        <v>91</v>
      </c>
      <c r="J331" s="3" t="s">
        <v>22</v>
      </c>
      <c r="K331" s="1">
        <v>352401560</v>
      </c>
      <c r="L331" s="6" t="s">
        <v>69</v>
      </c>
    </row>
    <row r="332" spans="1:12" customFormat="1" ht="14.4" x14ac:dyDescent="0.3">
      <c r="A332" s="1" t="s">
        <v>12</v>
      </c>
      <c r="B332" s="1" t="s">
        <v>13</v>
      </c>
      <c r="C332" s="2" t="s">
        <v>14</v>
      </c>
      <c r="D332" s="3" t="s">
        <v>149</v>
      </c>
      <c r="E332" s="18">
        <v>50100624324501</v>
      </c>
      <c r="F332" s="3" t="s">
        <v>150</v>
      </c>
      <c r="G332" s="3">
        <v>5250</v>
      </c>
      <c r="H332" s="19">
        <v>45442</v>
      </c>
      <c r="I332" s="3" t="s">
        <v>77</v>
      </c>
      <c r="J332" s="3" t="s">
        <v>29</v>
      </c>
      <c r="K332" s="1">
        <v>352401598</v>
      </c>
      <c r="L332" s="6" t="s">
        <v>69</v>
      </c>
    </row>
    <row r="333" spans="1:12" customFormat="1" ht="14.4" x14ac:dyDescent="0.3">
      <c r="A333" s="1" t="s">
        <v>12</v>
      </c>
      <c r="B333" s="1" t="s">
        <v>13</v>
      </c>
      <c r="C333" s="2" t="s">
        <v>14</v>
      </c>
      <c r="D333" s="1" t="s">
        <v>36</v>
      </c>
      <c r="E333" s="1" t="s">
        <v>37</v>
      </c>
      <c r="F333" s="1" t="s">
        <v>38</v>
      </c>
      <c r="G333" s="3">
        <v>5250</v>
      </c>
      <c r="H333" s="19">
        <v>45442</v>
      </c>
      <c r="I333" s="3" t="s">
        <v>92</v>
      </c>
      <c r="J333" s="3" t="s">
        <v>40</v>
      </c>
      <c r="K333" s="1">
        <v>352401605</v>
      </c>
      <c r="L333" s="6" t="s">
        <v>69</v>
      </c>
    </row>
    <row r="334" spans="1:12" customFormat="1" ht="14.4" x14ac:dyDescent="0.3">
      <c r="A334" s="1" t="s">
        <v>12</v>
      </c>
      <c r="B334" s="1" t="s">
        <v>13</v>
      </c>
      <c r="C334" s="2" t="s">
        <v>14</v>
      </c>
      <c r="D334" s="1" t="s">
        <v>70</v>
      </c>
      <c r="E334" s="1" t="s">
        <v>71</v>
      </c>
      <c r="F334" s="1" t="s">
        <v>72</v>
      </c>
      <c r="G334" s="3">
        <v>5250</v>
      </c>
      <c r="H334" s="19">
        <v>45442</v>
      </c>
      <c r="I334" s="3" t="s">
        <v>83</v>
      </c>
      <c r="J334" s="3" t="s">
        <v>84</v>
      </c>
      <c r="K334" s="1">
        <v>352401599</v>
      </c>
      <c r="L334" s="6" t="s">
        <v>69</v>
      </c>
    </row>
    <row r="335" spans="1:12" customFormat="1" ht="14.4" x14ac:dyDescent="0.3">
      <c r="A335" s="1" t="s">
        <v>12</v>
      </c>
      <c r="B335" s="1" t="s">
        <v>13</v>
      </c>
      <c r="C335" s="2" t="s">
        <v>14</v>
      </c>
      <c r="D335" s="1" t="s">
        <v>15</v>
      </c>
      <c r="E335" s="1" t="s">
        <v>16</v>
      </c>
      <c r="F335" s="1" t="s">
        <v>17</v>
      </c>
      <c r="G335" s="3">
        <v>4000</v>
      </c>
      <c r="H335" s="19">
        <v>45443</v>
      </c>
      <c r="I335" s="3" t="s">
        <v>85</v>
      </c>
      <c r="J335" s="3" t="s">
        <v>19</v>
      </c>
      <c r="K335" s="1">
        <v>352401676</v>
      </c>
      <c r="L335" s="6" t="s">
        <v>20</v>
      </c>
    </row>
    <row r="336" spans="1:12" customFormat="1" ht="14.4" x14ac:dyDescent="0.3">
      <c r="A336" s="1" t="s">
        <v>12</v>
      </c>
      <c r="B336" s="1" t="s">
        <v>13</v>
      </c>
      <c r="C336" s="2" t="s">
        <v>14</v>
      </c>
      <c r="D336" s="3" t="s">
        <v>149</v>
      </c>
      <c r="E336" s="18">
        <v>50100624324501</v>
      </c>
      <c r="F336" s="3" t="s">
        <v>150</v>
      </c>
      <c r="G336" s="3">
        <v>5250</v>
      </c>
      <c r="H336" s="19">
        <v>45443</v>
      </c>
      <c r="I336" s="3" t="s">
        <v>93</v>
      </c>
      <c r="J336" s="3" t="s">
        <v>34</v>
      </c>
      <c r="K336" s="6">
        <v>352401669</v>
      </c>
      <c r="L336" s="6" t="s">
        <v>69</v>
      </c>
    </row>
    <row r="337" spans="1:12" customFormat="1" ht="14.4" x14ac:dyDescent="0.3">
      <c r="A337" s="1" t="s">
        <v>12</v>
      </c>
      <c r="B337" s="1" t="s">
        <v>13</v>
      </c>
      <c r="C337" s="2" t="s">
        <v>14</v>
      </c>
      <c r="D337" s="1" t="s">
        <v>152</v>
      </c>
      <c r="E337" s="1" t="s">
        <v>153</v>
      </c>
      <c r="F337" s="1" t="s">
        <v>154</v>
      </c>
      <c r="G337" s="3">
        <v>500</v>
      </c>
      <c r="H337" s="19">
        <v>45443</v>
      </c>
      <c r="I337" s="3" t="s">
        <v>155</v>
      </c>
      <c r="J337" s="3" t="s">
        <v>156</v>
      </c>
      <c r="K337" s="1">
        <v>352401678</v>
      </c>
      <c r="L337" s="6" t="s">
        <v>158</v>
      </c>
    </row>
    <row r="338" spans="1:12" customFormat="1" ht="14.4" x14ac:dyDescent="0.3">
      <c r="A338" s="1" t="s">
        <v>12</v>
      </c>
      <c r="B338" s="1" t="s">
        <v>13</v>
      </c>
      <c r="C338" s="2" t="s">
        <v>14</v>
      </c>
      <c r="D338" s="1" t="s">
        <v>80</v>
      </c>
      <c r="E338" s="1" t="s">
        <v>81</v>
      </c>
      <c r="F338" s="1" t="s">
        <v>82</v>
      </c>
      <c r="G338" s="3">
        <v>5250</v>
      </c>
      <c r="H338" s="19">
        <v>45443</v>
      </c>
      <c r="I338" s="3" t="s">
        <v>117</v>
      </c>
      <c r="J338" s="3" t="s">
        <v>118</v>
      </c>
      <c r="K338" s="1">
        <v>352401627</v>
      </c>
      <c r="L338" s="6" t="s">
        <v>69</v>
      </c>
    </row>
    <row r="339" spans="1:12" customFormat="1" ht="14.4" x14ac:dyDescent="0.3">
      <c r="A339" s="1" t="s">
        <v>12</v>
      </c>
      <c r="B339" s="1" t="s">
        <v>13</v>
      </c>
      <c r="C339" s="2" t="s">
        <v>14</v>
      </c>
      <c r="D339" s="1" t="s">
        <v>73</v>
      </c>
      <c r="E339" s="1" t="s">
        <v>89</v>
      </c>
      <c r="F339" s="1" t="s">
        <v>74</v>
      </c>
      <c r="G339" s="3">
        <v>5250</v>
      </c>
      <c r="H339" s="19">
        <v>45443</v>
      </c>
      <c r="I339" s="3" t="s">
        <v>90</v>
      </c>
      <c r="J339" s="3" t="s">
        <v>76</v>
      </c>
      <c r="K339" s="1">
        <v>352401628</v>
      </c>
      <c r="L339" s="6" t="s">
        <v>69</v>
      </c>
    </row>
    <row r="340" spans="1:12" customFormat="1" ht="14.4" x14ac:dyDescent="0.3">
      <c r="A340" s="1" t="s">
        <v>12</v>
      </c>
      <c r="B340" s="1" t="s">
        <v>13</v>
      </c>
      <c r="C340" s="2" t="s">
        <v>14</v>
      </c>
      <c r="D340" s="3" t="s">
        <v>149</v>
      </c>
      <c r="E340" s="18">
        <v>50100624324501</v>
      </c>
      <c r="F340" s="3" t="s">
        <v>150</v>
      </c>
      <c r="G340" s="3">
        <v>5250</v>
      </c>
      <c r="H340" s="19">
        <v>45443</v>
      </c>
      <c r="I340" s="3" t="s">
        <v>77</v>
      </c>
      <c r="J340" s="3" t="s">
        <v>29</v>
      </c>
      <c r="K340" s="1">
        <v>352401668</v>
      </c>
      <c r="L340" s="6" t="s">
        <v>69</v>
      </c>
    </row>
    <row r="341" spans="1:12" customFormat="1" ht="14.4" x14ac:dyDescent="0.3">
      <c r="A341" s="1" t="s">
        <v>12</v>
      </c>
      <c r="B341" s="1" t="s">
        <v>13</v>
      </c>
      <c r="C341" s="2" t="s">
        <v>14</v>
      </c>
      <c r="D341" s="1" t="s">
        <v>70</v>
      </c>
      <c r="E341" s="1" t="s">
        <v>71</v>
      </c>
      <c r="F341" s="1" t="s">
        <v>72</v>
      </c>
      <c r="G341" s="3">
        <v>5250</v>
      </c>
      <c r="H341" s="19">
        <v>45443</v>
      </c>
      <c r="I341" s="3" t="s">
        <v>83</v>
      </c>
      <c r="J341" s="3" t="s">
        <v>84</v>
      </c>
      <c r="K341" s="1">
        <v>352401665</v>
      </c>
      <c r="L341" s="6" t="s">
        <v>69</v>
      </c>
    </row>
    <row r="342" spans="1:12" customFormat="1" ht="14.4" x14ac:dyDescent="0.3">
      <c r="A342" s="1" t="s">
        <v>12</v>
      </c>
      <c r="B342" s="1" t="s">
        <v>13</v>
      </c>
      <c r="C342" s="2" t="s">
        <v>14</v>
      </c>
      <c r="D342" s="3" t="s">
        <v>149</v>
      </c>
      <c r="E342" s="18">
        <v>50100624324501</v>
      </c>
      <c r="F342" s="3" t="s">
        <v>150</v>
      </c>
      <c r="G342" s="3">
        <v>5250</v>
      </c>
      <c r="H342" s="19">
        <v>45443</v>
      </c>
      <c r="I342" s="3" t="s">
        <v>93</v>
      </c>
      <c r="J342" s="3" t="s">
        <v>34</v>
      </c>
      <c r="K342" s="6">
        <v>352401629</v>
      </c>
      <c r="L342" s="6" t="s">
        <v>69</v>
      </c>
    </row>
    <row r="343" spans="1:12" customFormat="1" ht="14.4" x14ac:dyDescent="0.3">
      <c r="A343" s="1" t="s">
        <v>12</v>
      </c>
      <c r="B343" s="1" t="s">
        <v>13</v>
      </c>
      <c r="C343" s="2" t="s">
        <v>14</v>
      </c>
      <c r="D343" s="1" t="s">
        <v>31</v>
      </c>
      <c r="E343" s="1" t="s">
        <v>32</v>
      </c>
      <c r="F343" s="1" t="s">
        <v>33</v>
      </c>
      <c r="G343" s="3">
        <v>5250</v>
      </c>
      <c r="H343" s="19">
        <v>45443</v>
      </c>
      <c r="I343" s="3" t="s">
        <v>78</v>
      </c>
      <c r="J343" s="3" t="s">
        <v>79</v>
      </c>
      <c r="K343" s="6">
        <v>352401666</v>
      </c>
      <c r="L343" s="6" t="s">
        <v>69</v>
      </c>
    </row>
    <row r="344" spans="1:12" customFormat="1" ht="14.4" x14ac:dyDescent="0.3">
      <c r="A344" s="1" t="s">
        <v>12</v>
      </c>
      <c r="B344" s="1" t="s">
        <v>13</v>
      </c>
      <c r="C344" s="2" t="s">
        <v>14</v>
      </c>
      <c r="D344" s="1" t="s">
        <v>64</v>
      </c>
      <c r="E344" s="1" t="s">
        <v>65</v>
      </c>
      <c r="F344" s="1" t="s">
        <v>66</v>
      </c>
      <c r="G344" s="3">
        <v>5250</v>
      </c>
      <c r="H344" s="19">
        <v>45443</v>
      </c>
      <c r="I344" s="3" t="s">
        <v>101</v>
      </c>
      <c r="J344" s="3" t="s">
        <v>68</v>
      </c>
      <c r="K344" s="6">
        <v>352401664</v>
      </c>
      <c r="L344" s="6" t="s">
        <v>69</v>
      </c>
    </row>
    <row r="345" spans="1:12" customFormat="1" ht="14.4" x14ac:dyDescent="0.3">
      <c r="A345" s="1" t="s">
        <v>12</v>
      </c>
      <c r="B345" s="1" t="s">
        <v>13</v>
      </c>
      <c r="C345" s="2" t="s">
        <v>14</v>
      </c>
      <c r="D345" s="1" t="s">
        <v>15</v>
      </c>
      <c r="E345" s="1" t="s">
        <v>16</v>
      </c>
      <c r="F345" s="1" t="s">
        <v>17</v>
      </c>
      <c r="G345" s="3">
        <v>4000</v>
      </c>
      <c r="H345" s="19">
        <v>45444</v>
      </c>
      <c r="I345" s="3" t="s">
        <v>85</v>
      </c>
      <c r="J345" s="3" t="s">
        <v>19</v>
      </c>
      <c r="K345" s="1">
        <v>352401676</v>
      </c>
      <c r="L345" s="6" t="s">
        <v>20</v>
      </c>
    </row>
    <row r="346" spans="1:12" customFormat="1" ht="14.4" x14ac:dyDescent="0.3">
      <c r="A346" s="1" t="s">
        <v>12</v>
      </c>
      <c r="B346" s="1" t="s">
        <v>13</v>
      </c>
      <c r="C346" s="2" t="s">
        <v>14</v>
      </c>
      <c r="D346" s="1" t="s">
        <v>41</v>
      </c>
      <c r="E346" s="1" t="s">
        <v>42</v>
      </c>
      <c r="F346" s="1" t="s">
        <v>43</v>
      </c>
      <c r="G346" s="3">
        <v>4000</v>
      </c>
      <c r="H346" s="19">
        <v>45444</v>
      </c>
      <c r="I346" s="3" t="s">
        <v>87</v>
      </c>
      <c r="J346" s="3" t="s">
        <v>45</v>
      </c>
      <c r="K346" s="1">
        <v>352401663</v>
      </c>
      <c r="L346" s="6" t="s">
        <v>20</v>
      </c>
    </row>
    <row r="347" spans="1:12" customFormat="1" ht="14.4" x14ac:dyDescent="0.3">
      <c r="A347" s="1" t="s">
        <v>12</v>
      </c>
      <c r="B347" s="1" t="s">
        <v>13</v>
      </c>
      <c r="C347" s="2" t="s">
        <v>14</v>
      </c>
      <c r="D347" s="1" t="s">
        <v>36</v>
      </c>
      <c r="E347" s="1" t="s">
        <v>37</v>
      </c>
      <c r="F347" s="1" t="s">
        <v>38</v>
      </c>
      <c r="G347" s="3">
        <v>5000</v>
      </c>
      <c r="H347" s="19">
        <v>45444</v>
      </c>
      <c r="I347" s="3" t="s">
        <v>92</v>
      </c>
      <c r="J347" s="3" t="s">
        <v>40</v>
      </c>
      <c r="K347" s="1">
        <v>352401667</v>
      </c>
      <c r="L347" s="6" t="s">
        <v>35</v>
      </c>
    </row>
    <row r="348" spans="1:12" customFormat="1" ht="14.4" x14ac:dyDescent="0.3">
      <c r="A348" s="1" t="s">
        <v>12</v>
      </c>
      <c r="B348" s="1" t="s">
        <v>13</v>
      </c>
      <c r="C348" s="2" t="s">
        <v>14</v>
      </c>
      <c r="D348" s="1" t="s">
        <v>152</v>
      </c>
      <c r="E348" s="1" t="s">
        <v>153</v>
      </c>
      <c r="F348" s="1" t="s">
        <v>154</v>
      </c>
      <c r="G348" s="3">
        <v>500</v>
      </c>
      <c r="H348" s="19">
        <v>45444</v>
      </c>
      <c r="I348" s="3" t="s">
        <v>155</v>
      </c>
      <c r="J348" s="3" t="s">
        <v>156</v>
      </c>
      <c r="K348" s="1">
        <v>352401705</v>
      </c>
      <c r="L348" s="6" t="s">
        <v>165</v>
      </c>
    </row>
    <row r="349" spans="1:12" customFormat="1" ht="14.4" x14ac:dyDescent="0.3">
      <c r="A349" s="1" t="s">
        <v>12</v>
      </c>
      <c r="B349" s="1" t="s">
        <v>13</v>
      </c>
      <c r="C349" s="2" t="s">
        <v>14</v>
      </c>
      <c r="D349" s="1" t="s">
        <v>15</v>
      </c>
      <c r="E349" s="1" t="s">
        <v>16</v>
      </c>
      <c r="F349" s="1" t="s">
        <v>17</v>
      </c>
      <c r="G349" s="3">
        <v>4000</v>
      </c>
      <c r="H349" s="19">
        <v>45446</v>
      </c>
      <c r="I349" s="3" t="s">
        <v>85</v>
      </c>
      <c r="J349" s="3" t="s">
        <v>19</v>
      </c>
      <c r="K349" s="1">
        <v>352401721</v>
      </c>
      <c r="L349" s="6" t="s">
        <v>166</v>
      </c>
    </row>
    <row r="350" spans="1:12" customFormat="1" ht="14.4" x14ac:dyDescent="0.3">
      <c r="A350" s="1" t="s">
        <v>12</v>
      </c>
      <c r="B350" s="1" t="s">
        <v>13</v>
      </c>
      <c r="C350" s="2" t="s">
        <v>14</v>
      </c>
      <c r="D350" s="1" t="s">
        <v>41</v>
      </c>
      <c r="E350" s="1" t="s">
        <v>42</v>
      </c>
      <c r="F350" s="1" t="s">
        <v>43</v>
      </c>
      <c r="G350" s="3">
        <v>4000</v>
      </c>
      <c r="H350" s="19">
        <v>45446</v>
      </c>
      <c r="I350" s="3" t="s">
        <v>87</v>
      </c>
      <c r="J350" s="3" t="s">
        <v>45</v>
      </c>
      <c r="K350" s="1">
        <v>352401720</v>
      </c>
      <c r="L350" s="6" t="s">
        <v>20</v>
      </c>
    </row>
    <row r="351" spans="1:12" customFormat="1" ht="14.4" x14ac:dyDescent="0.3">
      <c r="A351" s="1" t="s">
        <v>12</v>
      </c>
      <c r="B351" s="1" t="s">
        <v>13</v>
      </c>
      <c r="C351" s="2" t="s">
        <v>14</v>
      </c>
      <c r="D351" s="1" t="s">
        <v>15</v>
      </c>
      <c r="E351" s="1" t="s">
        <v>16</v>
      </c>
      <c r="F351" s="1" t="s">
        <v>17</v>
      </c>
      <c r="G351" s="3">
        <v>4000</v>
      </c>
      <c r="H351" s="19">
        <v>45447</v>
      </c>
      <c r="I351" s="3" t="s">
        <v>85</v>
      </c>
      <c r="J351" s="3" t="s">
        <v>19</v>
      </c>
      <c r="K351" s="1">
        <v>352401754</v>
      </c>
      <c r="L351" s="6" t="s">
        <v>20</v>
      </c>
    </row>
    <row r="352" spans="1:12" customFormat="1" ht="14.4" x14ac:dyDescent="0.3">
      <c r="A352" s="1" t="s">
        <v>12</v>
      </c>
      <c r="B352" s="1" t="s">
        <v>13</v>
      </c>
      <c r="C352" s="2" t="s">
        <v>14</v>
      </c>
      <c r="D352" s="1" t="s">
        <v>41</v>
      </c>
      <c r="E352" s="1" t="s">
        <v>42</v>
      </c>
      <c r="F352" s="1" t="s">
        <v>43</v>
      </c>
      <c r="G352" s="3">
        <v>4000</v>
      </c>
      <c r="H352" s="19">
        <v>45447</v>
      </c>
      <c r="I352" s="3" t="s">
        <v>87</v>
      </c>
      <c r="J352" s="3" t="s">
        <v>45</v>
      </c>
      <c r="K352" s="1">
        <v>352401756</v>
      </c>
      <c r="L352" s="6" t="s">
        <v>20</v>
      </c>
    </row>
    <row r="353" spans="1:12" customFormat="1" ht="14.4" x14ac:dyDescent="0.3">
      <c r="A353" s="1" t="s">
        <v>12</v>
      </c>
      <c r="B353" s="1" t="s">
        <v>13</v>
      </c>
      <c r="C353" s="2" t="s">
        <v>14</v>
      </c>
      <c r="D353" s="8" t="s">
        <v>104</v>
      </c>
      <c r="E353" s="9">
        <v>309023553967</v>
      </c>
      <c r="F353" s="1" t="s">
        <v>105</v>
      </c>
      <c r="G353" s="3">
        <v>4750</v>
      </c>
      <c r="H353" s="19">
        <v>45447</v>
      </c>
      <c r="I353" s="3" t="s">
        <v>91</v>
      </c>
      <c r="J353" s="3" t="s">
        <v>22</v>
      </c>
      <c r="K353" s="1">
        <v>352401680</v>
      </c>
      <c r="L353" s="6" t="s">
        <v>24</v>
      </c>
    </row>
    <row r="354" spans="1:12" customFormat="1" ht="14.4" x14ac:dyDescent="0.3">
      <c r="A354" s="1" t="s">
        <v>12</v>
      </c>
      <c r="B354" s="1" t="s">
        <v>13</v>
      </c>
      <c r="C354" s="2" t="s">
        <v>14</v>
      </c>
      <c r="D354" s="1" t="s">
        <v>73</v>
      </c>
      <c r="E354" s="1" t="s">
        <v>89</v>
      </c>
      <c r="F354" s="1" t="s">
        <v>74</v>
      </c>
      <c r="G354" s="3">
        <v>5000</v>
      </c>
      <c r="H354" s="19">
        <v>45447</v>
      </c>
      <c r="I354" s="3" t="s">
        <v>90</v>
      </c>
      <c r="J354" s="3" t="s">
        <v>76</v>
      </c>
      <c r="K354" s="1">
        <v>352401696</v>
      </c>
      <c r="L354" s="6" t="s">
        <v>35</v>
      </c>
    </row>
    <row r="355" spans="1:12" customFormat="1" ht="14.4" x14ac:dyDescent="0.3">
      <c r="A355" s="1" t="s">
        <v>12</v>
      </c>
      <c r="B355" s="1" t="s">
        <v>13</v>
      </c>
      <c r="C355" s="2" t="s">
        <v>14</v>
      </c>
      <c r="D355" s="1" t="s">
        <v>15</v>
      </c>
      <c r="E355" s="1" t="s">
        <v>16</v>
      </c>
      <c r="F355" s="1" t="s">
        <v>17</v>
      </c>
      <c r="G355" s="3">
        <v>4000</v>
      </c>
      <c r="H355" s="19">
        <v>45448</v>
      </c>
      <c r="I355" s="3" t="s">
        <v>85</v>
      </c>
      <c r="J355" s="3" t="s">
        <v>19</v>
      </c>
      <c r="K355" s="1">
        <v>352401780</v>
      </c>
      <c r="L355" s="6" t="s">
        <v>20</v>
      </c>
    </row>
    <row r="356" spans="1:12" customFormat="1" ht="14.4" x14ac:dyDescent="0.3">
      <c r="A356" s="1" t="s">
        <v>12</v>
      </c>
      <c r="B356" s="1" t="s">
        <v>13</v>
      </c>
      <c r="C356" s="2" t="s">
        <v>14</v>
      </c>
      <c r="D356" s="1" t="s">
        <v>41</v>
      </c>
      <c r="E356" s="1" t="s">
        <v>42</v>
      </c>
      <c r="F356" s="1" t="s">
        <v>43</v>
      </c>
      <c r="G356" s="3">
        <v>4000</v>
      </c>
      <c r="H356" s="19">
        <v>45448</v>
      </c>
      <c r="I356" s="3" t="s">
        <v>87</v>
      </c>
      <c r="J356" s="3" t="s">
        <v>45</v>
      </c>
      <c r="K356" s="1">
        <v>352401782</v>
      </c>
      <c r="L356" s="6" t="s">
        <v>60</v>
      </c>
    </row>
    <row r="357" spans="1:12" customFormat="1" ht="14.4" x14ac:dyDescent="0.3">
      <c r="A357" s="1" t="s">
        <v>12</v>
      </c>
      <c r="B357" s="1" t="s">
        <v>13</v>
      </c>
      <c r="C357" s="2" t="s">
        <v>14</v>
      </c>
      <c r="D357" s="3" t="s">
        <v>149</v>
      </c>
      <c r="E357" s="18">
        <v>50100624324501</v>
      </c>
      <c r="F357" s="3" t="s">
        <v>150</v>
      </c>
      <c r="G357" s="3">
        <v>5000</v>
      </c>
      <c r="H357" s="19">
        <v>45448</v>
      </c>
      <c r="I357" s="3" t="s">
        <v>77</v>
      </c>
      <c r="J357" s="3" t="s">
        <v>29</v>
      </c>
      <c r="K357" s="1">
        <v>352401697</v>
      </c>
      <c r="L357" s="6" t="s">
        <v>35</v>
      </c>
    </row>
    <row r="358" spans="1:12" customFormat="1" ht="14.4" x14ac:dyDescent="0.3">
      <c r="A358" s="1" t="s">
        <v>12</v>
      </c>
      <c r="B358" s="1" t="s">
        <v>13</v>
      </c>
      <c r="C358" s="2" t="s">
        <v>14</v>
      </c>
      <c r="D358" s="1" t="s">
        <v>70</v>
      </c>
      <c r="E358" s="1" t="s">
        <v>71</v>
      </c>
      <c r="F358" s="1" t="s">
        <v>72</v>
      </c>
      <c r="G358" s="3">
        <v>4750</v>
      </c>
      <c r="H358" s="19">
        <v>45448</v>
      </c>
      <c r="I358" s="3" t="s">
        <v>83</v>
      </c>
      <c r="J358" s="3" t="s">
        <v>84</v>
      </c>
      <c r="K358" s="1">
        <v>352401699</v>
      </c>
      <c r="L358" s="6" t="s">
        <v>139</v>
      </c>
    </row>
    <row r="359" spans="1:12" customFormat="1" ht="14.4" x14ac:dyDescent="0.3">
      <c r="A359" s="1" t="s">
        <v>12</v>
      </c>
      <c r="B359" s="1" t="s">
        <v>13</v>
      </c>
      <c r="C359" s="2" t="s">
        <v>14</v>
      </c>
      <c r="D359" s="1" t="s">
        <v>152</v>
      </c>
      <c r="E359" s="1" t="s">
        <v>153</v>
      </c>
      <c r="F359" s="1" t="s">
        <v>154</v>
      </c>
      <c r="G359" s="3">
        <v>500</v>
      </c>
      <c r="H359" s="19">
        <v>45448</v>
      </c>
      <c r="I359" s="3" t="s">
        <v>155</v>
      </c>
      <c r="J359" s="3" t="s">
        <v>156</v>
      </c>
      <c r="K359" s="1">
        <v>352401771</v>
      </c>
      <c r="L359" s="6" t="s">
        <v>167</v>
      </c>
    </row>
    <row r="360" spans="1:12" customFormat="1" ht="14.4" x14ac:dyDescent="0.3">
      <c r="A360" s="1" t="s">
        <v>12</v>
      </c>
      <c r="B360" s="1" t="s">
        <v>13</v>
      </c>
      <c r="C360" s="2" t="s">
        <v>14</v>
      </c>
      <c r="D360" s="1" t="s">
        <v>41</v>
      </c>
      <c r="E360" s="1" t="s">
        <v>42</v>
      </c>
      <c r="F360" s="1" t="s">
        <v>43</v>
      </c>
      <c r="G360" s="3">
        <v>2000</v>
      </c>
      <c r="H360" s="19">
        <v>45449</v>
      </c>
      <c r="I360" s="3" t="s">
        <v>87</v>
      </c>
      <c r="J360" s="3" t="s">
        <v>45</v>
      </c>
      <c r="K360" s="1">
        <v>352401801</v>
      </c>
      <c r="L360" s="6" t="s">
        <v>168</v>
      </c>
    </row>
    <row r="361" spans="1:12" customFormat="1" ht="14.4" x14ac:dyDescent="0.3">
      <c r="A361" s="1" t="s">
        <v>12</v>
      </c>
      <c r="B361" s="1" t="s">
        <v>13</v>
      </c>
      <c r="C361" s="2" t="s">
        <v>14</v>
      </c>
      <c r="D361" s="1" t="s">
        <v>41</v>
      </c>
      <c r="E361" s="1" t="s">
        <v>42</v>
      </c>
      <c r="F361" s="1" t="s">
        <v>43</v>
      </c>
      <c r="G361" s="3">
        <v>4000</v>
      </c>
      <c r="H361" s="19">
        <v>45449</v>
      </c>
      <c r="I361" s="3" t="s">
        <v>87</v>
      </c>
      <c r="J361" s="3" t="s">
        <v>45</v>
      </c>
      <c r="K361" s="1">
        <v>352401819</v>
      </c>
      <c r="L361" s="6" t="s">
        <v>20</v>
      </c>
    </row>
    <row r="362" spans="1:12" customFormat="1" ht="14.4" x14ac:dyDescent="0.3">
      <c r="A362" s="1" t="s">
        <v>12</v>
      </c>
      <c r="B362" s="1" t="s">
        <v>13</v>
      </c>
      <c r="C362" s="2" t="s">
        <v>14</v>
      </c>
      <c r="D362" s="1" t="s">
        <v>31</v>
      </c>
      <c r="E362" s="1" t="s">
        <v>32</v>
      </c>
      <c r="F362" s="1" t="s">
        <v>33</v>
      </c>
      <c r="G362" s="3">
        <v>3900</v>
      </c>
      <c r="H362" s="19">
        <v>45449</v>
      </c>
      <c r="I362" s="3" t="s">
        <v>78</v>
      </c>
      <c r="J362" s="3" t="s">
        <v>79</v>
      </c>
      <c r="K362" s="6">
        <v>352401725</v>
      </c>
      <c r="L362" s="6" t="s">
        <v>141</v>
      </c>
    </row>
    <row r="363" spans="1:12" customFormat="1" ht="13.8" customHeight="1" x14ac:dyDescent="0.3">
      <c r="A363" s="1" t="s">
        <v>12</v>
      </c>
      <c r="B363" s="1" t="s">
        <v>13</v>
      </c>
      <c r="C363" s="2" t="s">
        <v>14</v>
      </c>
      <c r="D363" s="1" t="s">
        <v>41</v>
      </c>
      <c r="E363" s="1" t="s">
        <v>61</v>
      </c>
      <c r="F363" s="1" t="s">
        <v>62</v>
      </c>
      <c r="G363" s="3">
        <v>5000</v>
      </c>
      <c r="H363" s="19">
        <v>45449</v>
      </c>
      <c r="I363" s="3" t="s">
        <v>88</v>
      </c>
      <c r="J363" s="3" t="s">
        <v>59</v>
      </c>
      <c r="K363" s="1">
        <v>352401619</v>
      </c>
      <c r="L363" s="6" t="s">
        <v>35</v>
      </c>
    </row>
    <row r="364" spans="1:12" customFormat="1" ht="14.4" x14ac:dyDescent="0.3">
      <c r="A364" s="1" t="s">
        <v>12</v>
      </c>
      <c r="B364" s="1" t="s">
        <v>13</v>
      </c>
      <c r="C364" s="2" t="s">
        <v>14</v>
      </c>
      <c r="D364" s="1" t="s">
        <v>31</v>
      </c>
      <c r="E364" s="1" t="s">
        <v>32</v>
      </c>
      <c r="F364" s="1" t="s">
        <v>33</v>
      </c>
      <c r="G364" s="3">
        <v>3900</v>
      </c>
      <c r="H364" s="19">
        <v>45449</v>
      </c>
      <c r="I364" s="3" t="s">
        <v>93</v>
      </c>
      <c r="J364" s="3" t="s">
        <v>34</v>
      </c>
      <c r="K364" s="1">
        <v>352401698</v>
      </c>
      <c r="L364" s="6" t="s">
        <v>141</v>
      </c>
    </row>
    <row r="365" spans="1:12" customFormat="1" ht="14.4" x14ac:dyDescent="0.3">
      <c r="A365" s="1" t="s">
        <v>12</v>
      </c>
      <c r="B365" s="1" t="s">
        <v>13</v>
      </c>
      <c r="C365" s="2" t="s">
        <v>14</v>
      </c>
      <c r="D365" s="1" t="s">
        <v>15</v>
      </c>
      <c r="E365" s="1" t="s">
        <v>16</v>
      </c>
      <c r="F365" s="1" t="s">
        <v>17</v>
      </c>
      <c r="G365" s="3">
        <v>4000</v>
      </c>
      <c r="H365" s="19">
        <v>45450</v>
      </c>
      <c r="I365" s="3" t="s">
        <v>85</v>
      </c>
      <c r="J365" s="3" t="s">
        <v>19</v>
      </c>
      <c r="K365" s="1">
        <v>352401817</v>
      </c>
      <c r="L365" s="6" t="s">
        <v>20</v>
      </c>
    </row>
    <row r="366" spans="1:12" customFormat="1" ht="14.4" x14ac:dyDescent="0.3">
      <c r="A366" s="1" t="s">
        <v>12</v>
      </c>
      <c r="B366" s="1" t="s">
        <v>13</v>
      </c>
      <c r="C366" s="2" t="s">
        <v>14</v>
      </c>
      <c r="D366" s="1" t="s">
        <v>41</v>
      </c>
      <c r="E366" s="1" t="s">
        <v>42</v>
      </c>
      <c r="F366" s="1" t="s">
        <v>43</v>
      </c>
      <c r="G366" s="3">
        <v>4000</v>
      </c>
      <c r="H366" s="19">
        <v>45450</v>
      </c>
      <c r="I366" s="3" t="s">
        <v>87</v>
      </c>
      <c r="J366" s="3" t="s">
        <v>45</v>
      </c>
      <c r="K366" s="1">
        <v>352401841</v>
      </c>
      <c r="L366" s="6" t="s">
        <v>20</v>
      </c>
    </row>
    <row r="367" spans="1:12" customFormat="1" ht="14.4" x14ac:dyDescent="0.3">
      <c r="A367" s="1" t="s">
        <v>12</v>
      </c>
      <c r="B367" s="1" t="s">
        <v>13</v>
      </c>
      <c r="C367" s="2" t="s">
        <v>14</v>
      </c>
      <c r="D367" s="1" t="s">
        <v>64</v>
      </c>
      <c r="E367" s="1" t="s">
        <v>65</v>
      </c>
      <c r="F367" s="1" t="s">
        <v>66</v>
      </c>
      <c r="G367" s="3">
        <v>4750</v>
      </c>
      <c r="H367" s="19">
        <v>45450</v>
      </c>
      <c r="I367" s="3" t="s">
        <v>101</v>
      </c>
      <c r="J367" s="3" t="s">
        <v>68</v>
      </c>
      <c r="K367" s="6">
        <v>352401726</v>
      </c>
      <c r="L367" s="6" t="s">
        <v>24</v>
      </c>
    </row>
    <row r="368" spans="1:12" customFormat="1" ht="14.4" x14ac:dyDescent="0.3">
      <c r="A368" s="1" t="s">
        <v>12</v>
      </c>
      <c r="B368" s="1" t="s">
        <v>13</v>
      </c>
      <c r="C368" s="2" t="s">
        <v>14</v>
      </c>
      <c r="D368" s="1" t="s">
        <v>80</v>
      </c>
      <c r="E368" s="1" t="s">
        <v>81</v>
      </c>
      <c r="F368" s="1" t="s">
        <v>82</v>
      </c>
      <c r="G368" s="3">
        <v>5250</v>
      </c>
      <c r="H368" s="19">
        <v>45450</v>
      </c>
      <c r="I368" s="3" t="s">
        <v>117</v>
      </c>
      <c r="J368" s="3" t="s">
        <v>118</v>
      </c>
      <c r="K368" s="1">
        <v>352401695</v>
      </c>
      <c r="L368" s="6" t="s">
        <v>69</v>
      </c>
    </row>
    <row r="369" spans="1:12" customFormat="1" ht="14.4" x14ac:dyDescent="0.3">
      <c r="A369" s="1" t="s">
        <v>12</v>
      </c>
      <c r="B369" s="1" t="s">
        <v>13</v>
      </c>
      <c r="C369" s="2" t="s">
        <v>14</v>
      </c>
      <c r="D369" s="1" t="s">
        <v>36</v>
      </c>
      <c r="E369" s="1" t="s">
        <v>37</v>
      </c>
      <c r="F369" s="1" t="s">
        <v>38</v>
      </c>
      <c r="G369" s="3">
        <v>3750</v>
      </c>
      <c r="H369" s="19">
        <v>45450</v>
      </c>
      <c r="I369" s="3" t="s">
        <v>92</v>
      </c>
      <c r="J369" s="3" t="s">
        <v>40</v>
      </c>
      <c r="K369" s="1">
        <v>352401724</v>
      </c>
      <c r="L369" s="6" t="s">
        <v>69</v>
      </c>
    </row>
    <row r="370" spans="1:12" customFormat="1" ht="14.4" x14ac:dyDescent="0.3">
      <c r="A370" s="1" t="s">
        <v>12</v>
      </c>
      <c r="B370" s="1" t="s">
        <v>13</v>
      </c>
      <c r="C370" s="2" t="s">
        <v>14</v>
      </c>
      <c r="D370" s="1" t="s">
        <v>70</v>
      </c>
      <c r="E370" s="1" t="s">
        <v>71</v>
      </c>
      <c r="F370" s="1" t="s">
        <v>72</v>
      </c>
      <c r="G370" s="3">
        <v>1000</v>
      </c>
      <c r="H370" s="19">
        <v>45450</v>
      </c>
      <c r="I370" s="3" t="s">
        <v>83</v>
      </c>
      <c r="J370" s="3" t="s">
        <v>84</v>
      </c>
      <c r="K370" s="1">
        <v>352401699</v>
      </c>
      <c r="L370" s="6" t="s">
        <v>69</v>
      </c>
    </row>
    <row r="371" spans="1:12" customFormat="1" ht="14.4" x14ac:dyDescent="0.3">
      <c r="A371" s="1" t="s">
        <v>12</v>
      </c>
      <c r="B371" s="1" t="s">
        <v>13</v>
      </c>
      <c r="C371" s="2" t="s">
        <v>14</v>
      </c>
      <c r="D371" s="1" t="s">
        <v>73</v>
      </c>
      <c r="E371" s="1" t="s">
        <v>89</v>
      </c>
      <c r="F371" s="1" t="s">
        <v>74</v>
      </c>
      <c r="G371" s="3">
        <v>5250</v>
      </c>
      <c r="H371" s="19">
        <v>45450</v>
      </c>
      <c r="I371" s="3" t="s">
        <v>90</v>
      </c>
      <c r="J371" s="3" t="s">
        <v>76</v>
      </c>
      <c r="K371" s="1">
        <v>352401774</v>
      </c>
      <c r="L371" s="6" t="s">
        <v>69</v>
      </c>
    </row>
    <row r="372" spans="1:12" customFormat="1" ht="14.4" x14ac:dyDescent="0.3">
      <c r="A372" s="1" t="s">
        <v>12</v>
      </c>
      <c r="B372" s="1" t="s">
        <v>13</v>
      </c>
      <c r="C372" s="2" t="s">
        <v>14</v>
      </c>
      <c r="D372" s="1" t="s">
        <v>15</v>
      </c>
      <c r="E372" s="1" t="s">
        <v>16</v>
      </c>
      <c r="F372" s="1" t="s">
        <v>17</v>
      </c>
      <c r="G372" s="3">
        <v>4000</v>
      </c>
      <c r="H372" s="19">
        <v>45451</v>
      </c>
      <c r="I372" s="3" t="s">
        <v>85</v>
      </c>
      <c r="J372" s="3" t="s">
        <v>19</v>
      </c>
      <c r="K372" s="1">
        <v>352401874</v>
      </c>
      <c r="L372" s="6" t="s">
        <v>20</v>
      </c>
    </row>
    <row r="373" spans="1:12" customFormat="1" ht="14.4" x14ac:dyDescent="0.3">
      <c r="A373" s="1" t="s">
        <v>12</v>
      </c>
      <c r="B373" s="1" t="s">
        <v>13</v>
      </c>
      <c r="C373" s="2" t="s">
        <v>14</v>
      </c>
      <c r="D373" s="1" t="s">
        <v>41</v>
      </c>
      <c r="E373" s="1" t="s">
        <v>42</v>
      </c>
      <c r="F373" s="1" t="s">
        <v>43</v>
      </c>
      <c r="G373" s="3">
        <v>4000</v>
      </c>
      <c r="H373" s="19">
        <v>45451</v>
      </c>
      <c r="I373" s="3" t="s">
        <v>87</v>
      </c>
      <c r="J373" s="3" t="s">
        <v>45</v>
      </c>
      <c r="K373" s="1">
        <v>352401875</v>
      </c>
      <c r="L373" s="6" t="s">
        <v>20</v>
      </c>
    </row>
    <row r="374" spans="1:12" customFormat="1" ht="14.4" x14ac:dyDescent="0.3">
      <c r="A374" s="1" t="s">
        <v>12</v>
      </c>
      <c r="B374" s="1" t="s">
        <v>13</v>
      </c>
      <c r="C374" s="2" t="s">
        <v>14</v>
      </c>
      <c r="D374" s="1" t="s">
        <v>64</v>
      </c>
      <c r="E374" s="1" t="s">
        <v>65</v>
      </c>
      <c r="F374" s="1" t="s">
        <v>66</v>
      </c>
      <c r="G374" s="3">
        <v>3750</v>
      </c>
      <c r="H374" s="19">
        <v>45451</v>
      </c>
      <c r="I374" s="3" t="s">
        <v>101</v>
      </c>
      <c r="J374" s="3" t="s">
        <v>68</v>
      </c>
      <c r="K374" s="6">
        <v>352401848</v>
      </c>
      <c r="L374" s="6" t="s">
        <v>69</v>
      </c>
    </row>
    <row r="375" spans="1:12" customFormat="1" ht="14.4" x14ac:dyDescent="0.3">
      <c r="A375" s="1" t="s">
        <v>12</v>
      </c>
      <c r="B375" s="1" t="s">
        <v>13</v>
      </c>
      <c r="C375" s="2" t="s">
        <v>14</v>
      </c>
      <c r="D375" s="1" t="s">
        <v>31</v>
      </c>
      <c r="E375" s="1" t="s">
        <v>32</v>
      </c>
      <c r="F375" s="1" t="s">
        <v>33</v>
      </c>
      <c r="G375" s="3">
        <v>5250</v>
      </c>
      <c r="H375" s="19">
        <v>45451</v>
      </c>
      <c r="I375" s="3" t="s">
        <v>78</v>
      </c>
      <c r="J375" s="3" t="s">
        <v>79</v>
      </c>
      <c r="K375" s="6">
        <v>352401725</v>
      </c>
      <c r="L375" s="6" t="s">
        <v>69</v>
      </c>
    </row>
    <row r="376" spans="1:12" customFormat="1" ht="14.4" x14ac:dyDescent="0.3">
      <c r="A376" s="1" t="s">
        <v>12</v>
      </c>
      <c r="B376" s="1" t="s">
        <v>13</v>
      </c>
      <c r="C376" s="2" t="s">
        <v>14</v>
      </c>
      <c r="D376" s="8" t="s">
        <v>104</v>
      </c>
      <c r="E376" s="9">
        <v>309023553967</v>
      </c>
      <c r="F376" s="1" t="s">
        <v>105</v>
      </c>
      <c r="G376" s="3">
        <v>3750</v>
      </c>
      <c r="H376" s="19">
        <v>45451</v>
      </c>
      <c r="I376" s="3" t="s">
        <v>91</v>
      </c>
      <c r="J376" s="3" t="s">
        <v>22</v>
      </c>
      <c r="K376" s="1">
        <v>352401680</v>
      </c>
      <c r="L376" s="6" t="s">
        <v>69</v>
      </c>
    </row>
    <row r="377" spans="1:12" customFormat="1" ht="14.4" x14ac:dyDescent="0.3">
      <c r="A377" s="1" t="s">
        <v>12</v>
      </c>
      <c r="B377" s="1" t="s">
        <v>13</v>
      </c>
      <c r="C377" s="2" t="s">
        <v>14</v>
      </c>
      <c r="D377" s="3" t="s">
        <v>149</v>
      </c>
      <c r="E377" s="18">
        <v>50100624324501</v>
      </c>
      <c r="F377" s="3" t="s">
        <v>150</v>
      </c>
      <c r="G377" s="3">
        <v>5250</v>
      </c>
      <c r="H377" s="19">
        <v>45451</v>
      </c>
      <c r="I377" s="3" t="s">
        <v>77</v>
      </c>
      <c r="J377" s="3" t="s">
        <v>29</v>
      </c>
      <c r="K377" s="1">
        <v>352401877</v>
      </c>
      <c r="L377" s="6" t="s">
        <v>69</v>
      </c>
    </row>
    <row r="378" spans="1:12" customFormat="1" ht="14.4" x14ac:dyDescent="0.3">
      <c r="A378" s="1" t="s">
        <v>12</v>
      </c>
      <c r="B378" s="1" t="s">
        <v>13</v>
      </c>
      <c r="C378" s="2" t="s">
        <v>14</v>
      </c>
      <c r="D378" s="1" t="s">
        <v>36</v>
      </c>
      <c r="E378" s="1" t="s">
        <v>37</v>
      </c>
      <c r="F378" s="1" t="s">
        <v>38</v>
      </c>
      <c r="G378" s="3">
        <v>5250</v>
      </c>
      <c r="H378" s="19">
        <v>45451</v>
      </c>
      <c r="I378" s="3" t="s">
        <v>92</v>
      </c>
      <c r="J378" s="3" t="s">
        <v>40</v>
      </c>
      <c r="K378" s="6">
        <v>352401876</v>
      </c>
      <c r="L378" s="6" t="s">
        <v>69</v>
      </c>
    </row>
    <row r="379" spans="1:12" customFormat="1" ht="14.4" x14ac:dyDescent="0.3">
      <c r="A379" s="1" t="s">
        <v>12</v>
      </c>
      <c r="B379" s="1" t="s">
        <v>13</v>
      </c>
      <c r="C379" s="2" t="s">
        <v>14</v>
      </c>
      <c r="D379" s="1" t="s">
        <v>73</v>
      </c>
      <c r="E379" s="1" t="s">
        <v>89</v>
      </c>
      <c r="F379" s="1" t="s">
        <v>74</v>
      </c>
      <c r="G379" s="3">
        <v>5000</v>
      </c>
      <c r="H379" s="19">
        <v>45451</v>
      </c>
      <c r="I379" s="3" t="s">
        <v>90</v>
      </c>
      <c r="J379" s="3" t="s">
        <v>76</v>
      </c>
      <c r="K379" s="6">
        <v>352401879</v>
      </c>
      <c r="L379" s="6" t="s">
        <v>35</v>
      </c>
    </row>
    <row r="380" spans="1:12" customFormat="1" ht="14.4" x14ac:dyDescent="0.3">
      <c r="A380" s="1" t="s">
        <v>12</v>
      </c>
      <c r="B380" s="1" t="s">
        <v>13</v>
      </c>
      <c r="C380" s="2" t="s">
        <v>14</v>
      </c>
      <c r="D380" s="1" t="s">
        <v>152</v>
      </c>
      <c r="E380" s="1" t="s">
        <v>153</v>
      </c>
      <c r="F380" s="1" t="s">
        <v>154</v>
      </c>
      <c r="G380" s="3">
        <v>500</v>
      </c>
      <c r="H380" s="19">
        <v>45453</v>
      </c>
      <c r="I380" s="3" t="s">
        <v>155</v>
      </c>
      <c r="J380" s="3" t="s">
        <v>156</v>
      </c>
      <c r="K380" s="1">
        <v>352401903</v>
      </c>
      <c r="L380" s="6" t="s">
        <v>169</v>
      </c>
    </row>
    <row r="381" spans="1:12" customFormat="1" ht="14.4" x14ac:dyDescent="0.3">
      <c r="A381" s="1" t="s">
        <v>12</v>
      </c>
      <c r="B381" s="1" t="s">
        <v>13</v>
      </c>
      <c r="C381" s="2" t="s">
        <v>14</v>
      </c>
      <c r="D381" s="1" t="s">
        <v>15</v>
      </c>
      <c r="E381" s="1" t="s">
        <v>16</v>
      </c>
      <c r="F381" s="1" t="s">
        <v>17</v>
      </c>
      <c r="G381" s="3">
        <v>4000</v>
      </c>
      <c r="H381" s="19">
        <v>45453</v>
      </c>
      <c r="I381" s="3" t="s">
        <v>85</v>
      </c>
      <c r="J381" s="3" t="s">
        <v>19</v>
      </c>
      <c r="K381" s="1">
        <v>352401904</v>
      </c>
      <c r="L381" s="6" t="s">
        <v>20</v>
      </c>
    </row>
    <row r="382" spans="1:12" customFormat="1" ht="14.4" x14ac:dyDescent="0.3">
      <c r="A382" s="1" t="s">
        <v>12</v>
      </c>
      <c r="B382" s="1" t="s">
        <v>13</v>
      </c>
      <c r="C382" s="2" t="s">
        <v>14</v>
      </c>
      <c r="D382" s="1" t="s">
        <v>41</v>
      </c>
      <c r="E382" s="1" t="s">
        <v>42</v>
      </c>
      <c r="F382" s="1" t="s">
        <v>43</v>
      </c>
      <c r="G382" s="3">
        <v>4000</v>
      </c>
      <c r="H382" s="19">
        <v>45453</v>
      </c>
      <c r="I382" s="3" t="s">
        <v>87</v>
      </c>
      <c r="J382" s="3" t="s">
        <v>45</v>
      </c>
      <c r="K382" s="1">
        <v>352401905</v>
      </c>
      <c r="L382" s="6" t="s">
        <v>60</v>
      </c>
    </row>
    <row r="383" spans="1:12" customFormat="1" ht="14.4" x14ac:dyDescent="0.3">
      <c r="A383" s="1" t="s">
        <v>12</v>
      </c>
      <c r="B383" s="1" t="s">
        <v>13</v>
      </c>
      <c r="C383" s="2" t="s">
        <v>14</v>
      </c>
      <c r="D383" s="1" t="s">
        <v>64</v>
      </c>
      <c r="E383" s="1" t="s">
        <v>65</v>
      </c>
      <c r="F383" s="1" t="s">
        <v>66</v>
      </c>
      <c r="G383" s="3">
        <v>5250</v>
      </c>
      <c r="H383" s="19">
        <v>45453</v>
      </c>
      <c r="I383" s="3" t="s">
        <v>101</v>
      </c>
      <c r="J383" s="3" t="s">
        <v>68</v>
      </c>
      <c r="K383" s="6">
        <v>342401908</v>
      </c>
      <c r="L383" s="6" t="s">
        <v>69</v>
      </c>
    </row>
    <row r="384" spans="1:12" customFormat="1" ht="14.4" x14ac:dyDescent="0.3">
      <c r="A384" s="1" t="s">
        <v>12</v>
      </c>
      <c r="B384" s="1" t="s">
        <v>13</v>
      </c>
      <c r="C384" s="2" t="s">
        <v>14</v>
      </c>
      <c r="D384" s="1" t="s">
        <v>31</v>
      </c>
      <c r="E384" s="1" t="s">
        <v>32</v>
      </c>
      <c r="F384" s="1" t="s">
        <v>33</v>
      </c>
      <c r="G384" s="3">
        <v>5250</v>
      </c>
      <c r="H384" s="19">
        <v>45453</v>
      </c>
      <c r="I384" s="3" t="s">
        <v>78</v>
      </c>
      <c r="J384" s="3" t="s">
        <v>79</v>
      </c>
      <c r="K384" s="6">
        <v>352401909</v>
      </c>
      <c r="L384" s="6" t="s">
        <v>69</v>
      </c>
    </row>
    <row r="385" spans="1:12" customFormat="1" ht="14.4" x14ac:dyDescent="0.3">
      <c r="A385" s="1" t="s">
        <v>12</v>
      </c>
      <c r="B385" s="1" t="s">
        <v>13</v>
      </c>
      <c r="C385" s="2" t="s">
        <v>14</v>
      </c>
      <c r="D385" s="8" t="s">
        <v>104</v>
      </c>
      <c r="E385" s="9">
        <v>309023553967</v>
      </c>
      <c r="F385" s="1" t="s">
        <v>105</v>
      </c>
      <c r="G385" s="3">
        <v>5250</v>
      </c>
      <c r="H385" s="19">
        <v>45453</v>
      </c>
      <c r="I385" s="3" t="s">
        <v>91</v>
      </c>
      <c r="J385" s="3" t="s">
        <v>22</v>
      </c>
      <c r="K385" s="1">
        <v>352401907</v>
      </c>
      <c r="L385" s="6" t="s">
        <v>69</v>
      </c>
    </row>
    <row r="386" spans="1:12" customFormat="1" ht="14.4" x14ac:dyDescent="0.3">
      <c r="A386" s="1" t="s">
        <v>12</v>
      </c>
      <c r="B386" s="1" t="s">
        <v>13</v>
      </c>
      <c r="C386" s="2" t="s">
        <v>14</v>
      </c>
      <c r="D386" s="1" t="s">
        <v>36</v>
      </c>
      <c r="E386" s="1" t="s">
        <v>37</v>
      </c>
      <c r="F386" s="1" t="s">
        <v>38</v>
      </c>
      <c r="G386" s="3">
        <v>5250</v>
      </c>
      <c r="H386" s="19">
        <v>45453</v>
      </c>
      <c r="I386" s="3" t="s">
        <v>92</v>
      </c>
      <c r="J386" s="3" t="s">
        <v>40</v>
      </c>
      <c r="K386" s="6">
        <v>352401910</v>
      </c>
      <c r="L386" s="6" t="s">
        <v>69</v>
      </c>
    </row>
    <row r="387" spans="1:12" customFormat="1" ht="14.4" x14ac:dyDescent="0.3">
      <c r="A387" s="1" t="s">
        <v>12</v>
      </c>
      <c r="B387" s="1" t="s">
        <v>13</v>
      </c>
      <c r="C387" s="2" t="s">
        <v>14</v>
      </c>
      <c r="D387" s="1" t="s">
        <v>70</v>
      </c>
      <c r="E387" s="1" t="s">
        <v>71</v>
      </c>
      <c r="F387" s="1" t="s">
        <v>72</v>
      </c>
      <c r="G387" s="3">
        <f>200+5250</f>
        <v>5450</v>
      </c>
      <c r="H387" s="19">
        <v>45453</v>
      </c>
      <c r="I387" s="3" t="s">
        <v>83</v>
      </c>
      <c r="J387" s="3" t="s">
        <v>84</v>
      </c>
      <c r="K387" s="1">
        <v>352401878</v>
      </c>
      <c r="L387" s="6" t="s">
        <v>170</v>
      </c>
    </row>
    <row r="388" spans="1:12" customFormat="1" ht="14.4" x14ac:dyDescent="0.3">
      <c r="A388" s="1" t="s">
        <v>12</v>
      </c>
      <c r="B388" s="1" t="s">
        <v>13</v>
      </c>
      <c r="C388" s="2" t="s">
        <v>14</v>
      </c>
      <c r="D388" s="1" t="s">
        <v>73</v>
      </c>
      <c r="E388" s="1" t="s">
        <v>89</v>
      </c>
      <c r="F388" s="1" t="s">
        <v>74</v>
      </c>
      <c r="G388" s="3">
        <v>4750</v>
      </c>
      <c r="H388" s="19">
        <v>45453</v>
      </c>
      <c r="I388" s="3" t="s">
        <v>90</v>
      </c>
      <c r="J388" s="3" t="s">
        <v>76</v>
      </c>
      <c r="K388" s="6">
        <v>352401906</v>
      </c>
      <c r="L388" s="6" t="s">
        <v>24</v>
      </c>
    </row>
    <row r="389" spans="1:12" customFormat="1" ht="14.4" x14ac:dyDescent="0.3">
      <c r="A389" s="1" t="s">
        <v>12</v>
      </c>
      <c r="B389" s="1" t="s">
        <v>13</v>
      </c>
      <c r="C389" s="2" t="s">
        <v>14</v>
      </c>
      <c r="D389" s="1" t="s">
        <v>15</v>
      </c>
      <c r="E389" s="1" t="s">
        <v>16</v>
      </c>
      <c r="F389" s="1" t="s">
        <v>17</v>
      </c>
      <c r="G389" s="3">
        <v>2000</v>
      </c>
      <c r="H389" s="19">
        <v>45453</v>
      </c>
      <c r="I389" s="3" t="s">
        <v>85</v>
      </c>
      <c r="J389" s="3" t="s">
        <v>19</v>
      </c>
      <c r="K389" s="1">
        <v>352401921</v>
      </c>
      <c r="L389" s="6" t="s">
        <v>171</v>
      </c>
    </row>
    <row r="390" spans="1:12" customFormat="1" ht="14.4" x14ac:dyDescent="0.3">
      <c r="A390" s="1" t="s">
        <v>12</v>
      </c>
      <c r="B390" s="1" t="s">
        <v>13</v>
      </c>
      <c r="C390" s="2" t="s">
        <v>14</v>
      </c>
      <c r="D390" s="3" t="s">
        <v>149</v>
      </c>
      <c r="E390" s="18">
        <v>50100624324501</v>
      </c>
      <c r="F390" s="3" t="s">
        <v>150</v>
      </c>
      <c r="G390" s="3">
        <v>4750</v>
      </c>
      <c r="H390" s="19">
        <v>45453</v>
      </c>
      <c r="I390" s="3" t="s">
        <v>77</v>
      </c>
      <c r="J390" s="3" t="s">
        <v>29</v>
      </c>
      <c r="K390" s="1">
        <v>352401911</v>
      </c>
      <c r="L390" s="6" t="s">
        <v>139</v>
      </c>
    </row>
    <row r="391" spans="1:12" customFormat="1" ht="14.4" x14ac:dyDescent="0.3">
      <c r="A391" s="1" t="s">
        <v>12</v>
      </c>
      <c r="B391" s="1" t="s">
        <v>13</v>
      </c>
      <c r="C391" s="2" t="s">
        <v>14</v>
      </c>
      <c r="D391" s="1" t="s">
        <v>15</v>
      </c>
      <c r="E391" s="1" t="s">
        <v>16</v>
      </c>
      <c r="F391" s="1" t="s">
        <v>17</v>
      </c>
      <c r="G391" s="3">
        <v>4000</v>
      </c>
      <c r="H391" s="19">
        <v>45454</v>
      </c>
      <c r="I391" s="3" t="s">
        <v>85</v>
      </c>
      <c r="J391" s="3" t="s">
        <v>19</v>
      </c>
      <c r="K391" s="1">
        <v>352401938</v>
      </c>
      <c r="L391" s="6" t="s">
        <v>20</v>
      </c>
    </row>
    <row r="392" spans="1:12" customFormat="1" ht="14.4" x14ac:dyDescent="0.3">
      <c r="A392" s="1" t="s">
        <v>12</v>
      </c>
      <c r="B392" s="1" t="s">
        <v>13</v>
      </c>
      <c r="C392" s="2" t="s">
        <v>14</v>
      </c>
      <c r="D392" s="1" t="s">
        <v>41</v>
      </c>
      <c r="E392" s="1" t="s">
        <v>42</v>
      </c>
      <c r="F392" s="1" t="s">
        <v>43</v>
      </c>
      <c r="G392" s="3">
        <v>4000</v>
      </c>
      <c r="H392" s="19">
        <v>45454</v>
      </c>
      <c r="I392" s="3" t="s">
        <v>87</v>
      </c>
      <c r="J392" s="3" t="s">
        <v>45</v>
      </c>
      <c r="K392" s="1">
        <v>352401935</v>
      </c>
      <c r="L392" s="6" t="s">
        <v>20</v>
      </c>
    </row>
    <row r="393" spans="1:12" customFormat="1" ht="14.4" x14ac:dyDescent="0.3">
      <c r="A393" s="1" t="s">
        <v>12</v>
      </c>
      <c r="B393" s="1" t="s">
        <v>13</v>
      </c>
      <c r="C393" s="2" t="s">
        <v>14</v>
      </c>
      <c r="D393" s="1" t="s">
        <v>64</v>
      </c>
      <c r="E393" s="1" t="s">
        <v>65</v>
      </c>
      <c r="F393" s="1" t="s">
        <v>66</v>
      </c>
      <c r="G393" s="3">
        <v>5250</v>
      </c>
      <c r="H393" s="19">
        <v>45454</v>
      </c>
      <c r="I393" s="3" t="s">
        <v>101</v>
      </c>
      <c r="J393" s="3" t="s">
        <v>68</v>
      </c>
      <c r="K393" s="1">
        <v>352401943</v>
      </c>
      <c r="L393" s="6" t="s">
        <v>69</v>
      </c>
    </row>
    <row r="394" spans="1:12" customFormat="1" ht="14.4" x14ac:dyDescent="0.3">
      <c r="A394" s="1" t="s">
        <v>12</v>
      </c>
      <c r="B394" s="1" t="s">
        <v>13</v>
      </c>
      <c r="C394" s="2" t="s">
        <v>14</v>
      </c>
      <c r="D394" s="1" t="s">
        <v>31</v>
      </c>
      <c r="E394" s="1" t="s">
        <v>32</v>
      </c>
      <c r="F394" s="1" t="s">
        <v>33</v>
      </c>
      <c r="G394" s="3">
        <v>5000</v>
      </c>
      <c r="H394" s="19">
        <v>45454</v>
      </c>
      <c r="I394" s="3" t="s">
        <v>78</v>
      </c>
      <c r="J394" s="3" t="s">
        <v>79</v>
      </c>
      <c r="K394" s="1">
        <v>352401940</v>
      </c>
      <c r="L394" s="6" t="s">
        <v>35</v>
      </c>
    </row>
    <row r="395" spans="1:12" customFormat="1" ht="14.4" x14ac:dyDescent="0.3">
      <c r="A395" s="1" t="s">
        <v>12</v>
      </c>
      <c r="B395" s="1" t="s">
        <v>13</v>
      </c>
      <c r="C395" s="2" t="s">
        <v>14</v>
      </c>
      <c r="D395" s="8" t="s">
        <v>104</v>
      </c>
      <c r="E395" s="9">
        <v>309023553967</v>
      </c>
      <c r="F395" s="1" t="s">
        <v>105</v>
      </c>
      <c r="G395" s="3">
        <v>5250</v>
      </c>
      <c r="H395" s="19">
        <v>45454</v>
      </c>
      <c r="I395" s="3" t="s">
        <v>91</v>
      </c>
      <c r="J395" s="3" t="s">
        <v>22</v>
      </c>
      <c r="K395" s="1">
        <v>352401942</v>
      </c>
      <c r="L395" s="6" t="s">
        <v>69</v>
      </c>
    </row>
    <row r="396" spans="1:12" customFormat="1" ht="14.4" x14ac:dyDescent="0.3">
      <c r="A396" s="1" t="s">
        <v>12</v>
      </c>
      <c r="B396" s="1" t="s">
        <v>13</v>
      </c>
      <c r="C396" s="2" t="s">
        <v>14</v>
      </c>
      <c r="D396" s="3" t="s">
        <v>149</v>
      </c>
      <c r="E396" s="18">
        <v>50100624324501</v>
      </c>
      <c r="F396" s="3" t="s">
        <v>150</v>
      </c>
      <c r="G396" s="3">
        <v>3750</v>
      </c>
      <c r="H396" s="19">
        <v>45454</v>
      </c>
      <c r="I396" s="3" t="s">
        <v>77</v>
      </c>
      <c r="J396" s="3" t="s">
        <v>29</v>
      </c>
      <c r="K396" s="1">
        <v>352401936</v>
      </c>
      <c r="L396" s="6" t="s">
        <v>69</v>
      </c>
    </row>
    <row r="397" spans="1:12" x14ac:dyDescent="0.25">
      <c r="A397" s="30" t="s">
        <v>12</v>
      </c>
      <c r="B397" s="30" t="s">
        <v>13</v>
      </c>
      <c r="C397" s="30" t="s">
        <v>14</v>
      </c>
      <c r="D397" s="30" t="s">
        <v>144</v>
      </c>
      <c r="E397" s="39">
        <v>42542201947</v>
      </c>
      <c r="F397" s="30" t="s">
        <v>145</v>
      </c>
      <c r="G397" s="32">
        <v>6000</v>
      </c>
      <c r="H397" s="75">
        <v>45454</v>
      </c>
      <c r="I397" s="32" t="s">
        <v>146</v>
      </c>
      <c r="J397" s="32" t="s">
        <v>147</v>
      </c>
      <c r="K397" s="30">
        <v>352401928</v>
      </c>
      <c r="L397" s="35" t="s">
        <v>30</v>
      </c>
    </row>
    <row r="398" spans="1:12" customFormat="1" ht="14.4" x14ac:dyDescent="0.3">
      <c r="A398" s="1" t="s">
        <v>12</v>
      </c>
      <c r="B398" s="1" t="s">
        <v>13</v>
      </c>
      <c r="C398" s="2" t="s">
        <v>14</v>
      </c>
      <c r="D398" s="1" t="s">
        <v>36</v>
      </c>
      <c r="E398" s="1" t="s">
        <v>37</v>
      </c>
      <c r="F398" s="1" t="s">
        <v>38</v>
      </c>
      <c r="G398" s="3">
        <v>5250</v>
      </c>
      <c r="H398" s="19">
        <v>45454</v>
      </c>
      <c r="I398" s="3" t="s">
        <v>92</v>
      </c>
      <c r="J398" s="3" t="s">
        <v>40</v>
      </c>
      <c r="K398" s="1">
        <v>352401941</v>
      </c>
      <c r="L398" s="6" t="s">
        <v>69</v>
      </c>
    </row>
    <row r="399" spans="1:12" customFormat="1" ht="14.4" x14ac:dyDescent="0.3">
      <c r="A399" s="1" t="s">
        <v>12</v>
      </c>
      <c r="B399" s="1" t="s">
        <v>13</v>
      </c>
      <c r="C399" s="2" t="s">
        <v>14</v>
      </c>
      <c r="D399" s="1" t="s">
        <v>70</v>
      </c>
      <c r="E399" s="1" t="s">
        <v>71</v>
      </c>
      <c r="F399" s="1" t="s">
        <v>72</v>
      </c>
      <c r="G399" s="3">
        <v>5250</v>
      </c>
      <c r="H399" s="19">
        <v>45454</v>
      </c>
      <c r="I399" s="3" t="s">
        <v>83</v>
      </c>
      <c r="J399" s="3" t="s">
        <v>84</v>
      </c>
      <c r="K399" s="1">
        <v>352401939</v>
      </c>
      <c r="L399" s="6" t="s">
        <v>69</v>
      </c>
    </row>
    <row r="400" spans="1:12" customFormat="1" ht="14.4" x14ac:dyDescent="0.3">
      <c r="A400" s="1" t="s">
        <v>12</v>
      </c>
      <c r="B400" s="1" t="s">
        <v>13</v>
      </c>
      <c r="C400" s="2" t="s">
        <v>14</v>
      </c>
      <c r="D400" s="1" t="s">
        <v>73</v>
      </c>
      <c r="E400" s="1" t="s">
        <v>89</v>
      </c>
      <c r="F400" s="1" t="s">
        <v>74</v>
      </c>
      <c r="G400" s="3">
        <v>4750</v>
      </c>
      <c r="H400" s="19">
        <v>45454</v>
      </c>
      <c r="I400" s="3" t="s">
        <v>90</v>
      </c>
      <c r="J400" s="3" t="s">
        <v>76</v>
      </c>
      <c r="K400" s="6">
        <v>352401937</v>
      </c>
      <c r="L400" s="6" t="s">
        <v>24</v>
      </c>
    </row>
    <row r="401" spans="1:12" customFormat="1" ht="14.4" x14ac:dyDescent="0.3">
      <c r="A401" s="1" t="s">
        <v>12</v>
      </c>
      <c r="B401" s="1" t="s">
        <v>13</v>
      </c>
      <c r="C401" s="2" t="s">
        <v>14</v>
      </c>
      <c r="D401" s="1" t="s">
        <v>15</v>
      </c>
      <c r="E401" s="1" t="s">
        <v>16</v>
      </c>
      <c r="F401" s="1" t="s">
        <v>17</v>
      </c>
      <c r="G401" s="3">
        <v>4000</v>
      </c>
      <c r="H401" s="19">
        <v>45455</v>
      </c>
      <c r="I401" s="3" t="s">
        <v>85</v>
      </c>
      <c r="J401" s="3" t="s">
        <v>19</v>
      </c>
      <c r="K401" s="1">
        <v>352401973</v>
      </c>
      <c r="L401" s="6" t="s">
        <v>20</v>
      </c>
    </row>
    <row r="402" spans="1:12" customFormat="1" ht="14.4" x14ac:dyDescent="0.3">
      <c r="A402" s="1" t="s">
        <v>12</v>
      </c>
      <c r="B402" s="1" t="s">
        <v>13</v>
      </c>
      <c r="C402" s="2" t="s">
        <v>14</v>
      </c>
      <c r="D402" s="1" t="s">
        <v>41</v>
      </c>
      <c r="E402" s="1" t="s">
        <v>42</v>
      </c>
      <c r="F402" s="1" t="s">
        <v>43</v>
      </c>
      <c r="G402" s="3">
        <v>4000</v>
      </c>
      <c r="H402" s="19">
        <v>45455</v>
      </c>
      <c r="I402" s="3" t="s">
        <v>87</v>
      </c>
      <c r="J402" s="3" t="s">
        <v>45</v>
      </c>
      <c r="K402" s="1">
        <v>352401972</v>
      </c>
      <c r="L402" s="6" t="s">
        <v>60</v>
      </c>
    </row>
    <row r="403" spans="1:12" customFormat="1" ht="14.4" x14ac:dyDescent="0.3">
      <c r="A403" s="1" t="s">
        <v>12</v>
      </c>
      <c r="B403" s="1" t="s">
        <v>13</v>
      </c>
      <c r="C403" s="2" t="s">
        <v>14</v>
      </c>
      <c r="D403" s="1" t="s">
        <v>64</v>
      </c>
      <c r="E403" s="1" t="s">
        <v>65</v>
      </c>
      <c r="F403" s="1" t="s">
        <v>66</v>
      </c>
      <c r="G403" s="3">
        <v>5250</v>
      </c>
      <c r="H403" s="19">
        <v>45455</v>
      </c>
      <c r="I403" s="3" t="s">
        <v>101</v>
      </c>
      <c r="J403" s="3" t="s">
        <v>68</v>
      </c>
      <c r="K403" s="1">
        <v>352401980</v>
      </c>
      <c r="L403" s="6" t="s">
        <v>69</v>
      </c>
    </row>
    <row r="404" spans="1:12" customFormat="1" ht="13.8" customHeight="1" x14ac:dyDescent="0.3">
      <c r="A404" s="1" t="s">
        <v>12</v>
      </c>
      <c r="B404" s="1" t="s">
        <v>13</v>
      </c>
      <c r="C404" s="2" t="s">
        <v>14</v>
      </c>
      <c r="D404" s="1" t="s">
        <v>41</v>
      </c>
      <c r="E404" s="1" t="s">
        <v>61</v>
      </c>
      <c r="F404" s="1" t="s">
        <v>62</v>
      </c>
      <c r="G404" s="3">
        <v>3200</v>
      </c>
      <c r="H404" s="19">
        <v>45455</v>
      </c>
      <c r="I404" s="3" t="s">
        <v>88</v>
      </c>
      <c r="J404" s="3" t="s">
        <v>59</v>
      </c>
      <c r="K404" s="1">
        <v>352401961</v>
      </c>
      <c r="L404" s="6" t="s">
        <v>69</v>
      </c>
    </row>
    <row r="405" spans="1:12" customFormat="1" ht="14.4" x14ac:dyDescent="0.3">
      <c r="A405" s="1" t="s">
        <v>12</v>
      </c>
      <c r="B405" s="1" t="s">
        <v>13</v>
      </c>
      <c r="C405" s="2" t="s">
        <v>14</v>
      </c>
      <c r="D405" s="8" t="s">
        <v>104</v>
      </c>
      <c r="E405" s="9">
        <v>309023553967</v>
      </c>
      <c r="F405" s="1" t="s">
        <v>105</v>
      </c>
      <c r="G405" s="3">
        <v>5250</v>
      </c>
      <c r="H405" s="19">
        <v>45455</v>
      </c>
      <c r="I405" s="3" t="s">
        <v>91</v>
      </c>
      <c r="J405" s="3" t="s">
        <v>22</v>
      </c>
      <c r="K405" s="1">
        <v>352401979</v>
      </c>
      <c r="L405" s="6" t="s">
        <v>69</v>
      </c>
    </row>
    <row r="406" spans="1:12" customFormat="1" ht="14.4" x14ac:dyDescent="0.3">
      <c r="A406" s="1" t="s">
        <v>12</v>
      </c>
      <c r="B406" s="1" t="s">
        <v>13</v>
      </c>
      <c r="C406" s="2" t="s">
        <v>14</v>
      </c>
      <c r="D406" s="3" t="s">
        <v>149</v>
      </c>
      <c r="E406" s="18">
        <v>50100624324501</v>
      </c>
      <c r="F406" s="3" t="s">
        <v>150</v>
      </c>
      <c r="G406" s="3">
        <v>5250</v>
      </c>
      <c r="H406" s="19">
        <v>45455</v>
      </c>
      <c r="I406" s="3" t="s">
        <v>77</v>
      </c>
      <c r="J406" s="3" t="s">
        <v>29</v>
      </c>
      <c r="K406" s="1">
        <v>352401982</v>
      </c>
      <c r="L406" s="6" t="s">
        <v>69</v>
      </c>
    </row>
    <row r="407" spans="1:12" customFormat="1" ht="14.4" x14ac:dyDescent="0.3">
      <c r="A407" s="1" t="s">
        <v>12</v>
      </c>
      <c r="B407" s="1" t="s">
        <v>13</v>
      </c>
      <c r="C407" s="2" t="s">
        <v>14</v>
      </c>
      <c r="D407" s="1" t="s">
        <v>70</v>
      </c>
      <c r="E407" s="1" t="s">
        <v>71</v>
      </c>
      <c r="F407" s="1" t="s">
        <v>72</v>
      </c>
      <c r="G407" s="3">
        <v>5250</v>
      </c>
      <c r="H407" s="19">
        <v>45455</v>
      </c>
      <c r="I407" s="3" t="s">
        <v>83</v>
      </c>
      <c r="J407" s="3" t="s">
        <v>84</v>
      </c>
      <c r="K407" s="1">
        <v>352401978</v>
      </c>
      <c r="L407" s="6" t="s">
        <v>69</v>
      </c>
    </row>
    <row r="408" spans="1:12" customFormat="1" ht="14.4" x14ac:dyDescent="0.3">
      <c r="A408" s="1" t="s">
        <v>12</v>
      </c>
      <c r="B408" s="1" t="s">
        <v>13</v>
      </c>
      <c r="C408" s="2" t="s">
        <v>14</v>
      </c>
      <c r="D408" s="1" t="s">
        <v>108</v>
      </c>
      <c r="E408" s="1" t="s">
        <v>109</v>
      </c>
      <c r="F408" s="1" t="s">
        <v>110</v>
      </c>
      <c r="G408" s="3">
        <v>2500</v>
      </c>
      <c r="H408" s="19">
        <v>45455</v>
      </c>
      <c r="I408" s="3" t="s">
        <v>93</v>
      </c>
      <c r="J408" s="3" t="s">
        <v>34</v>
      </c>
      <c r="K408" s="1">
        <v>352401964</v>
      </c>
      <c r="L408" s="6" t="s">
        <v>172</v>
      </c>
    </row>
    <row r="409" spans="1:12" customFormat="1" ht="14.4" x14ac:dyDescent="0.3">
      <c r="A409" s="1" t="s">
        <v>12</v>
      </c>
      <c r="B409" s="1" t="s">
        <v>13</v>
      </c>
      <c r="C409" s="2" t="s">
        <v>14</v>
      </c>
      <c r="D409" s="1" t="s">
        <v>55</v>
      </c>
      <c r="E409" s="1" t="s">
        <v>56</v>
      </c>
      <c r="F409" s="1" t="s">
        <v>57</v>
      </c>
      <c r="G409" s="3">
        <v>6000</v>
      </c>
      <c r="H409" s="19">
        <v>45455</v>
      </c>
      <c r="I409" s="3" t="s">
        <v>137</v>
      </c>
      <c r="J409" s="3" t="s">
        <v>59</v>
      </c>
      <c r="K409" s="6">
        <v>352401927</v>
      </c>
      <c r="L409" s="6" t="s">
        <v>30</v>
      </c>
    </row>
    <row r="410" spans="1:12" customFormat="1" ht="14.4" x14ac:dyDescent="0.3">
      <c r="A410" s="1" t="s">
        <v>12</v>
      </c>
      <c r="B410" s="1" t="s">
        <v>13</v>
      </c>
      <c r="C410" s="2" t="s">
        <v>14</v>
      </c>
      <c r="D410" s="1" t="s">
        <v>15</v>
      </c>
      <c r="E410" s="1" t="s">
        <v>16</v>
      </c>
      <c r="F410" s="1" t="s">
        <v>17</v>
      </c>
      <c r="G410" s="3">
        <v>4000</v>
      </c>
      <c r="H410" s="19">
        <v>45456</v>
      </c>
      <c r="I410" s="3" t="s">
        <v>85</v>
      </c>
      <c r="J410" s="3" t="s">
        <v>19</v>
      </c>
      <c r="K410" s="1">
        <v>352402009</v>
      </c>
      <c r="L410" s="6" t="s">
        <v>20</v>
      </c>
    </row>
    <row r="411" spans="1:12" customFormat="1" ht="14.4" x14ac:dyDescent="0.3">
      <c r="A411" s="1" t="s">
        <v>12</v>
      </c>
      <c r="B411" s="1" t="s">
        <v>13</v>
      </c>
      <c r="C411" s="2" t="s">
        <v>14</v>
      </c>
      <c r="D411" s="1" t="s">
        <v>41</v>
      </c>
      <c r="E411" s="1" t="s">
        <v>42</v>
      </c>
      <c r="F411" s="1" t="s">
        <v>43</v>
      </c>
      <c r="G411" s="3">
        <v>4000</v>
      </c>
      <c r="H411" s="19">
        <v>45456</v>
      </c>
      <c r="I411" s="3" t="s">
        <v>87</v>
      </c>
      <c r="J411" s="3" t="s">
        <v>45</v>
      </c>
      <c r="K411" s="1">
        <v>352402010</v>
      </c>
      <c r="L411" s="6" t="s">
        <v>20</v>
      </c>
    </row>
    <row r="412" spans="1:12" customFormat="1" ht="13.8" customHeight="1" x14ac:dyDescent="0.3">
      <c r="A412" s="1" t="s">
        <v>12</v>
      </c>
      <c r="B412" s="1" t="s">
        <v>13</v>
      </c>
      <c r="C412" s="2" t="s">
        <v>14</v>
      </c>
      <c r="D412" s="1" t="s">
        <v>41</v>
      </c>
      <c r="E412" s="1" t="s">
        <v>61</v>
      </c>
      <c r="F412" s="1" t="s">
        <v>62</v>
      </c>
      <c r="G412" s="3">
        <v>5250</v>
      </c>
      <c r="H412" s="19">
        <v>45456</v>
      </c>
      <c r="I412" s="3" t="s">
        <v>88</v>
      </c>
      <c r="J412" s="3" t="s">
        <v>59</v>
      </c>
      <c r="K412" s="1">
        <v>352402011</v>
      </c>
      <c r="L412" s="6" t="s">
        <v>69</v>
      </c>
    </row>
    <row r="413" spans="1:12" customFormat="1" ht="14.4" x14ac:dyDescent="0.3">
      <c r="A413" s="1" t="s">
        <v>12</v>
      </c>
      <c r="B413" s="1" t="s">
        <v>13</v>
      </c>
      <c r="C413" s="2" t="s">
        <v>14</v>
      </c>
      <c r="D413" s="8" t="s">
        <v>104</v>
      </c>
      <c r="E413" s="9">
        <v>309023553967</v>
      </c>
      <c r="F413" s="1" t="s">
        <v>105</v>
      </c>
      <c r="G413" s="3">
        <v>5250</v>
      </c>
      <c r="H413" s="19">
        <v>45456</v>
      </c>
      <c r="I413" s="3" t="s">
        <v>91</v>
      </c>
      <c r="J413" s="3" t="s">
        <v>22</v>
      </c>
      <c r="K413" s="1">
        <v>352402014</v>
      </c>
      <c r="L413" s="6" t="s">
        <v>69</v>
      </c>
    </row>
    <row r="414" spans="1:12" customFormat="1" ht="14.4" x14ac:dyDescent="0.3">
      <c r="A414" s="1" t="s">
        <v>12</v>
      </c>
      <c r="B414" s="1" t="s">
        <v>13</v>
      </c>
      <c r="C414" s="2" t="s">
        <v>14</v>
      </c>
      <c r="D414" s="3" t="s">
        <v>149</v>
      </c>
      <c r="E414" s="18">
        <v>50100624324501</v>
      </c>
      <c r="F414" s="3" t="s">
        <v>150</v>
      </c>
      <c r="G414" s="3">
        <v>5250</v>
      </c>
      <c r="H414" s="19">
        <v>45456</v>
      </c>
      <c r="I414" s="3" t="s">
        <v>77</v>
      </c>
      <c r="J414" s="3" t="s">
        <v>29</v>
      </c>
      <c r="K414" s="1">
        <v>352402012</v>
      </c>
      <c r="L414" s="6" t="s">
        <v>69</v>
      </c>
    </row>
    <row r="415" spans="1:12" customFormat="1" ht="14.4" x14ac:dyDescent="0.3">
      <c r="A415" s="1" t="s">
        <v>12</v>
      </c>
      <c r="B415" s="1" t="s">
        <v>13</v>
      </c>
      <c r="C415" s="2" t="s">
        <v>14</v>
      </c>
      <c r="D415" s="1" t="s">
        <v>36</v>
      </c>
      <c r="E415" s="1" t="s">
        <v>37</v>
      </c>
      <c r="F415" s="1" t="s">
        <v>38</v>
      </c>
      <c r="G415" s="3">
        <v>5250</v>
      </c>
      <c r="H415" s="19">
        <v>45456</v>
      </c>
      <c r="I415" s="3" t="s">
        <v>92</v>
      </c>
      <c r="J415" s="3" t="s">
        <v>40</v>
      </c>
      <c r="K415" s="1">
        <v>352401981</v>
      </c>
      <c r="L415" s="6" t="s">
        <v>69</v>
      </c>
    </row>
    <row r="416" spans="1:12" customFormat="1" ht="14.4" x14ac:dyDescent="0.3">
      <c r="A416" s="1" t="s">
        <v>12</v>
      </c>
      <c r="B416" s="1" t="s">
        <v>13</v>
      </c>
      <c r="C416" s="2" t="s">
        <v>14</v>
      </c>
      <c r="D416" s="1" t="s">
        <v>70</v>
      </c>
      <c r="E416" s="1" t="s">
        <v>71</v>
      </c>
      <c r="F416" s="1" t="s">
        <v>72</v>
      </c>
      <c r="G416" s="3">
        <v>5250</v>
      </c>
      <c r="H416" s="19">
        <v>45456</v>
      </c>
      <c r="I416" s="3" t="s">
        <v>83</v>
      </c>
      <c r="J416" s="3" t="s">
        <v>84</v>
      </c>
      <c r="K416" s="1">
        <v>352402013</v>
      </c>
      <c r="L416" s="6" t="s">
        <v>69</v>
      </c>
    </row>
    <row r="417" spans="1:12" customFormat="1" ht="14.4" x14ac:dyDescent="0.3">
      <c r="A417" s="1" t="s">
        <v>12</v>
      </c>
      <c r="B417" s="1" t="s">
        <v>13</v>
      </c>
      <c r="C417" s="2" t="s">
        <v>14</v>
      </c>
      <c r="D417" s="1" t="s">
        <v>173</v>
      </c>
      <c r="E417" s="1" t="s">
        <v>174</v>
      </c>
      <c r="F417" s="1" t="s">
        <v>33</v>
      </c>
      <c r="G417" s="3">
        <v>500</v>
      </c>
      <c r="H417" s="19">
        <v>45456</v>
      </c>
      <c r="I417" s="3" t="s">
        <v>175</v>
      </c>
      <c r="J417" s="3" t="s">
        <v>176</v>
      </c>
      <c r="K417" s="6">
        <v>352402008</v>
      </c>
      <c r="L417" s="6" t="s">
        <v>177</v>
      </c>
    </row>
    <row r="418" spans="1:12" customFormat="1" ht="14.4" x14ac:dyDescent="0.3">
      <c r="A418" s="1" t="s">
        <v>12</v>
      </c>
      <c r="B418" s="1" t="s">
        <v>13</v>
      </c>
      <c r="C418" s="2" t="s">
        <v>14</v>
      </c>
      <c r="D418" s="1" t="s">
        <v>173</v>
      </c>
      <c r="E418" s="1" t="s">
        <v>174</v>
      </c>
      <c r="F418" s="1" t="s">
        <v>33</v>
      </c>
      <c r="G418" s="1">
        <f>260+260+160</f>
        <v>680</v>
      </c>
      <c r="H418" s="19">
        <v>45456</v>
      </c>
      <c r="I418" s="3" t="s">
        <v>175</v>
      </c>
      <c r="J418" s="3" t="s">
        <v>176</v>
      </c>
      <c r="K418" s="6">
        <v>352402008</v>
      </c>
      <c r="L418" s="6" t="s">
        <v>178</v>
      </c>
    </row>
    <row r="419" spans="1:12" customFormat="1" ht="14.4" x14ac:dyDescent="0.3">
      <c r="A419" s="1" t="s">
        <v>12</v>
      </c>
      <c r="B419" s="1" t="s">
        <v>13</v>
      </c>
      <c r="C419" s="2" t="s">
        <v>14</v>
      </c>
      <c r="D419" s="1" t="s">
        <v>15</v>
      </c>
      <c r="E419" s="1" t="s">
        <v>16</v>
      </c>
      <c r="F419" s="1" t="s">
        <v>17</v>
      </c>
      <c r="G419" s="3">
        <v>4000</v>
      </c>
      <c r="H419" s="19">
        <v>45457</v>
      </c>
      <c r="I419" s="3" t="s">
        <v>85</v>
      </c>
      <c r="J419" s="3" t="s">
        <v>19</v>
      </c>
      <c r="K419" s="1">
        <v>352402041</v>
      </c>
      <c r="L419" s="6" t="s">
        <v>20</v>
      </c>
    </row>
    <row r="420" spans="1:12" customFormat="1" ht="14.4" x14ac:dyDescent="0.3">
      <c r="A420" s="1" t="s">
        <v>12</v>
      </c>
      <c r="B420" s="1" t="s">
        <v>13</v>
      </c>
      <c r="C420" s="2" t="s">
        <v>14</v>
      </c>
      <c r="D420" s="1" t="s">
        <v>64</v>
      </c>
      <c r="E420" s="1" t="s">
        <v>65</v>
      </c>
      <c r="F420" s="1" t="s">
        <v>66</v>
      </c>
      <c r="G420" s="3">
        <v>5250</v>
      </c>
      <c r="H420" s="19">
        <v>45457</v>
      </c>
      <c r="I420" s="3" t="s">
        <v>101</v>
      </c>
      <c r="J420" s="3" t="s">
        <v>68</v>
      </c>
      <c r="K420" s="1">
        <v>352402015</v>
      </c>
      <c r="L420" s="6" t="s">
        <v>69</v>
      </c>
    </row>
    <row r="421" spans="1:12" customFormat="1" ht="14.4" x14ac:dyDescent="0.3">
      <c r="A421" s="1" t="s">
        <v>12</v>
      </c>
      <c r="B421" s="1" t="s">
        <v>13</v>
      </c>
      <c r="C421" s="2" t="s">
        <v>14</v>
      </c>
      <c r="D421" s="1" t="s">
        <v>31</v>
      </c>
      <c r="E421" s="1" t="s">
        <v>32</v>
      </c>
      <c r="F421" s="1" t="s">
        <v>33</v>
      </c>
      <c r="G421" s="3">
        <v>6200</v>
      </c>
      <c r="H421" s="19">
        <v>45457</v>
      </c>
      <c r="I421" s="3" t="s">
        <v>78</v>
      </c>
      <c r="J421" s="3" t="s">
        <v>79</v>
      </c>
      <c r="K421" s="1">
        <v>352401977</v>
      </c>
      <c r="L421" s="6" t="s">
        <v>30</v>
      </c>
    </row>
    <row r="422" spans="1:12" customFormat="1" ht="13.8" customHeight="1" x14ac:dyDescent="0.3">
      <c r="A422" s="1" t="s">
        <v>12</v>
      </c>
      <c r="B422" s="1" t="s">
        <v>13</v>
      </c>
      <c r="C422" s="2" t="s">
        <v>14</v>
      </c>
      <c r="D422" s="1" t="s">
        <v>41</v>
      </c>
      <c r="E422" s="1" t="s">
        <v>61</v>
      </c>
      <c r="F422" s="1" t="s">
        <v>62</v>
      </c>
      <c r="G422" s="3">
        <v>5250</v>
      </c>
      <c r="H422" s="19">
        <v>45457</v>
      </c>
      <c r="I422" s="3" t="s">
        <v>88</v>
      </c>
      <c r="J422" s="3" t="s">
        <v>59</v>
      </c>
      <c r="K422" s="1">
        <v>352402045</v>
      </c>
      <c r="L422" s="6" t="s">
        <v>69</v>
      </c>
    </row>
    <row r="423" spans="1:12" customFormat="1" ht="14.4" x14ac:dyDescent="0.3">
      <c r="A423" s="1" t="s">
        <v>12</v>
      </c>
      <c r="B423" s="1" t="s">
        <v>13</v>
      </c>
      <c r="C423" s="2" t="s">
        <v>14</v>
      </c>
      <c r="D423" s="1" t="s">
        <v>55</v>
      </c>
      <c r="E423" s="1" t="s">
        <v>56</v>
      </c>
      <c r="F423" s="1" t="s">
        <v>57</v>
      </c>
      <c r="G423" s="3">
        <v>6000</v>
      </c>
      <c r="H423" s="19">
        <v>45457</v>
      </c>
      <c r="I423" s="3" t="s">
        <v>137</v>
      </c>
      <c r="J423" s="3" t="s">
        <v>142</v>
      </c>
      <c r="K423" s="6">
        <v>352402032</v>
      </c>
      <c r="L423" s="6" t="s">
        <v>179</v>
      </c>
    </row>
    <row r="424" spans="1:12" customFormat="1" ht="14.4" x14ac:dyDescent="0.3">
      <c r="A424" s="1" t="s">
        <v>12</v>
      </c>
      <c r="B424" s="1" t="s">
        <v>13</v>
      </c>
      <c r="C424" s="2" t="s">
        <v>14</v>
      </c>
      <c r="D424" s="8" t="s">
        <v>104</v>
      </c>
      <c r="E424" s="9">
        <v>309023553967</v>
      </c>
      <c r="F424" s="1" t="s">
        <v>105</v>
      </c>
      <c r="G424" s="3">
        <v>5250</v>
      </c>
      <c r="H424" s="19">
        <v>45457</v>
      </c>
      <c r="I424" s="3" t="s">
        <v>91</v>
      </c>
      <c r="J424" s="3" t="s">
        <v>22</v>
      </c>
      <c r="K424" s="6">
        <v>352402047</v>
      </c>
      <c r="L424" s="6" t="s">
        <v>69</v>
      </c>
    </row>
    <row r="425" spans="1:12" customFormat="1" ht="14.4" x14ac:dyDescent="0.3">
      <c r="A425" s="1" t="s">
        <v>12</v>
      </c>
      <c r="B425" s="1" t="s">
        <v>13</v>
      </c>
      <c r="C425" s="2" t="s">
        <v>14</v>
      </c>
      <c r="D425" s="3" t="s">
        <v>149</v>
      </c>
      <c r="E425" s="18">
        <v>50100624324501</v>
      </c>
      <c r="F425" s="3" t="s">
        <v>150</v>
      </c>
      <c r="G425" s="3">
        <v>5250</v>
      </c>
      <c r="H425" s="19">
        <v>45457</v>
      </c>
      <c r="I425" s="3" t="s">
        <v>77</v>
      </c>
      <c r="J425" s="3" t="s">
        <v>29</v>
      </c>
      <c r="K425" s="6">
        <v>352402046</v>
      </c>
      <c r="L425" s="6" t="s">
        <v>69</v>
      </c>
    </row>
    <row r="426" spans="1:12" customFormat="1" ht="14.4" x14ac:dyDescent="0.3">
      <c r="A426" s="1" t="s">
        <v>12</v>
      </c>
      <c r="B426" s="1" t="s">
        <v>13</v>
      </c>
      <c r="C426" s="2" t="s">
        <v>14</v>
      </c>
      <c r="D426" s="1" t="s">
        <v>36</v>
      </c>
      <c r="E426" s="1" t="s">
        <v>37</v>
      </c>
      <c r="F426" s="1" t="s">
        <v>38</v>
      </c>
      <c r="G426" s="3">
        <v>5250</v>
      </c>
      <c r="H426" s="19">
        <v>45457</v>
      </c>
      <c r="I426" s="3" t="s">
        <v>92</v>
      </c>
      <c r="J426" s="3" t="s">
        <v>40</v>
      </c>
      <c r="K426" s="6">
        <v>352402043</v>
      </c>
      <c r="L426" s="6" t="s">
        <v>69</v>
      </c>
    </row>
    <row r="427" spans="1:12" customFormat="1" ht="14.4" x14ac:dyDescent="0.3">
      <c r="A427" s="1" t="s">
        <v>12</v>
      </c>
      <c r="B427" s="1" t="s">
        <v>13</v>
      </c>
      <c r="C427" s="2" t="s">
        <v>14</v>
      </c>
      <c r="D427" s="1" t="s">
        <v>70</v>
      </c>
      <c r="E427" s="1" t="s">
        <v>71</v>
      </c>
      <c r="F427" s="1" t="s">
        <v>72</v>
      </c>
      <c r="G427" s="3">
        <v>5250</v>
      </c>
      <c r="H427" s="19">
        <v>45457</v>
      </c>
      <c r="I427" s="3" t="s">
        <v>83</v>
      </c>
      <c r="J427" s="3" t="s">
        <v>84</v>
      </c>
      <c r="K427" s="6">
        <v>352402044</v>
      </c>
      <c r="L427" s="6" t="s">
        <v>69</v>
      </c>
    </row>
    <row r="428" spans="1:12" customFormat="1" ht="14.4" x14ac:dyDescent="0.3">
      <c r="A428" s="1" t="s">
        <v>12</v>
      </c>
      <c r="B428" s="1" t="s">
        <v>13</v>
      </c>
      <c r="C428" s="2" t="s">
        <v>14</v>
      </c>
      <c r="D428" s="1" t="s">
        <v>15</v>
      </c>
      <c r="E428" s="1" t="s">
        <v>16</v>
      </c>
      <c r="F428" s="1" t="s">
        <v>17</v>
      </c>
      <c r="G428" s="3">
        <v>4000</v>
      </c>
      <c r="H428" s="19">
        <v>45458</v>
      </c>
      <c r="I428" s="3" t="s">
        <v>85</v>
      </c>
      <c r="J428" s="3" t="s">
        <v>19</v>
      </c>
      <c r="K428" s="1">
        <v>352402077</v>
      </c>
      <c r="L428" s="6" t="s">
        <v>20</v>
      </c>
    </row>
    <row r="429" spans="1:12" customFormat="1" ht="14.4" x14ac:dyDescent="0.3">
      <c r="A429" s="1" t="s">
        <v>12</v>
      </c>
      <c r="B429" s="1" t="s">
        <v>13</v>
      </c>
      <c r="C429" s="2" t="s">
        <v>14</v>
      </c>
      <c r="D429" s="1" t="s">
        <v>41</v>
      </c>
      <c r="E429" s="1" t="s">
        <v>42</v>
      </c>
      <c r="F429" s="1" t="s">
        <v>43</v>
      </c>
      <c r="G429" s="3">
        <v>4000</v>
      </c>
      <c r="H429" s="19">
        <v>45458</v>
      </c>
      <c r="I429" s="3" t="s">
        <v>87</v>
      </c>
      <c r="J429" s="3" t="s">
        <v>45</v>
      </c>
      <c r="K429" s="1">
        <v>352402042</v>
      </c>
      <c r="L429" s="6" t="s">
        <v>20</v>
      </c>
    </row>
    <row r="430" spans="1:12" customFormat="1" ht="14.4" x14ac:dyDescent="0.3">
      <c r="A430" s="1" t="s">
        <v>12</v>
      </c>
      <c r="B430" s="1" t="s">
        <v>13</v>
      </c>
      <c r="C430" s="2" t="s">
        <v>14</v>
      </c>
      <c r="D430" s="1" t="s">
        <v>80</v>
      </c>
      <c r="E430" s="1" t="s">
        <v>81</v>
      </c>
      <c r="F430" s="1" t="s">
        <v>82</v>
      </c>
      <c r="G430" s="3">
        <v>5250</v>
      </c>
      <c r="H430" s="19">
        <v>45458</v>
      </c>
      <c r="I430" s="3" t="s">
        <v>117</v>
      </c>
      <c r="J430" s="3" t="s">
        <v>118</v>
      </c>
      <c r="K430" s="1">
        <v>352401880</v>
      </c>
      <c r="L430" s="6" t="s">
        <v>69</v>
      </c>
    </row>
    <row r="431" spans="1:12" customFormat="1" ht="14.4" x14ac:dyDescent="0.3">
      <c r="A431" s="1" t="s">
        <v>12</v>
      </c>
      <c r="B431" s="1" t="s">
        <v>13</v>
      </c>
      <c r="C431" s="2" t="s">
        <v>14</v>
      </c>
      <c r="D431" s="1" t="s">
        <v>31</v>
      </c>
      <c r="E431" s="1" t="s">
        <v>32</v>
      </c>
      <c r="F431" s="1" t="s">
        <v>33</v>
      </c>
      <c r="G431" s="3">
        <v>6200</v>
      </c>
      <c r="H431" s="19">
        <v>45460</v>
      </c>
      <c r="I431" s="3" t="s">
        <v>78</v>
      </c>
      <c r="J431" s="3" t="s">
        <v>79</v>
      </c>
      <c r="K431" s="1">
        <v>352402112</v>
      </c>
      <c r="L431" s="6" t="s">
        <v>180</v>
      </c>
    </row>
    <row r="432" spans="1:12" customFormat="1" ht="14.4" x14ac:dyDescent="0.3">
      <c r="A432" s="1" t="s">
        <v>12</v>
      </c>
      <c r="B432" s="1" t="s">
        <v>13</v>
      </c>
      <c r="C432" s="2" t="s">
        <v>14</v>
      </c>
      <c r="D432" s="1" t="s">
        <v>31</v>
      </c>
      <c r="E432" s="1" t="s">
        <v>32</v>
      </c>
      <c r="F432" s="1" t="s">
        <v>33</v>
      </c>
      <c r="G432" s="3">
        <v>6200</v>
      </c>
      <c r="H432" s="19">
        <v>45460</v>
      </c>
      <c r="I432" s="3" t="s">
        <v>78</v>
      </c>
      <c r="J432" s="3" t="s">
        <v>79</v>
      </c>
      <c r="K432" s="1">
        <v>352402112</v>
      </c>
      <c r="L432" s="6" t="s">
        <v>30</v>
      </c>
    </row>
    <row r="433" spans="1:12" customFormat="1" ht="14.4" x14ac:dyDescent="0.3">
      <c r="A433" s="1" t="s">
        <v>12</v>
      </c>
      <c r="B433" s="1" t="s">
        <v>13</v>
      </c>
      <c r="C433" s="2" t="s">
        <v>14</v>
      </c>
      <c r="D433" s="1" t="s">
        <v>36</v>
      </c>
      <c r="E433" s="1" t="s">
        <v>37</v>
      </c>
      <c r="F433" s="1" t="s">
        <v>38</v>
      </c>
      <c r="G433" s="3">
        <v>7500</v>
      </c>
      <c r="H433" s="19">
        <v>45460</v>
      </c>
      <c r="I433" s="3" t="s">
        <v>92</v>
      </c>
      <c r="J433" s="3" t="s">
        <v>40</v>
      </c>
      <c r="K433" s="1">
        <v>352402043</v>
      </c>
      <c r="L433" s="6" t="s">
        <v>141</v>
      </c>
    </row>
    <row r="434" spans="1:12" customFormat="1" ht="14.4" x14ac:dyDescent="0.3">
      <c r="A434" s="1" t="s">
        <v>12</v>
      </c>
      <c r="B434" s="1" t="s">
        <v>13</v>
      </c>
      <c r="C434" s="2" t="s">
        <v>14</v>
      </c>
      <c r="D434" s="1" t="s">
        <v>64</v>
      </c>
      <c r="E434" s="1" t="s">
        <v>65</v>
      </c>
      <c r="F434" s="1" t="s">
        <v>66</v>
      </c>
      <c r="G434" s="3">
        <v>5250</v>
      </c>
      <c r="H434" s="19">
        <v>45460</v>
      </c>
      <c r="I434" s="3" t="s">
        <v>101</v>
      </c>
      <c r="J434" s="3" t="s">
        <v>68</v>
      </c>
      <c r="K434" s="1">
        <v>352402015</v>
      </c>
      <c r="L434" s="6" t="s">
        <v>69</v>
      </c>
    </row>
    <row r="435" spans="1:12" customFormat="1" ht="14.4" x14ac:dyDescent="0.3">
      <c r="A435" s="1" t="s">
        <v>12</v>
      </c>
      <c r="B435" s="1" t="s">
        <v>13</v>
      </c>
      <c r="C435" s="2" t="s">
        <v>14</v>
      </c>
      <c r="D435" s="8" t="s">
        <v>104</v>
      </c>
      <c r="E435" s="9">
        <v>309023553967</v>
      </c>
      <c r="F435" s="1" t="s">
        <v>105</v>
      </c>
      <c r="G435" s="3">
        <v>5250</v>
      </c>
      <c r="H435" s="19">
        <v>45460</v>
      </c>
      <c r="I435" s="3" t="s">
        <v>91</v>
      </c>
      <c r="J435" s="3" t="s">
        <v>22</v>
      </c>
      <c r="K435" s="1">
        <v>352402047</v>
      </c>
      <c r="L435" s="6" t="s">
        <v>69</v>
      </c>
    </row>
    <row r="436" spans="1:12" customFormat="1" ht="14.4" x14ac:dyDescent="0.3">
      <c r="A436" s="1" t="s">
        <v>12</v>
      </c>
      <c r="B436" s="1" t="s">
        <v>13</v>
      </c>
      <c r="C436" s="2" t="s">
        <v>14</v>
      </c>
      <c r="D436" s="3" t="s">
        <v>149</v>
      </c>
      <c r="E436" s="18">
        <v>50100624324501</v>
      </c>
      <c r="F436" s="3" t="s">
        <v>150</v>
      </c>
      <c r="G436" s="3">
        <v>5250</v>
      </c>
      <c r="H436" s="19">
        <v>45460</v>
      </c>
      <c r="I436" s="3" t="s">
        <v>77</v>
      </c>
      <c r="J436" s="3" t="s">
        <v>29</v>
      </c>
      <c r="K436" s="1">
        <v>352402046</v>
      </c>
      <c r="L436" s="6" t="s">
        <v>69</v>
      </c>
    </row>
    <row r="437" spans="1:12" customFormat="1" ht="14.4" x14ac:dyDescent="0.3">
      <c r="A437" s="1" t="s">
        <v>12</v>
      </c>
      <c r="B437" s="1" t="s">
        <v>13</v>
      </c>
      <c r="C437" s="2" t="s">
        <v>14</v>
      </c>
      <c r="D437" s="1" t="s">
        <v>70</v>
      </c>
      <c r="E437" s="1" t="s">
        <v>71</v>
      </c>
      <c r="F437" s="1" t="s">
        <v>72</v>
      </c>
      <c r="G437" s="3">
        <v>5250</v>
      </c>
      <c r="H437" s="19">
        <v>45460</v>
      </c>
      <c r="I437" s="3" t="s">
        <v>83</v>
      </c>
      <c r="J437" s="3" t="s">
        <v>84</v>
      </c>
      <c r="K437" s="1">
        <v>352402044</v>
      </c>
      <c r="L437" s="6" t="s">
        <v>69</v>
      </c>
    </row>
    <row r="438" spans="1:12" customFormat="1" ht="14.4" x14ac:dyDescent="0.3">
      <c r="A438" s="1" t="s">
        <v>12</v>
      </c>
      <c r="B438" s="1" t="s">
        <v>13</v>
      </c>
      <c r="C438" s="2" t="s">
        <v>14</v>
      </c>
      <c r="D438" s="1" t="s">
        <v>173</v>
      </c>
      <c r="E438" s="1" t="s">
        <v>174</v>
      </c>
      <c r="F438" s="1" t="s">
        <v>33</v>
      </c>
      <c r="G438" s="3">
        <v>500</v>
      </c>
      <c r="H438" s="19">
        <v>45460</v>
      </c>
      <c r="I438" s="3" t="s">
        <v>175</v>
      </c>
      <c r="J438" s="3" t="s">
        <v>176</v>
      </c>
      <c r="K438" s="6">
        <v>352402089</v>
      </c>
      <c r="L438" s="6" t="s">
        <v>181</v>
      </c>
    </row>
    <row r="439" spans="1:12" customFormat="1" ht="14.4" x14ac:dyDescent="0.3">
      <c r="A439" s="1" t="s">
        <v>12</v>
      </c>
      <c r="B439" s="1" t="s">
        <v>13</v>
      </c>
      <c r="C439" s="2" t="s">
        <v>14</v>
      </c>
      <c r="D439" s="1" t="s">
        <v>95</v>
      </c>
      <c r="E439" s="1" t="s">
        <v>96</v>
      </c>
      <c r="F439" s="1" t="s">
        <v>33</v>
      </c>
      <c r="G439" s="1">
        <v>6000</v>
      </c>
      <c r="H439" s="5">
        <v>45461</v>
      </c>
      <c r="I439" s="3" t="s">
        <v>97</v>
      </c>
      <c r="J439" s="3" t="s">
        <v>98</v>
      </c>
      <c r="K439" s="1">
        <v>352402134</v>
      </c>
      <c r="L439" s="6" t="s">
        <v>182</v>
      </c>
    </row>
    <row r="440" spans="1:12" customFormat="1" ht="14.4" x14ac:dyDescent="0.3">
      <c r="A440" s="1" t="s">
        <v>12</v>
      </c>
      <c r="B440" s="1" t="s">
        <v>13</v>
      </c>
      <c r="C440" s="2" t="s">
        <v>14</v>
      </c>
      <c r="D440" s="1" t="s">
        <v>15</v>
      </c>
      <c r="E440" s="1" t="s">
        <v>16</v>
      </c>
      <c r="F440" s="1" t="s">
        <v>17</v>
      </c>
      <c r="G440" s="3">
        <v>4000</v>
      </c>
      <c r="H440" s="5">
        <v>45461</v>
      </c>
      <c r="I440" s="3" t="s">
        <v>85</v>
      </c>
      <c r="J440" s="3" t="s">
        <v>19</v>
      </c>
      <c r="K440" s="1">
        <v>352402128</v>
      </c>
      <c r="L440" s="6" t="s">
        <v>20</v>
      </c>
    </row>
    <row r="441" spans="1:12" customFormat="1" ht="14.4" x14ac:dyDescent="0.3">
      <c r="A441" s="1" t="s">
        <v>12</v>
      </c>
      <c r="B441" s="1" t="s">
        <v>13</v>
      </c>
      <c r="C441" s="2" t="s">
        <v>14</v>
      </c>
      <c r="D441" s="1" t="s">
        <v>41</v>
      </c>
      <c r="E441" s="1" t="s">
        <v>42</v>
      </c>
      <c r="F441" s="1" t="s">
        <v>43</v>
      </c>
      <c r="G441" s="3">
        <v>4000</v>
      </c>
      <c r="H441" s="5">
        <v>45461</v>
      </c>
      <c r="I441" s="3" t="s">
        <v>87</v>
      </c>
      <c r="J441" s="3" t="s">
        <v>45</v>
      </c>
      <c r="K441" s="1">
        <v>352402129</v>
      </c>
      <c r="L441" s="6" t="s">
        <v>20</v>
      </c>
    </row>
    <row r="442" spans="1:12" customFormat="1" ht="14.4" x14ac:dyDescent="0.3">
      <c r="A442" s="1" t="s">
        <v>12</v>
      </c>
      <c r="B442" s="1" t="s">
        <v>13</v>
      </c>
      <c r="C442" s="2" t="s">
        <v>14</v>
      </c>
      <c r="D442" s="1" t="s">
        <v>64</v>
      </c>
      <c r="E442" s="1" t="s">
        <v>65</v>
      </c>
      <c r="F442" s="1" t="s">
        <v>66</v>
      </c>
      <c r="G442" s="3">
        <v>5250</v>
      </c>
      <c r="H442" s="5">
        <v>45461</v>
      </c>
      <c r="I442" s="3" t="s">
        <v>101</v>
      </c>
      <c r="J442" s="3" t="s">
        <v>68</v>
      </c>
      <c r="K442" s="1">
        <v>352402155</v>
      </c>
      <c r="L442" s="6" t="s">
        <v>69</v>
      </c>
    </row>
    <row r="443" spans="1:12" customFormat="1" ht="14.4" x14ac:dyDescent="0.3">
      <c r="A443" s="1" t="s">
        <v>12</v>
      </c>
      <c r="B443" s="1" t="s">
        <v>13</v>
      </c>
      <c r="C443" s="2" t="s">
        <v>14</v>
      </c>
      <c r="D443" s="1" t="s">
        <v>80</v>
      </c>
      <c r="E443" s="1" t="s">
        <v>81</v>
      </c>
      <c r="F443" s="1" t="s">
        <v>82</v>
      </c>
      <c r="G443" s="3">
        <v>4750</v>
      </c>
      <c r="H443" s="5">
        <v>45461</v>
      </c>
      <c r="I443" s="3" t="s">
        <v>117</v>
      </c>
      <c r="J443" s="3" t="s">
        <v>118</v>
      </c>
      <c r="K443" s="1">
        <v>352402131</v>
      </c>
      <c r="L443" s="6" t="s">
        <v>139</v>
      </c>
    </row>
    <row r="444" spans="1:12" customFormat="1" ht="13.8" customHeight="1" x14ac:dyDescent="0.3">
      <c r="A444" s="1" t="s">
        <v>12</v>
      </c>
      <c r="B444" s="1" t="s">
        <v>13</v>
      </c>
      <c r="C444" s="2" t="s">
        <v>14</v>
      </c>
      <c r="D444" s="1" t="s">
        <v>41</v>
      </c>
      <c r="E444" s="1" t="s">
        <v>61</v>
      </c>
      <c r="F444" s="1" t="s">
        <v>62</v>
      </c>
      <c r="G444" s="3">
        <v>5250</v>
      </c>
      <c r="H444" s="5">
        <v>45461</v>
      </c>
      <c r="I444" s="3" t="s">
        <v>88</v>
      </c>
      <c r="J444" s="3" t="s">
        <v>59</v>
      </c>
      <c r="K444" s="1">
        <v>352402132</v>
      </c>
      <c r="L444" s="6" t="s">
        <v>69</v>
      </c>
    </row>
    <row r="445" spans="1:12" customFormat="1" ht="14.4" x14ac:dyDescent="0.3">
      <c r="A445" s="1" t="s">
        <v>12</v>
      </c>
      <c r="B445" s="1" t="s">
        <v>13</v>
      </c>
      <c r="C445" s="2" t="s">
        <v>14</v>
      </c>
      <c r="D445" s="8" t="s">
        <v>104</v>
      </c>
      <c r="E445" s="9">
        <v>309023553967</v>
      </c>
      <c r="F445" s="1" t="s">
        <v>105</v>
      </c>
      <c r="G445" s="3">
        <v>5250</v>
      </c>
      <c r="H445" s="5">
        <v>45461</v>
      </c>
      <c r="I445" s="3" t="s">
        <v>91</v>
      </c>
      <c r="J445" s="3" t="s">
        <v>22</v>
      </c>
      <c r="K445" s="1">
        <v>352402153</v>
      </c>
      <c r="L445" s="6" t="s">
        <v>69</v>
      </c>
    </row>
    <row r="446" spans="1:12" customFormat="1" ht="14.4" x14ac:dyDescent="0.3">
      <c r="A446" s="1" t="s">
        <v>12</v>
      </c>
      <c r="B446" s="1" t="s">
        <v>13</v>
      </c>
      <c r="C446" s="2" t="s">
        <v>14</v>
      </c>
      <c r="D446" s="3" t="s">
        <v>149</v>
      </c>
      <c r="E446" s="18">
        <v>50100624324501</v>
      </c>
      <c r="F446" s="3" t="s">
        <v>150</v>
      </c>
      <c r="G446" s="3">
        <v>5250</v>
      </c>
      <c r="H446" s="5">
        <v>45461</v>
      </c>
      <c r="I446" s="3" t="s">
        <v>77</v>
      </c>
      <c r="J446" s="3" t="s">
        <v>29</v>
      </c>
      <c r="K446" s="1">
        <v>352402152</v>
      </c>
      <c r="L446" s="6" t="s">
        <v>69</v>
      </c>
    </row>
    <row r="447" spans="1:12" customFormat="1" ht="14.4" x14ac:dyDescent="0.3">
      <c r="A447" s="1" t="s">
        <v>12</v>
      </c>
      <c r="B447" s="1" t="s">
        <v>13</v>
      </c>
      <c r="C447" s="2" t="s">
        <v>14</v>
      </c>
      <c r="D447" s="1" t="s">
        <v>36</v>
      </c>
      <c r="E447" s="1" t="s">
        <v>37</v>
      </c>
      <c r="F447" s="1" t="s">
        <v>38</v>
      </c>
      <c r="G447" s="3">
        <v>5250</v>
      </c>
      <c r="H447" s="5">
        <v>45461</v>
      </c>
      <c r="I447" s="3" t="s">
        <v>92</v>
      </c>
      <c r="J447" s="3" t="s">
        <v>40</v>
      </c>
      <c r="K447" s="1">
        <v>352402145</v>
      </c>
      <c r="L447" s="6" t="s">
        <v>69</v>
      </c>
    </row>
    <row r="448" spans="1:12" customFormat="1" ht="14.4" x14ac:dyDescent="0.3">
      <c r="A448" s="1" t="s">
        <v>12</v>
      </c>
      <c r="B448" s="1" t="s">
        <v>13</v>
      </c>
      <c r="C448" s="2" t="s">
        <v>14</v>
      </c>
      <c r="D448" s="1" t="s">
        <v>70</v>
      </c>
      <c r="E448" s="1" t="s">
        <v>71</v>
      </c>
      <c r="F448" s="1" t="s">
        <v>72</v>
      </c>
      <c r="G448" s="3">
        <v>5250</v>
      </c>
      <c r="H448" s="5">
        <v>45461</v>
      </c>
      <c r="I448" s="3" t="s">
        <v>83</v>
      </c>
      <c r="J448" s="3" t="s">
        <v>84</v>
      </c>
      <c r="K448" s="1">
        <v>352402154</v>
      </c>
      <c r="L448" s="6" t="s">
        <v>69</v>
      </c>
    </row>
    <row r="449" spans="1:12" customFormat="1" ht="14.4" x14ac:dyDescent="0.3">
      <c r="A449" s="1" t="s">
        <v>12</v>
      </c>
      <c r="B449" s="1" t="s">
        <v>13</v>
      </c>
      <c r="C449" s="2" t="s">
        <v>14</v>
      </c>
      <c r="D449" s="1" t="s">
        <v>95</v>
      </c>
      <c r="E449" s="1" t="s">
        <v>96</v>
      </c>
      <c r="F449" s="1" t="s">
        <v>33</v>
      </c>
      <c r="G449" s="1">
        <v>6200</v>
      </c>
      <c r="H449" s="5">
        <v>45461</v>
      </c>
      <c r="I449" s="3" t="s">
        <v>97</v>
      </c>
      <c r="J449" s="3" t="s">
        <v>98</v>
      </c>
      <c r="K449" s="1">
        <v>352402134</v>
      </c>
      <c r="L449" s="6" t="s">
        <v>30</v>
      </c>
    </row>
    <row r="450" spans="1:12" customFormat="1" ht="14.4" x14ac:dyDescent="0.3">
      <c r="A450" s="1" t="s">
        <v>12</v>
      </c>
      <c r="B450" s="1" t="s">
        <v>13</v>
      </c>
      <c r="C450" s="2" t="s">
        <v>14</v>
      </c>
      <c r="D450" s="1" t="s">
        <v>55</v>
      </c>
      <c r="E450" s="1" t="s">
        <v>56</v>
      </c>
      <c r="F450" s="1" t="s">
        <v>57</v>
      </c>
      <c r="G450" s="3">
        <v>4750</v>
      </c>
      <c r="H450" s="5">
        <v>45461</v>
      </c>
      <c r="I450" s="3" t="s">
        <v>137</v>
      </c>
      <c r="J450" s="3" t="s">
        <v>142</v>
      </c>
      <c r="K450" s="6">
        <v>352402095</v>
      </c>
      <c r="L450" s="6" t="s">
        <v>139</v>
      </c>
    </row>
    <row r="451" spans="1:12" customFormat="1" ht="14.4" x14ac:dyDescent="0.3">
      <c r="A451" s="1" t="s">
        <v>12</v>
      </c>
      <c r="B451" s="1" t="s">
        <v>13</v>
      </c>
      <c r="C451" s="2" t="s">
        <v>14</v>
      </c>
      <c r="D451" s="1" t="s">
        <v>15</v>
      </c>
      <c r="E451" s="1" t="s">
        <v>16</v>
      </c>
      <c r="F451" s="1" t="s">
        <v>17</v>
      </c>
      <c r="G451" s="3">
        <v>4000</v>
      </c>
      <c r="H451" s="5">
        <v>45462</v>
      </c>
      <c r="I451" s="3" t="s">
        <v>85</v>
      </c>
      <c r="J451" s="3" t="s">
        <v>19</v>
      </c>
      <c r="K451" s="1">
        <v>352402183</v>
      </c>
      <c r="L451" s="6" t="s">
        <v>20</v>
      </c>
    </row>
    <row r="452" spans="1:12" customFormat="1" ht="14.4" x14ac:dyDescent="0.3">
      <c r="A452" s="1" t="s">
        <v>12</v>
      </c>
      <c r="B452" s="1" t="s">
        <v>13</v>
      </c>
      <c r="C452" s="2" t="s">
        <v>14</v>
      </c>
      <c r="D452" s="1" t="s">
        <v>41</v>
      </c>
      <c r="E452" s="1" t="s">
        <v>42</v>
      </c>
      <c r="F452" s="1" t="s">
        <v>43</v>
      </c>
      <c r="G452" s="3">
        <v>4000</v>
      </c>
      <c r="H452" s="5">
        <v>45462</v>
      </c>
      <c r="I452" s="3" t="s">
        <v>87</v>
      </c>
      <c r="J452" s="3" t="s">
        <v>45</v>
      </c>
      <c r="K452" s="1">
        <v>352402184</v>
      </c>
      <c r="L452" s="6" t="s">
        <v>20</v>
      </c>
    </row>
    <row r="453" spans="1:12" customFormat="1" ht="14.4" x14ac:dyDescent="0.3">
      <c r="A453" s="1" t="s">
        <v>12</v>
      </c>
      <c r="B453" s="1" t="s">
        <v>13</v>
      </c>
      <c r="C453" s="2" t="s">
        <v>14</v>
      </c>
      <c r="D453" s="1" t="s">
        <v>64</v>
      </c>
      <c r="E453" s="1" t="s">
        <v>65</v>
      </c>
      <c r="F453" s="1" t="s">
        <v>66</v>
      </c>
      <c r="G453" s="3">
        <v>4750</v>
      </c>
      <c r="H453" s="5">
        <v>45462</v>
      </c>
      <c r="I453" s="3" t="s">
        <v>101</v>
      </c>
      <c r="J453" s="3" t="s">
        <v>68</v>
      </c>
      <c r="K453" s="1">
        <v>352402185</v>
      </c>
      <c r="L453" s="6" t="s">
        <v>24</v>
      </c>
    </row>
    <row r="454" spans="1:12" customFormat="1" ht="14.4" x14ac:dyDescent="0.3">
      <c r="A454" s="1" t="s">
        <v>12</v>
      </c>
      <c r="B454" s="1" t="s">
        <v>13</v>
      </c>
      <c r="C454" s="2" t="s">
        <v>14</v>
      </c>
      <c r="D454" s="1" t="s">
        <v>31</v>
      </c>
      <c r="E454" s="1" t="s">
        <v>32</v>
      </c>
      <c r="F454" s="1" t="s">
        <v>33</v>
      </c>
      <c r="G454" s="3">
        <v>6200</v>
      </c>
      <c r="H454" s="5">
        <v>45462</v>
      </c>
      <c r="I454" s="3" t="s">
        <v>78</v>
      </c>
      <c r="J454" s="3" t="s">
        <v>79</v>
      </c>
      <c r="K454" s="1">
        <v>352402165</v>
      </c>
      <c r="L454" s="6" t="s">
        <v>30</v>
      </c>
    </row>
    <row r="455" spans="1:12" customFormat="1" ht="13.8" customHeight="1" x14ac:dyDescent="0.3">
      <c r="A455" s="1" t="s">
        <v>12</v>
      </c>
      <c r="B455" s="1" t="s">
        <v>13</v>
      </c>
      <c r="C455" s="2" t="s">
        <v>14</v>
      </c>
      <c r="D455" s="1" t="s">
        <v>41</v>
      </c>
      <c r="E455" s="1" t="s">
        <v>61</v>
      </c>
      <c r="F455" s="1" t="s">
        <v>62</v>
      </c>
      <c r="G455" s="3">
        <v>5250</v>
      </c>
      <c r="H455" s="5">
        <v>45462</v>
      </c>
      <c r="I455" s="3" t="s">
        <v>88</v>
      </c>
      <c r="J455" s="3" t="s">
        <v>59</v>
      </c>
      <c r="K455" s="1">
        <v>352402191</v>
      </c>
      <c r="L455" s="6" t="s">
        <v>69</v>
      </c>
    </row>
    <row r="456" spans="1:12" customFormat="1" ht="14.4" x14ac:dyDescent="0.3">
      <c r="A456" s="1" t="s">
        <v>12</v>
      </c>
      <c r="B456" s="1" t="s">
        <v>13</v>
      </c>
      <c r="C456" s="2" t="s">
        <v>14</v>
      </c>
      <c r="D456" s="1" t="s">
        <v>95</v>
      </c>
      <c r="E456" s="1" t="s">
        <v>96</v>
      </c>
      <c r="F456" s="1" t="s">
        <v>33</v>
      </c>
      <c r="G456" s="1">
        <v>6200</v>
      </c>
      <c r="H456" s="5">
        <v>45462</v>
      </c>
      <c r="I456" s="3" t="s">
        <v>97</v>
      </c>
      <c r="J456" s="3" t="s">
        <v>98</v>
      </c>
      <c r="K456" s="1">
        <v>352402164</v>
      </c>
      <c r="L456" s="6" t="s">
        <v>30</v>
      </c>
    </row>
    <row r="457" spans="1:12" customFormat="1" ht="14.4" x14ac:dyDescent="0.3">
      <c r="A457" s="1" t="s">
        <v>12</v>
      </c>
      <c r="B457" s="1" t="s">
        <v>13</v>
      </c>
      <c r="C457" s="2" t="s">
        <v>14</v>
      </c>
      <c r="D457" s="8" t="s">
        <v>104</v>
      </c>
      <c r="E457" s="9">
        <v>309023553967</v>
      </c>
      <c r="F457" s="1" t="s">
        <v>105</v>
      </c>
      <c r="G457" s="3">
        <v>5250</v>
      </c>
      <c r="H457" s="5">
        <v>45462</v>
      </c>
      <c r="I457" s="3" t="s">
        <v>91</v>
      </c>
      <c r="J457" s="3" t="s">
        <v>22</v>
      </c>
      <c r="K457" s="1">
        <v>352402186</v>
      </c>
      <c r="L457" s="6" t="s">
        <v>69</v>
      </c>
    </row>
    <row r="458" spans="1:12" customFormat="1" ht="14.4" x14ac:dyDescent="0.3">
      <c r="A458" s="1" t="s">
        <v>12</v>
      </c>
      <c r="B458" s="1" t="s">
        <v>13</v>
      </c>
      <c r="C458" s="2" t="s">
        <v>14</v>
      </c>
      <c r="D458" s="3" t="s">
        <v>149</v>
      </c>
      <c r="E458" s="18">
        <v>50100624324501</v>
      </c>
      <c r="F458" s="3" t="s">
        <v>150</v>
      </c>
      <c r="G458" s="3">
        <v>5250</v>
      </c>
      <c r="H458" s="5">
        <v>45462</v>
      </c>
      <c r="I458" s="3" t="s">
        <v>77</v>
      </c>
      <c r="J458" s="3" t="s">
        <v>29</v>
      </c>
      <c r="K458" s="1">
        <v>352402190</v>
      </c>
      <c r="L458" s="6" t="s">
        <v>69</v>
      </c>
    </row>
    <row r="459" spans="1:12" customFormat="1" ht="14.4" x14ac:dyDescent="0.3">
      <c r="A459" s="1" t="s">
        <v>12</v>
      </c>
      <c r="B459" s="1" t="s">
        <v>13</v>
      </c>
      <c r="C459" s="2" t="s">
        <v>14</v>
      </c>
      <c r="D459" s="1" t="s">
        <v>108</v>
      </c>
      <c r="E459" s="1" t="s">
        <v>109</v>
      </c>
      <c r="F459" s="1" t="s">
        <v>110</v>
      </c>
      <c r="G459" s="3">
        <v>5250</v>
      </c>
      <c r="H459" s="5">
        <v>45462</v>
      </c>
      <c r="I459" s="3" t="s">
        <v>93</v>
      </c>
      <c r="J459" s="3" t="s">
        <v>34</v>
      </c>
      <c r="K459" s="1">
        <v>352402189</v>
      </c>
      <c r="L459" s="6" t="s">
        <v>69</v>
      </c>
    </row>
    <row r="460" spans="1:12" customFormat="1" ht="14.4" x14ac:dyDescent="0.3">
      <c r="A460" s="1" t="s">
        <v>12</v>
      </c>
      <c r="B460" s="1" t="s">
        <v>13</v>
      </c>
      <c r="C460" s="2" t="s">
        <v>14</v>
      </c>
      <c r="D460" s="1" t="s">
        <v>36</v>
      </c>
      <c r="E460" s="1" t="s">
        <v>37</v>
      </c>
      <c r="F460" s="1" t="s">
        <v>38</v>
      </c>
      <c r="G460" s="3">
        <v>5250</v>
      </c>
      <c r="H460" s="5">
        <v>45462</v>
      </c>
      <c r="I460" s="3" t="s">
        <v>92</v>
      </c>
      <c r="J460" s="3" t="s">
        <v>40</v>
      </c>
      <c r="K460" s="1">
        <v>352402187</v>
      </c>
      <c r="L460" s="6" t="s">
        <v>69</v>
      </c>
    </row>
    <row r="461" spans="1:12" customFormat="1" ht="14.4" x14ac:dyDescent="0.3">
      <c r="A461" s="1" t="s">
        <v>12</v>
      </c>
      <c r="B461" s="1" t="s">
        <v>13</v>
      </c>
      <c r="C461" s="2" t="s">
        <v>14</v>
      </c>
      <c r="D461" s="1" t="s">
        <v>70</v>
      </c>
      <c r="E461" s="1" t="s">
        <v>71</v>
      </c>
      <c r="F461" s="1" t="s">
        <v>72</v>
      </c>
      <c r="G461" s="3">
        <v>5250</v>
      </c>
      <c r="H461" s="5">
        <v>45462</v>
      </c>
      <c r="I461" s="3" t="s">
        <v>83</v>
      </c>
      <c r="J461" s="3" t="s">
        <v>84</v>
      </c>
      <c r="K461" s="1">
        <v>352402188</v>
      </c>
      <c r="L461" s="6" t="s">
        <v>69</v>
      </c>
    </row>
    <row r="462" spans="1:12" customFormat="1" ht="14.4" x14ac:dyDescent="0.3">
      <c r="A462" s="1" t="s">
        <v>12</v>
      </c>
      <c r="B462" s="1" t="s">
        <v>13</v>
      </c>
      <c r="C462" s="2" t="s">
        <v>14</v>
      </c>
      <c r="D462" s="1" t="s">
        <v>15</v>
      </c>
      <c r="E462" s="1" t="s">
        <v>16</v>
      </c>
      <c r="F462" s="1" t="s">
        <v>17</v>
      </c>
      <c r="G462" s="3">
        <v>4000</v>
      </c>
      <c r="H462" s="5">
        <v>45463</v>
      </c>
      <c r="I462" s="3" t="s">
        <v>85</v>
      </c>
      <c r="J462" s="3" t="s">
        <v>19</v>
      </c>
      <c r="K462" s="1">
        <v>352402218</v>
      </c>
      <c r="L462" s="6" t="s">
        <v>20</v>
      </c>
    </row>
    <row r="463" spans="1:12" customFormat="1" ht="14.4" x14ac:dyDescent="0.3">
      <c r="A463" s="1" t="s">
        <v>12</v>
      </c>
      <c r="B463" s="1" t="s">
        <v>13</v>
      </c>
      <c r="C463" s="2" t="s">
        <v>14</v>
      </c>
      <c r="D463" s="1" t="s">
        <v>41</v>
      </c>
      <c r="E463" s="1" t="s">
        <v>42</v>
      </c>
      <c r="F463" s="1" t="s">
        <v>43</v>
      </c>
      <c r="G463" s="3">
        <v>4000</v>
      </c>
      <c r="H463" s="5">
        <v>45463</v>
      </c>
      <c r="I463" s="3" t="s">
        <v>87</v>
      </c>
      <c r="J463" s="3" t="s">
        <v>45</v>
      </c>
      <c r="K463" s="1">
        <v>352402219</v>
      </c>
      <c r="L463" s="6" t="s">
        <v>20</v>
      </c>
    </row>
    <row r="464" spans="1:12" customFormat="1" ht="14.4" x14ac:dyDescent="0.3">
      <c r="A464" s="1" t="s">
        <v>12</v>
      </c>
      <c r="B464" s="1" t="s">
        <v>13</v>
      </c>
      <c r="C464" s="2" t="s">
        <v>14</v>
      </c>
      <c r="D464" s="1" t="s">
        <v>64</v>
      </c>
      <c r="E464" s="1" t="s">
        <v>65</v>
      </c>
      <c r="F464" s="1" t="s">
        <v>66</v>
      </c>
      <c r="G464" s="3">
        <v>5250</v>
      </c>
      <c r="H464" s="5">
        <v>45463</v>
      </c>
      <c r="I464" s="3" t="s">
        <v>101</v>
      </c>
      <c r="J464" s="3" t="s">
        <v>68</v>
      </c>
      <c r="K464" s="1">
        <v>352402230</v>
      </c>
      <c r="L464" s="6" t="s">
        <v>69</v>
      </c>
    </row>
    <row r="465" spans="1:12" customFormat="1" ht="14.4" x14ac:dyDescent="0.3">
      <c r="A465" s="1" t="s">
        <v>12</v>
      </c>
      <c r="B465" s="1" t="s">
        <v>13</v>
      </c>
      <c r="C465" s="2" t="s">
        <v>14</v>
      </c>
      <c r="D465" s="1" t="s">
        <v>80</v>
      </c>
      <c r="E465" s="1" t="s">
        <v>81</v>
      </c>
      <c r="F465" s="1" t="s">
        <v>82</v>
      </c>
      <c r="G465" s="3">
        <v>3750</v>
      </c>
      <c r="H465" s="5">
        <v>45463</v>
      </c>
      <c r="I465" s="3" t="s">
        <v>117</v>
      </c>
      <c r="J465" s="3" t="s">
        <v>118</v>
      </c>
      <c r="K465" s="1">
        <v>352402180</v>
      </c>
      <c r="L465" s="6" t="s">
        <v>69</v>
      </c>
    </row>
    <row r="466" spans="1:12" customFormat="1" ht="14.4" x14ac:dyDescent="0.3">
      <c r="A466" s="1" t="s">
        <v>12</v>
      </c>
      <c r="B466" s="1" t="s">
        <v>13</v>
      </c>
      <c r="C466" s="2" t="s">
        <v>14</v>
      </c>
      <c r="D466" s="8" t="s">
        <v>104</v>
      </c>
      <c r="E466" s="9">
        <v>309023553967</v>
      </c>
      <c r="F466" s="1" t="s">
        <v>105</v>
      </c>
      <c r="G466" s="3">
        <v>5250</v>
      </c>
      <c r="H466" s="5">
        <v>45463</v>
      </c>
      <c r="I466" s="3" t="s">
        <v>91</v>
      </c>
      <c r="J466" s="3" t="s">
        <v>22</v>
      </c>
      <c r="K466" s="1">
        <v>352402223</v>
      </c>
      <c r="L466" s="6" t="s">
        <v>69</v>
      </c>
    </row>
    <row r="467" spans="1:12" customFormat="1" ht="14.4" x14ac:dyDescent="0.3">
      <c r="A467" s="1" t="s">
        <v>12</v>
      </c>
      <c r="B467" s="1" t="s">
        <v>13</v>
      </c>
      <c r="C467" s="2" t="s">
        <v>14</v>
      </c>
      <c r="D467" s="3" t="s">
        <v>149</v>
      </c>
      <c r="E467" s="18">
        <v>50100624324501</v>
      </c>
      <c r="F467" s="3" t="s">
        <v>150</v>
      </c>
      <c r="G467" s="3">
        <v>5250</v>
      </c>
      <c r="H467" s="5">
        <v>45463</v>
      </c>
      <c r="I467" s="3" t="s">
        <v>77</v>
      </c>
      <c r="J467" s="3" t="s">
        <v>29</v>
      </c>
      <c r="K467" s="1">
        <v>352402225</v>
      </c>
      <c r="L467" s="6" t="s">
        <v>69</v>
      </c>
    </row>
    <row r="468" spans="1:12" customFormat="1" ht="14.4" x14ac:dyDescent="0.3">
      <c r="A468" s="1" t="s">
        <v>12</v>
      </c>
      <c r="B468" s="1" t="s">
        <v>13</v>
      </c>
      <c r="C468" s="2" t="s">
        <v>14</v>
      </c>
      <c r="D468" s="1" t="s">
        <v>36</v>
      </c>
      <c r="E468" s="1" t="s">
        <v>37</v>
      </c>
      <c r="F468" s="1" t="s">
        <v>38</v>
      </c>
      <c r="G468" s="3">
        <v>5250</v>
      </c>
      <c r="H468" s="5">
        <v>45463</v>
      </c>
      <c r="I468" s="3" t="s">
        <v>92</v>
      </c>
      <c r="J468" s="3" t="s">
        <v>40</v>
      </c>
      <c r="K468" s="1">
        <v>352402224</v>
      </c>
      <c r="L468" s="6" t="s">
        <v>69</v>
      </c>
    </row>
    <row r="469" spans="1:12" customFormat="1" ht="14.4" x14ac:dyDescent="0.3">
      <c r="A469" s="1" t="s">
        <v>12</v>
      </c>
      <c r="B469" s="1" t="s">
        <v>13</v>
      </c>
      <c r="C469" s="2" t="s">
        <v>14</v>
      </c>
      <c r="D469" s="1" t="s">
        <v>183</v>
      </c>
      <c r="E469" s="1" t="s">
        <v>184</v>
      </c>
      <c r="F469" s="1" t="s">
        <v>185</v>
      </c>
      <c r="G469" s="3">
        <v>500</v>
      </c>
      <c r="H469" s="5">
        <v>45464</v>
      </c>
      <c r="I469" s="3" t="s">
        <v>186</v>
      </c>
      <c r="J469" s="3" t="s">
        <v>187</v>
      </c>
      <c r="K469" s="1">
        <v>352402240</v>
      </c>
      <c r="L469" s="6" t="s">
        <v>188</v>
      </c>
    </row>
    <row r="470" spans="1:12" customFormat="1" ht="14.4" x14ac:dyDescent="0.3">
      <c r="A470" s="1" t="s">
        <v>12</v>
      </c>
      <c r="B470" s="1" t="s">
        <v>13</v>
      </c>
      <c r="C470" s="2" t="s">
        <v>14</v>
      </c>
      <c r="D470" s="1" t="s">
        <v>80</v>
      </c>
      <c r="E470" s="1" t="s">
        <v>81</v>
      </c>
      <c r="F470" s="1" t="s">
        <v>82</v>
      </c>
      <c r="G470" s="3">
        <v>3000</v>
      </c>
      <c r="H470" s="5">
        <v>45464</v>
      </c>
      <c r="I470" s="3" t="s">
        <v>117</v>
      </c>
      <c r="J470" s="3" t="s">
        <v>118</v>
      </c>
      <c r="K470" s="1">
        <v>352402253</v>
      </c>
      <c r="L470" s="6" t="s">
        <v>189</v>
      </c>
    </row>
    <row r="471" spans="1:12" customFormat="1" ht="14.4" x14ac:dyDescent="0.3">
      <c r="A471" s="1" t="s">
        <v>12</v>
      </c>
      <c r="B471" s="1" t="s">
        <v>13</v>
      </c>
      <c r="C471" s="2" t="s">
        <v>14</v>
      </c>
      <c r="D471" s="1" t="s">
        <v>70</v>
      </c>
      <c r="E471" s="1" t="s">
        <v>71</v>
      </c>
      <c r="F471" s="1" t="s">
        <v>72</v>
      </c>
      <c r="G471" s="3">
        <v>3000</v>
      </c>
      <c r="H471" s="5">
        <v>45464</v>
      </c>
      <c r="I471" s="3" t="s">
        <v>83</v>
      </c>
      <c r="J471" s="3" t="s">
        <v>84</v>
      </c>
      <c r="K471" s="1">
        <v>352402227</v>
      </c>
      <c r="L471" s="6" t="s">
        <v>189</v>
      </c>
    </row>
    <row r="472" spans="1:12" customFormat="1" ht="14.4" x14ac:dyDescent="0.3">
      <c r="A472" s="1" t="s">
        <v>12</v>
      </c>
      <c r="B472" s="1" t="s">
        <v>13</v>
      </c>
      <c r="C472" s="2" t="s">
        <v>14</v>
      </c>
      <c r="D472" s="1" t="s">
        <v>31</v>
      </c>
      <c r="E472" s="1" t="s">
        <v>32</v>
      </c>
      <c r="F472" s="1" t="s">
        <v>33</v>
      </c>
      <c r="G472" s="3">
        <v>6200</v>
      </c>
      <c r="H472" s="5">
        <v>45464</v>
      </c>
      <c r="I472" s="3" t="s">
        <v>78</v>
      </c>
      <c r="J472" s="3" t="s">
        <v>79</v>
      </c>
      <c r="K472" s="1">
        <v>352402202</v>
      </c>
      <c r="L472" s="6" t="s">
        <v>30</v>
      </c>
    </row>
    <row r="473" spans="1:12" customFormat="1" ht="14.4" x14ac:dyDescent="0.3">
      <c r="A473" s="1" t="s">
        <v>12</v>
      </c>
      <c r="B473" s="1" t="s">
        <v>13</v>
      </c>
      <c r="C473" s="2" t="s">
        <v>14</v>
      </c>
      <c r="D473" s="1" t="s">
        <v>73</v>
      </c>
      <c r="E473" s="1" t="s">
        <v>89</v>
      </c>
      <c r="F473" s="1" t="s">
        <v>74</v>
      </c>
      <c r="G473" s="3">
        <v>5000</v>
      </c>
      <c r="H473" s="5">
        <v>45464</v>
      </c>
      <c r="I473" s="3" t="s">
        <v>90</v>
      </c>
      <c r="J473" s="3" t="s">
        <v>76</v>
      </c>
      <c r="K473" s="1">
        <v>352402204</v>
      </c>
      <c r="L473" s="6" t="s">
        <v>164</v>
      </c>
    </row>
    <row r="474" spans="1:12" customFormat="1" ht="14.4" x14ac:dyDescent="0.3">
      <c r="A474" s="1" t="s">
        <v>12</v>
      </c>
      <c r="B474" s="1" t="s">
        <v>13</v>
      </c>
      <c r="C474" s="2" t="s">
        <v>14</v>
      </c>
      <c r="D474" s="1" t="s">
        <v>64</v>
      </c>
      <c r="E474" s="1" t="s">
        <v>65</v>
      </c>
      <c r="F474" s="1" t="s">
        <v>66</v>
      </c>
      <c r="G474" s="3">
        <v>5250</v>
      </c>
      <c r="H474" s="5">
        <v>45464</v>
      </c>
      <c r="I474" s="3" t="s">
        <v>101</v>
      </c>
      <c r="J474" s="3" t="s">
        <v>68</v>
      </c>
      <c r="K474" s="1">
        <v>352402254</v>
      </c>
      <c r="L474" s="6" t="s">
        <v>69</v>
      </c>
    </row>
    <row r="475" spans="1:12" customFormat="1" ht="14.4" x14ac:dyDescent="0.3">
      <c r="A475" s="1" t="s">
        <v>12</v>
      </c>
      <c r="B475" s="1" t="s">
        <v>13</v>
      </c>
      <c r="C475" s="2" t="s">
        <v>14</v>
      </c>
      <c r="D475" s="8" t="s">
        <v>104</v>
      </c>
      <c r="E475" s="9">
        <v>309023553967</v>
      </c>
      <c r="F475" s="1" t="s">
        <v>105</v>
      </c>
      <c r="G475" s="3">
        <v>5250</v>
      </c>
      <c r="H475" s="5">
        <v>45464</v>
      </c>
      <c r="I475" s="3" t="s">
        <v>91</v>
      </c>
      <c r="J475" s="3" t="s">
        <v>22</v>
      </c>
      <c r="K475" s="1">
        <v>352402250</v>
      </c>
      <c r="L475" s="6" t="s">
        <v>69</v>
      </c>
    </row>
    <row r="476" spans="1:12" customFormat="1" ht="14.4" x14ac:dyDescent="0.3">
      <c r="A476" s="1" t="s">
        <v>12</v>
      </c>
      <c r="B476" s="1" t="s">
        <v>13</v>
      </c>
      <c r="C476" s="2" t="s">
        <v>14</v>
      </c>
      <c r="D476" s="1" t="s">
        <v>36</v>
      </c>
      <c r="E476" s="1" t="s">
        <v>37</v>
      </c>
      <c r="F476" s="1" t="s">
        <v>38</v>
      </c>
      <c r="G476" s="3">
        <v>5250</v>
      </c>
      <c r="H476" s="5">
        <v>45464</v>
      </c>
      <c r="I476" s="3" t="s">
        <v>92</v>
      </c>
      <c r="J476" s="3" t="s">
        <v>40</v>
      </c>
      <c r="K476" s="1">
        <v>352402251</v>
      </c>
      <c r="L476" s="6" t="s">
        <v>69</v>
      </c>
    </row>
    <row r="477" spans="1:12" customFormat="1" ht="14.4" x14ac:dyDescent="0.3">
      <c r="A477" s="1" t="s">
        <v>12</v>
      </c>
      <c r="B477" s="1" t="s">
        <v>13</v>
      </c>
      <c r="C477" s="2" t="s">
        <v>14</v>
      </c>
      <c r="D477" s="1" t="s">
        <v>15</v>
      </c>
      <c r="E477" s="1" t="s">
        <v>16</v>
      </c>
      <c r="F477" s="1" t="s">
        <v>17</v>
      </c>
      <c r="G477" s="3">
        <v>4000</v>
      </c>
      <c r="H477" s="5">
        <v>45465</v>
      </c>
      <c r="I477" s="3" t="s">
        <v>85</v>
      </c>
      <c r="J477" s="3" t="s">
        <v>19</v>
      </c>
      <c r="K477" s="1">
        <v>352402249</v>
      </c>
      <c r="L477" s="6" t="s">
        <v>20</v>
      </c>
    </row>
    <row r="478" spans="1:12" customFormat="1" ht="14.4" x14ac:dyDescent="0.3">
      <c r="A478" s="1" t="s">
        <v>12</v>
      </c>
      <c r="B478" s="1" t="s">
        <v>13</v>
      </c>
      <c r="C478" s="2" t="s">
        <v>14</v>
      </c>
      <c r="D478" s="1" t="s">
        <v>41</v>
      </c>
      <c r="E478" s="1" t="s">
        <v>42</v>
      </c>
      <c r="F478" s="1" t="s">
        <v>43</v>
      </c>
      <c r="G478" s="3">
        <v>4000</v>
      </c>
      <c r="H478" s="5">
        <v>45465</v>
      </c>
      <c r="I478" s="3" t="s">
        <v>87</v>
      </c>
      <c r="J478" s="3" t="s">
        <v>45</v>
      </c>
      <c r="K478" s="1">
        <v>352402276</v>
      </c>
      <c r="L478" s="6" t="s">
        <v>20</v>
      </c>
    </row>
    <row r="479" spans="1:12" customFormat="1" ht="14.4" x14ac:dyDescent="0.3">
      <c r="A479" s="1" t="s">
        <v>12</v>
      </c>
      <c r="B479" s="1" t="s">
        <v>13</v>
      </c>
      <c r="C479" s="2" t="s">
        <v>14</v>
      </c>
      <c r="D479" s="3" t="s">
        <v>149</v>
      </c>
      <c r="E479" s="18">
        <v>50100624324501</v>
      </c>
      <c r="F479" s="3" t="s">
        <v>150</v>
      </c>
      <c r="G479" s="3">
        <v>5250</v>
      </c>
      <c r="H479" s="5">
        <v>45465</v>
      </c>
      <c r="I479" s="3" t="s">
        <v>77</v>
      </c>
      <c r="J479" s="3" t="s">
        <v>29</v>
      </c>
      <c r="K479" s="1">
        <v>352402277</v>
      </c>
      <c r="L479" s="6" t="s">
        <v>69</v>
      </c>
    </row>
    <row r="480" spans="1:12" customFormat="1" ht="14.4" x14ac:dyDescent="0.3">
      <c r="A480" s="1" t="s">
        <v>12</v>
      </c>
      <c r="B480" s="1" t="s">
        <v>13</v>
      </c>
      <c r="C480" s="2" t="s">
        <v>14</v>
      </c>
      <c r="D480" s="1" t="s">
        <v>108</v>
      </c>
      <c r="E480" s="1" t="s">
        <v>109</v>
      </c>
      <c r="F480" s="1" t="s">
        <v>110</v>
      </c>
      <c r="G480" s="3">
        <v>5250</v>
      </c>
      <c r="H480" s="5">
        <v>45465</v>
      </c>
      <c r="I480" s="3" t="s">
        <v>93</v>
      </c>
      <c r="J480" s="3" t="s">
        <v>34</v>
      </c>
      <c r="K480" s="1">
        <v>352402222</v>
      </c>
      <c r="L480" s="6" t="s">
        <v>69</v>
      </c>
    </row>
    <row r="481" spans="1:12" customFormat="1" ht="14.4" x14ac:dyDescent="0.3">
      <c r="A481" s="1" t="s">
        <v>12</v>
      </c>
      <c r="B481" s="1" t="s">
        <v>13</v>
      </c>
      <c r="C481" s="2" t="s">
        <v>14</v>
      </c>
      <c r="D481" s="1" t="s">
        <v>36</v>
      </c>
      <c r="E481" s="1" t="s">
        <v>37</v>
      </c>
      <c r="F481" s="1" t="s">
        <v>38</v>
      </c>
      <c r="G481" s="3">
        <v>5250</v>
      </c>
      <c r="H481" s="5">
        <v>45465</v>
      </c>
      <c r="I481" s="3" t="s">
        <v>92</v>
      </c>
      <c r="J481" s="3" t="s">
        <v>40</v>
      </c>
      <c r="K481" s="1">
        <v>352402273</v>
      </c>
      <c r="L481" s="6" t="s">
        <v>69</v>
      </c>
    </row>
    <row r="482" spans="1:12" customFormat="1" ht="14.4" x14ac:dyDescent="0.3">
      <c r="A482" s="1" t="s">
        <v>12</v>
      </c>
      <c r="B482" s="1" t="s">
        <v>13</v>
      </c>
      <c r="C482" s="2" t="s">
        <v>14</v>
      </c>
      <c r="D482" s="1" t="s">
        <v>80</v>
      </c>
      <c r="E482" s="1" t="s">
        <v>81</v>
      </c>
      <c r="F482" s="1" t="s">
        <v>82</v>
      </c>
      <c r="G482" s="3">
        <v>3750</v>
      </c>
      <c r="H482" s="5">
        <v>45465</v>
      </c>
      <c r="I482" s="3" t="s">
        <v>117</v>
      </c>
      <c r="J482" s="3" t="s">
        <v>118</v>
      </c>
      <c r="K482" s="1">
        <v>352402272</v>
      </c>
      <c r="L482" s="6" t="s">
        <v>190</v>
      </c>
    </row>
    <row r="483" spans="1:12" customFormat="1" ht="14.4" x14ac:dyDescent="0.3">
      <c r="A483" s="1" t="s">
        <v>12</v>
      </c>
      <c r="B483" s="1" t="s">
        <v>13</v>
      </c>
      <c r="C483" s="2" t="s">
        <v>14</v>
      </c>
      <c r="D483" s="1" t="s">
        <v>70</v>
      </c>
      <c r="E483" s="1" t="s">
        <v>71</v>
      </c>
      <c r="F483" s="1" t="s">
        <v>72</v>
      </c>
      <c r="G483" s="3">
        <v>4000</v>
      </c>
      <c r="H483" s="5">
        <v>45465</v>
      </c>
      <c r="I483" s="3" t="s">
        <v>83</v>
      </c>
      <c r="J483" s="3" t="s">
        <v>84</v>
      </c>
      <c r="K483" s="1">
        <v>352402271</v>
      </c>
      <c r="L483" s="6" t="s">
        <v>191</v>
      </c>
    </row>
    <row r="484" spans="1:12" customFormat="1" ht="14.4" x14ac:dyDescent="0.3">
      <c r="A484" s="1" t="s">
        <v>12</v>
      </c>
      <c r="B484" s="1" t="s">
        <v>13</v>
      </c>
      <c r="C484" s="2" t="s">
        <v>14</v>
      </c>
      <c r="D484" s="1" t="s">
        <v>173</v>
      </c>
      <c r="E484" s="1" t="s">
        <v>174</v>
      </c>
      <c r="F484" s="1" t="s">
        <v>33</v>
      </c>
      <c r="G484" s="3">
        <v>500</v>
      </c>
      <c r="H484" s="19">
        <v>45467</v>
      </c>
      <c r="I484" s="3" t="s">
        <v>175</v>
      </c>
      <c r="J484" s="3" t="s">
        <v>176</v>
      </c>
      <c r="K484" s="6">
        <v>352402307</v>
      </c>
      <c r="L484" s="6" t="s">
        <v>192</v>
      </c>
    </row>
    <row r="485" spans="1:12" customFormat="1" ht="14.4" x14ac:dyDescent="0.3">
      <c r="A485" s="1" t="s">
        <v>12</v>
      </c>
      <c r="B485" s="1" t="s">
        <v>13</v>
      </c>
      <c r="C485" s="2" t="s">
        <v>14</v>
      </c>
      <c r="D485" s="1" t="s">
        <v>193</v>
      </c>
      <c r="E485" s="1" t="s">
        <v>194</v>
      </c>
      <c r="F485" s="1" t="s">
        <v>195</v>
      </c>
      <c r="G485" s="3">
        <v>500</v>
      </c>
      <c r="H485" s="19">
        <v>45467</v>
      </c>
      <c r="I485" s="3" t="s">
        <v>125</v>
      </c>
      <c r="J485" s="3" t="s">
        <v>126</v>
      </c>
      <c r="K485" s="6">
        <v>352402308</v>
      </c>
      <c r="L485" s="6" t="s">
        <v>196</v>
      </c>
    </row>
    <row r="486" spans="1:12" customFormat="1" ht="14.4" x14ac:dyDescent="0.3">
      <c r="A486" s="1" t="s">
        <v>12</v>
      </c>
      <c r="B486" s="1" t="s">
        <v>13</v>
      </c>
      <c r="C486" s="2" t="s">
        <v>14</v>
      </c>
      <c r="D486" s="1" t="s">
        <v>41</v>
      </c>
      <c r="E486" s="1" t="s">
        <v>42</v>
      </c>
      <c r="F486" s="1" t="s">
        <v>43</v>
      </c>
      <c r="G486" s="3">
        <v>2000</v>
      </c>
      <c r="H486" s="19">
        <v>45467</v>
      </c>
      <c r="I486" s="3" t="s">
        <v>87</v>
      </c>
      <c r="J486" s="3" t="s">
        <v>45</v>
      </c>
      <c r="K486" s="1">
        <v>352402309</v>
      </c>
      <c r="L486" s="6" t="s">
        <v>197</v>
      </c>
    </row>
    <row r="487" spans="1:12" customFormat="1" ht="14.4" x14ac:dyDescent="0.3">
      <c r="A487" s="1" t="s">
        <v>12</v>
      </c>
      <c r="B487" s="1" t="s">
        <v>13</v>
      </c>
      <c r="C487" s="2" t="s">
        <v>14</v>
      </c>
      <c r="D487" s="1" t="s">
        <v>193</v>
      </c>
      <c r="E487" s="1" t="s">
        <v>194</v>
      </c>
      <c r="F487" s="1" t="s">
        <v>195</v>
      </c>
      <c r="G487" s="3">
        <v>500</v>
      </c>
      <c r="H487" s="19">
        <v>45467</v>
      </c>
      <c r="I487" s="3" t="s">
        <v>125</v>
      </c>
      <c r="J487" s="3" t="s">
        <v>126</v>
      </c>
      <c r="K487" s="6">
        <v>352402310</v>
      </c>
      <c r="L487" s="6" t="s">
        <v>198</v>
      </c>
    </row>
    <row r="488" spans="1:12" customFormat="1" ht="14.4" x14ac:dyDescent="0.3">
      <c r="A488" s="1" t="s">
        <v>12</v>
      </c>
      <c r="B488" s="1" t="s">
        <v>13</v>
      </c>
      <c r="C488" s="2" t="s">
        <v>14</v>
      </c>
      <c r="D488" s="1" t="s">
        <v>15</v>
      </c>
      <c r="E488" s="1" t="s">
        <v>16</v>
      </c>
      <c r="F488" s="1" t="s">
        <v>17</v>
      </c>
      <c r="G488" s="3">
        <v>4000</v>
      </c>
      <c r="H488" s="19">
        <v>45467</v>
      </c>
      <c r="I488" s="3" t="s">
        <v>85</v>
      </c>
      <c r="J488" s="3" t="s">
        <v>19</v>
      </c>
      <c r="K488" s="1">
        <v>352402316</v>
      </c>
      <c r="L488" s="6" t="s">
        <v>20</v>
      </c>
    </row>
    <row r="489" spans="1:12" customFormat="1" ht="14.4" x14ac:dyDescent="0.3">
      <c r="A489" s="1" t="s">
        <v>12</v>
      </c>
      <c r="B489" s="1" t="s">
        <v>13</v>
      </c>
      <c r="C489" s="2" t="s">
        <v>14</v>
      </c>
      <c r="D489" s="1" t="s">
        <v>41</v>
      </c>
      <c r="E489" s="1" t="s">
        <v>42</v>
      </c>
      <c r="F489" s="1" t="s">
        <v>43</v>
      </c>
      <c r="G489" s="3">
        <v>4000</v>
      </c>
      <c r="H489" s="19">
        <v>45467</v>
      </c>
      <c r="I489" s="3" t="s">
        <v>87</v>
      </c>
      <c r="J489" s="3" t="s">
        <v>45</v>
      </c>
      <c r="K489" s="1">
        <v>352402317</v>
      </c>
      <c r="L489" s="6" t="s">
        <v>20</v>
      </c>
    </row>
    <row r="490" spans="1:12" customFormat="1" ht="14.4" x14ac:dyDescent="0.3">
      <c r="A490" s="1" t="s">
        <v>12</v>
      </c>
      <c r="B490" s="1" t="s">
        <v>13</v>
      </c>
      <c r="C490" s="2" t="s">
        <v>14</v>
      </c>
      <c r="D490" s="1" t="s">
        <v>64</v>
      </c>
      <c r="E490" s="1" t="s">
        <v>65</v>
      </c>
      <c r="F490" s="1" t="s">
        <v>66</v>
      </c>
      <c r="G490" s="3">
        <v>5250</v>
      </c>
      <c r="H490" s="19">
        <v>45467</v>
      </c>
      <c r="I490" s="3" t="s">
        <v>101</v>
      </c>
      <c r="J490" s="3" t="s">
        <v>68</v>
      </c>
      <c r="K490" s="1">
        <v>352402278</v>
      </c>
      <c r="L490" s="6" t="s">
        <v>69</v>
      </c>
    </row>
    <row r="491" spans="1:12" customFormat="1" ht="14.4" x14ac:dyDescent="0.3">
      <c r="A491" s="1" t="s">
        <v>12</v>
      </c>
      <c r="B491" s="1" t="s">
        <v>13</v>
      </c>
      <c r="C491" s="2" t="s">
        <v>14</v>
      </c>
      <c r="D491" s="1" t="s">
        <v>80</v>
      </c>
      <c r="E491" s="1" t="s">
        <v>81</v>
      </c>
      <c r="F491" s="1" t="s">
        <v>82</v>
      </c>
      <c r="G491" s="3">
        <v>5250</v>
      </c>
      <c r="H491" s="19">
        <v>45467</v>
      </c>
      <c r="I491" s="3" t="s">
        <v>117</v>
      </c>
      <c r="J491" s="3" t="s">
        <v>118</v>
      </c>
      <c r="K491" s="1">
        <v>352402320</v>
      </c>
      <c r="L491" s="6" t="s">
        <v>69</v>
      </c>
    </row>
    <row r="492" spans="1:12" customFormat="1" ht="14.4" x14ac:dyDescent="0.3">
      <c r="A492" s="1" t="s">
        <v>12</v>
      </c>
      <c r="B492" s="1" t="s">
        <v>13</v>
      </c>
      <c r="C492" s="2" t="s">
        <v>14</v>
      </c>
      <c r="D492" s="1" t="s">
        <v>31</v>
      </c>
      <c r="E492" s="1" t="s">
        <v>32</v>
      </c>
      <c r="F492" s="1" t="s">
        <v>33</v>
      </c>
      <c r="G492" s="3">
        <v>5250</v>
      </c>
      <c r="H492" s="19">
        <v>45467</v>
      </c>
      <c r="I492" s="3" t="s">
        <v>78</v>
      </c>
      <c r="J492" s="3" t="s">
        <v>79</v>
      </c>
      <c r="K492" s="1">
        <v>352402290</v>
      </c>
      <c r="L492" s="6" t="s">
        <v>69</v>
      </c>
    </row>
    <row r="493" spans="1:12" customFormat="1" ht="13.8" customHeight="1" x14ac:dyDescent="0.3">
      <c r="A493" s="1" t="s">
        <v>12</v>
      </c>
      <c r="B493" s="1" t="s">
        <v>13</v>
      </c>
      <c r="C493" s="2" t="s">
        <v>14</v>
      </c>
      <c r="D493" s="1" t="s">
        <v>41</v>
      </c>
      <c r="E493" s="1" t="s">
        <v>61</v>
      </c>
      <c r="F493" s="1" t="s">
        <v>62</v>
      </c>
      <c r="G493" s="3">
        <v>5250</v>
      </c>
      <c r="H493" s="19">
        <v>45467</v>
      </c>
      <c r="I493" s="3" t="s">
        <v>88</v>
      </c>
      <c r="J493" s="3" t="s">
        <v>59</v>
      </c>
      <c r="K493" s="1">
        <v>352402229</v>
      </c>
      <c r="L493" s="6" t="s">
        <v>69</v>
      </c>
    </row>
    <row r="494" spans="1:12" customFormat="1" ht="14.4" x14ac:dyDescent="0.3">
      <c r="A494" s="1" t="s">
        <v>12</v>
      </c>
      <c r="B494" s="1" t="s">
        <v>13</v>
      </c>
      <c r="C494" s="2" t="s">
        <v>14</v>
      </c>
      <c r="D494" s="1" t="s">
        <v>70</v>
      </c>
      <c r="E494" s="1" t="s">
        <v>71</v>
      </c>
      <c r="F494" s="1" t="s">
        <v>72</v>
      </c>
      <c r="G494" s="3">
        <v>5250</v>
      </c>
      <c r="H494" s="19">
        <v>45467</v>
      </c>
      <c r="I494" s="3" t="s">
        <v>83</v>
      </c>
      <c r="J494" s="3" t="s">
        <v>84</v>
      </c>
      <c r="K494" s="1">
        <v>352402321</v>
      </c>
      <c r="L494" s="6" t="s">
        <v>69</v>
      </c>
    </row>
    <row r="495" spans="1:12" x14ac:dyDescent="0.25">
      <c r="A495" s="30" t="s">
        <v>12</v>
      </c>
      <c r="B495" s="30" t="s">
        <v>13</v>
      </c>
      <c r="C495" s="30" t="s">
        <v>14</v>
      </c>
      <c r="D495" s="30" t="s">
        <v>144</v>
      </c>
      <c r="E495" s="39">
        <v>42542201947</v>
      </c>
      <c r="F495" s="30" t="s">
        <v>145</v>
      </c>
      <c r="G495" s="32">
        <v>6000</v>
      </c>
      <c r="H495" s="75">
        <v>45467</v>
      </c>
      <c r="I495" s="32" t="s">
        <v>146</v>
      </c>
      <c r="J495" s="32" t="s">
        <v>147</v>
      </c>
      <c r="K495" s="30">
        <v>352402238</v>
      </c>
      <c r="L495" s="35" t="s">
        <v>199</v>
      </c>
    </row>
    <row r="496" spans="1:12" customFormat="1" ht="14.4" x14ac:dyDescent="0.3">
      <c r="A496" s="1" t="s">
        <v>12</v>
      </c>
      <c r="B496" s="1" t="s">
        <v>13</v>
      </c>
      <c r="C496" s="2" t="s">
        <v>14</v>
      </c>
      <c r="D496" s="1" t="s">
        <v>15</v>
      </c>
      <c r="E496" s="1" t="s">
        <v>16</v>
      </c>
      <c r="F496" s="1" t="s">
        <v>17</v>
      </c>
      <c r="G496" s="3">
        <v>5000</v>
      </c>
      <c r="H496" s="19">
        <v>45467</v>
      </c>
      <c r="I496" s="3" t="s">
        <v>85</v>
      </c>
      <c r="J496" s="3" t="s">
        <v>19</v>
      </c>
      <c r="K496" s="1">
        <v>352402316</v>
      </c>
      <c r="L496" s="6" t="s">
        <v>164</v>
      </c>
    </row>
    <row r="497" spans="1:12" customFormat="1" ht="14.4" x14ac:dyDescent="0.3">
      <c r="A497" s="1" t="s">
        <v>12</v>
      </c>
      <c r="B497" s="1" t="s">
        <v>13</v>
      </c>
      <c r="C497" s="2" t="s">
        <v>14</v>
      </c>
      <c r="D497" s="1" t="s">
        <v>15</v>
      </c>
      <c r="E497" s="1" t="s">
        <v>16</v>
      </c>
      <c r="F497" s="1" t="s">
        <v>17</v>
      </c>
      <c r="G497" s="3">
        <v>4000</v>
      </c>
      <c r="H497" s="19">
        <v>45468</v>
      </c>
      <c r="I497" s="3" t="s">
        <v>85</v>
      </c>
      <c r="J497" s="3" t="s">
        <v>19</v>
      </c>
      <c r="K497" s="1">
        <v>352402350</v>
      </c>
      <c r="L497" s="6" t="s">
        <v>20</v>
      </c>
    </row>
    <row r="498" spans="1:12" customFormat="1" ht="14.4" x14ac:dyDescent="0.3">
      <c r="A498" s="1" t="s">
        <v>12</v>
      </c>
      <c r="B498" s="1" t="s">
        <v>13</v>
      </c>
      <c r="C498" s="2" t="s">
        <v>14</v>
      </c>
      <c r="D498" s="1" t="s">
        <v>41</v>
      </c>
      <c r="E498" s="1" t="s">
        <v>42</v>
      </c>
      <c r="F498" s="1" t="s">
        <v>43</v>
      </c>
      <c r="G498" s="3">
        <v>4000</v>
      </c>
      <c r="H498" s="19">
        <v>45468</v>
      </c>
      <c r="I498" s="3" t="s">
        <v>87</v>
      </c>
      <c r="J498" s="3" t="s">
        <v>45</v>
      </c>
      <c r="K498" s="1">
        <v>352402351</v>
      </c>
      <c r="L498" s="6" t="s">
        <v>20</v>
      </c>
    </row>
    <row r="499" spans="1:12" customFormat="1" ht="14.4" x14ac:dyDescent="0.3">
      <c r="A499" s="1" t="s">
        <v>12</v>
      </c>
      <c r="B499" s="1" t="s">
        <v>13</v>
      </c>
      <c r="C499" s="2" t="s">
        <v>14</v>
      </c>
      <c r="D499" s="1" t="s">
        <v>31</v>
      </c>
      <c r="E499" s="1" t="s">
        <v>32</v>
      </c>
      <c r="F499" s="1" t="s">
        <v>33</v>
      </c>
      <c r="G499" s="3">
        <v>5250</v>
      </c>
      <c r="H499" s="19">
        <v>45468</v>
      </c>
      <c r="I499" s="3" t="s">
        <v>78</v>
      </c>
      <c r="J499" s="3" t="s">
        <v>79</v>
      </c>
      <c r="K499" s="1">
        <v>352402353</v>
      </c>
      <c r="L499" s="6" t="s">
        <v>69</v>
      </c>
    </row>
    <row r="500" spans="1:12" customFormat="1" ht="13.8" customHeight="1" x14ac:dyDescent="0.3">
      <c r="A500" s="1" t="s">
        <v>12</v>
      </c>
      <c r="B500" s="1" t="s">
        <v>13</v>
      </c>
      <c r="C500" s="2" t="s">
        <v>14</v>
      </c>
      <c r="D500" s="1" t="s">
        <v>41</v>
      </c>
      <c r="E500" s="1" t="s">
        <v>61</v>
      </c>
      <c r="F500" s="1" t="s">
        <v>62</v>
      </c>
      <c r="G500" s="3">
        <v>5250</v>
      </c>
      <c r="H500" s="19">
        <v>45468</v>
      </c>
      <c r="I500" s="3" t="s">
        <v>88</v>
      </c>
      <c r="J500" s="3" t="s">
        <v>59</v>
      </c>
      <c r="K500" s="1">
        <v>352402355</v>
      </c>
      <c r="L500" s="6" t="s">
        <v>69</v>
      </c>
    </row>
    <row r="501" spans="1:12" customFormat="1" ht="14.4" x14ac:dyDescent="0.3">
      <c r="A501" s="1" t="s">
        <v>12</v>
      </c>
      <c r="B501" s="1" t="s">
        <v>13</v>
      </c>
      <c r="C501" s="2" t="s">
        <v>14</v>
      </c>
      <c r="D501" s="8" t="s">
        <v>104</v>
      </c>
      <c r="E501" s="9">
        <v>309023553967</v>
      </c>
      <c r="F501" s="1" t="s">
        <v>105</v>
      </c>
      <c r="G501" s="3">
        <v>5250</v>
      </c>
      <c r="H501" s="19">
        <v>45468</v>
      </c>
      <c r="I501" s="3" t="s">
        <v>91</v>
      </c>
      <c r="J501" s="3" t="s">
        <v>22</v>
      </c>
      <c r="K501" s="1">
        <v>352402322</v>
      </c>
      <c r="L501" s="6" t="s">
        <v>69</v>
      </c>
    </row>
    <row r="502" spans="1:12" customFormat="1" ht="14.4" x14ac:dyDescent="0.3">
      <c r="A502" s="1" t="s">
        <v>12</v>
      </c>
      <c r="B502" s="1" t="s">
        <v>13</v>
      </c>
      <c r="C502" s="2" t="s">
        <v>14</v>
      </c>
      <c r="D502" s="3" t="s">
        <v>149</v>
      </c>
      <c r="E502" s="18">
        <v>50100624324501</v>
      </c>
      <c r="F502" s="3" t="s">
        <v>150</v>
      </c>
      <c r="G502" s="3">
        <v>5250</v>
      </c>
      <c r="H502" s="19">
        <v>45468</v>
      </c>
      <c r="I502" s="3" t="s">
        <v>77</v>
      </c>
      <c r="J502" s="3" t="s">
        <v>29</v>
      </c>
      <c r="K502" s="1">
        <v>352402324</v>
      </c>
      <c r="L502" s="6" t="s">
        <v>69</v>
      </c>
    </row>
    <row r="503" spans="1:12" customFormat="1" ht="14.4" x14ac:dyDescent="0.3">
      <c r="A503" s="1" t="s">
        <v>12</v>
      </c>
      <c r="B503" s="1" t="s">
        <v>13</v>
      </c>
      <c r="C503" s="2" t="s">
        <v>14</v>
      </c>
      <c r="D503" s="1" t="s">
        <v>108</v>
      </c>
      <c r="E503" s="1" t="s">
        <v>109</v>
      </c>
      <c r="F503" s="1" t="s">
        <v>110</v>
      </c>
      <c r="G503" s="3">
        <v>5250</v>
      </c>
      <c r="H503" s="19">
        <v>45468</v>
      </c>
      <c r="I503" s="3" t="s">
        <v>93</v>
      </c>
      <c r="J503" s="3" t="s">
        <v>34</v>
      </c>
      <c r="K503" s="1">
        <v>352402323</v>
      </c>
      <c r="L503" s="6" t="s">
        <v>69</v>
      </c>
    </row>
    <row r="504" spans="1:12" customFormat="1" ht="14.4" x14ac:dyDescent="0.3">
      <c r="A504" s="1" t="s">
        <v>12</v>
      </c>
      <c r="B504" s="1" t="s">
        <v>13</v>
      </c>
      <c r="C504" s="2" t="s">
        <v>14</v>
      </c>
      <c r="D504" s="1" t="s">
        <v>36</v>
      </c>
      <c r="E504" s="1" t="s">
        <v>37</v>
      </c>
      <c r="F504" s="1" t="s">
        <v>38</v>
      </c>
      <c r="G504" s="3">
        <v>5250</v>
      </c>
      <c r="H504" s="19">
        <v>45468</v>
      </c>
      <c r="I504" s="3" t="s">
        <v>92</v>
      </c>
      <c r="J504" s="3" t="s">
        <v>40</v>
      </c>
      <c r="K504" s="1">
        <v>352402325</v>
      </c>
      <c r="L504" s="6" t="s">
        <v>69</v>
      </c>
    </row>
    <row r="505" spans="1:12" customFormat="1" ht="14.4" x14ac:dyDescent="0.3">
      <c r="A505" s="1" t="s">
        <v>12</v>
      </c>
      <c r="B505" s="1" t="s">
        <v>13</v>
      </c>
      <c r="C505" s="2" t="s">
        <v>14</v>
      </c>
      <c r="D505" s="1" t="s">
        <v>15</v>
      </c>
      <c r="E505" s="1" t="s">
        <v>16</v>
      </c>
      <c r="F505" s="1" t="s">
        <v>17</v>
      </c>
      <c r="G505" s="3">
        <v>2000</v>
      </c>
      <c r="H505" s="19">
        <v>45468</v>
      </c>
      <c r="I505" s="3" t="s">
        <v>85</v>
      </c>
      <c r="J505" s="3" t="s">
        <v>19</v>
      </c>
      <c r="K505" s="1">
        <v>352402365</v>
      </c>
      <c r="L505" s="6" t="s">
        <v>46</v>
      </c>
    </row>
    <row r="506" spans="1:12" customFormat="1" ht="14.4" x14ac:dyDescent="0.3">
      <c r="A506" s="1" t="s">
        <v>12</v>
      </c>
      <c r="B506" s="1" t="s">
        <v>13</v>
      </c>
      <c r="C506" s="2" t="s">
        <v>14</v>
      </c>
      <c r="D506" s="1" t="s">
        <v>193</v>
      </c>
      <c r="E506" s="1" t="s">
        <v>194</v>
      </c>
      <c r="F506" s="1" t="s">
        <v>195</v>
      </c>
      <c r="G506" s="3">
        <v>500</v>
      </c>
      <c r="H506" s="19">
        <v>45469</v>
      </c>
      <c r="I506" s="3" t="s">
        <v>125</v>
      </c>
      <c r="J506" s="3" t="s">
        <v>126</v>
      </c>
      <c r="K506" s="6">
        <v>352402368</v>
      </c>
      <c r="L506" s="6" t="s">
        <v>200</v>
      </c>
    </row>
    <row r="507" spans="1:12" customFormat="1" ht="14.4" x14ac:dyDescent="0.3">
      <c r="A507" s="1" t="s">
        <v>12</v>
      </c>
      <c r="B507" s="1" t="s">
        <v>13</v>
      </c>
      <c r="C507" s="2" t="s">
        <v>14</v>
      </c>
      <c r="D507" s="1" t="s">
        <v>15</v>
      </c>
      <c r="E507" s="1" t="s">
        <v>16</v>
      </c>
      <c r="F507" s="1" t="s">
        <v>17</v>
      </c>
      <c r="G507" s="3">
        <v>4000</v>
      </c>
      <c r="H507" s="19">
        <v>45469</v>
      </c>
      <c r="I507" s="3" t="s">
        <v>85</v>
      </c>
      <c r="J507" s="3" t="s">
        <v>19</v>
      </c>
      <c r="K507" s="1">
        <v>352402391</v>
      </c>
      <c r="L507" s="6" t="s">
        <v>20</v>
      </c>
    </row>
    <row r="508" spans="1:12" customFormat="1" ht="14.4" x14ac:dyDescent="0.3">
      <c r="A508" s="1" t="s">
        <v>12</v>
      </c>
      <c r="B508" s="1" t="s">
        <v>13</v>
      </c>
      <c r="C508" s="2" t="s">
        <v>14</v>
      </c>
      <c r="D508" s="1" t="s">
        <v>41</v>
      </c>
      <c r="E508" s="1" t="s">
        <v>42</v>
      </c>
      <c r="F508" s="1" t="s">
        <v>43</v>
      </c>
      <c r="G508" s="3">
        <v>4000</v>
      </c>
      <c r="H508" s="19">
        <v>45469</v>
      </c>
      <c r="I508" s="3" t="s">
        <v>87</v>
      </c>
      <c r="J508" s="3" t="s">
        <v>45</v>
      </c>
      <c r="K508" s="1">
        <v>352402392</v>
      </c>
      <c r="L508" s="6" t="s">
        <v>20</v>
      </c>
    </row>
    <row r="509" spans="1:12" customFormat="1" ht="14.4" x14ac:dyDescent="0.3">
      <c r="A509" s="1" t="s">
        <v>12</v>
      </c>
      <c r="B509" s="1" t="s">
        <v>13</v>
      </c>
      <c r="C509" s="2" t="s">
        <v>14</v>
      </c>
      <c r="D509" s="1" t="s">
        <v>64</v>
      </c>
      <c r="E509" s="1" t="s">
        <v>65</v>
      </c>
      <c r="F509" s="1" t="s">
        <v>66</v>
      </c>
      <c r="G509" s="3">
        <v>5250</v>
      </c>
      <c r="H509" s="19">
        <v>45469</v>
      </c>
      <c r="I509" s="3" t="s">
        <v>101</v>
      </c>
      <c r="J509" s="3" t="s">
        <v>68</v>
      </c>
      <c r="K509" s="1">
        <v>352402356</v>
      </c>
      <c r="L509" s="6" t="s">
        <v>69</v>
      </c>
    </row>
    <row r="510" spans="1:12" customFormat="1" ht="14.4" x14ac:dyDescent="0.3">
      <c r="A510" s="1" t="s">
        <v>12</v>
      </c>
      <c r="B510" s="1" t="s">
        <v>13</v>
      </c>
      <c r="C510" s="2" t="s">
        <v>14</v>
      </c>
      <c r="D510" s="1" t="s">
        <v>80</v>
      </c>
      <c r="E510" s="1" t="s">
        <v>81</v>
      </c>
      <c r="F510" s="1" t="s">
        <v>82</v>
      </c>
      <c r="G510" s="3">
        <v>5250</v>
      </c>
      <c r="H510" s="19">
        <v>45469</v>
      </c>
      <c r="I510" s="3" t="s">
        <v>117</v>
      </c>
      <c r="J510" s="3" t="s">
        <v>118</v>
      </c>
      <c r="K510" s="1">
        <v>352402357</v>
      </c>
      <c r="L510" s="6" t="s">
        <v>69</v>
      </c>
    </row>
    <row r="511" spans="1:12" customFormat="1" ht="14.4" x14ac:dyDescent="0.3">
      <c r="A511" s="1" t="s">
        <v>12</v>
      </c>
      <c r="B511" s="1" t="s">
        <v>13</v>
      </c>
      <c r="C511" s="2" t="s">
        <v>14</v>
      </c>
      <c r="D511" s="3" t="s">
        <v>149</v>
      </c>
      <c r="E511" s="18">
        <v>50100624324501</v>
      </c>
      <c r="F511" s="3" t="s">
        <v>150</v>
      </c>
      <c r="G511" s="3">
        <v>5250</v>
      </c>
      <c r="H511" s="19">
        <v>45469</v>
      </c>
      <c r="I511" s="3" t="s">
        <v>77</v>
      </c>
      <c r="J511" s="3" t="s">
        <v>29</v>
      </c>
      <c r="K511" s="1">
        <v>352402397</v>
      </c>
      <c r="L511" s="6" t="s">
        <v>69</v>
      </c>
    </row>
    <row r="512" spans="1:12" customFormat="1" ht="14.4" x14ac:dyDescent="0.3">
      <c r="A512" s="1" t="s">
        <v>12</v>
      </c>
      <c r="B512" s="1" t="s">
        <v>13</v>
      </c>
      <c r="C512" s="2" t="s">
        <v>14</v>
      </c>
      <c r="D512" s="1" t="s">
        <v>36</v>
      </c>
      <c r="E512" s="1" t="s">
        <v>37</v>
      </c>
      <c r="F512" s="1" t="s">
        <v>38</v>
      </c>
      <c r="G512" s="3">
        <v>5250</v>
      </c>
      <c r="H512" s="19">
        <v>45469</v>
      </c>
      <c r="I512" s="3" t="s">
        <v>92</v>
      </c>
      <c r="J512" s="3" t="s">
        <v>40</v>
      </c>
      <c r="K512" s="1">
        <v>352402393</v>
      </c>
      <c r="L512" s="6" t="s">
        <v>69</v>
      </c>
    </row>
    <row r="513" spans="1:12" customFormat="1" ht="14.4" x14ac:dyDescent="0.3">
      <c r="A513" s="1" t="s">
        <v>12</v>
      </c>
      <c r="B513" s="1" t="s">
        <v>13</v>
      </c>
      <c r="C513" s="2" t="s">
        <v>14</v>
      </c>
      <c r="D513" s="1" t="s">
        <v>70</v>
      </c>
      <c r="E513" s="1" t="s">
        <v>71</v>
      </c>
      <c r="F513" s="1" t="s">
        <v>72</v>
      </c>
      <c r="G513" s="3">
        <v>5250</v>
      </c>
      <c r="H513" s="19">
        <v>45469</v>
      </c>
      <c r="I513" s="3" t="s">
        <v>83</v>
      </c>
      <c r="J513" s="3" t="s">
        <v>84</v>
      </c>
      <c r="K513" s="1">
        <v>352402354</v>
      </c>
      <c r="L513" s="6" t="s">
        <v>69</v>
      </c>
    </row>
    <row r="514" spans="1:12" customFormat="1" ht="14.4" x14ac:dyDescent="0.3">
      <c r="A514" s="1" t="s">
        <v>12</v>
      </c>
      <c r="B514" s="1" t="s">
        <v>13</v>
      </c>
      <c r="C514" s="2" t="s">
        <v>14</v>
      </c>
      <c r="D514" s="1" t="s">
        <v>15</v>
      </c>
      <c r="E514" s="1" t="s">
        <v>16</v>
      </c>
      <c r="F514" s="1" t="s">
        <v>17</v>
      </c>
      <c r="G514" s="3">
        <v>4000</v>
      </c>
      <c r="H514" s="19">
        <v>45470</v>
      </c>
      <c r="I514" s="3" t="s">
        <v>85</v>
      </c>
      <c r="J514" s="3" t="s">
        <v>19</v>
      </c>
      <c r="K514" s="1">
        <v>352402432</v>
      </c>
      <c r="L514" s="6" t="s">
        <v>20</v>
      </c>
    </row>
    <row r="515" spans="1:12" customFormat="1" ht="14.4" x14ac:dyDescent="0.3">
      <c r="A515" s="1" t="s">
        <v>12</v>
      </c>
      <c r="B515" s="1" t="s">
        <v>13</v>
      </c>
      <c r="C515" s="2" t="s">
        <v>14</v>
      </c>
      <c r="D515" s="1" t="s">
        <v>41</v>
      </c>
      <c r="E515" s="1" t="s">
        <v>42</v>
      </c>
      <c r="F515" s="1" t="s">
        <v>43</v>
      </c>
      <c r="G515" s="3">
        <v>4000</v>
      </c>
      <c r="H515" s="19">
        <v>45470</v>
      </c>
      <c r="I515" s="3" t="s">
        <v>87</v>
      </c>
      <c r="J515" s="3" t="s">
        <v>45</v>
      </c>
      <c r="K515" s="1">
        <v>352402433</v>
      </c>
      <c r="L515" s="6" t="s">
        <v>20</v>
      </c>
    </row>
    <row r="516" spans="1:12" customFormat="1" ht="14.4" x14ac:dyDescent="0.3">
      <c r="A516" s="1" t="s">
        <v>12</v>
      </c>
      <c r="B516" s="1" t="s">
        <v>13</v>
      </c>
      <c r="C516" s="2" t="s">
        <v>14</v>
      </c>
      <c r="D516" s="1" t="s">
        <v>64</v>
      </c>
      <c r="E516" s="1" t="s">
        <v>65</v>
      </c>
      <c r="F516" s="1" t="s">
        <v>66</v>
      </c>
      <c r="G516" s="3">
        <v>5250</v>
      </c>
      <c r="H516" s="19">
        <v>45470</v>
      </c>
      <c r="I516" s="3" t="s">
        <v>101</v>
      </c>
      <c r="J516" s="3" t="s">
        <v>68</v>
      </c>
      <c r="K516" s="1">
        <v>352402435</v>
      </c>
      <c r="L516" s="6" t="s">
        <v>69</v>
      </c>
    </row>
    <row r="517" spans="1:12" customFormat="1" ht="14.4" x14ac:dyDescent="0.3">
      <c r="A517" s="1" t="s">
        <v>12</v>
      </c>
      <c r="B517" s="1" t="s">
        <v>13</v>
      </c>
      <c r="C517" s="2" t="s">
        <v>14</v>
      </c>
      <c r="D517" s="1" t="s">
        <v>80</v>
      </c>
      <c r="E517" s="1" t="s">
        <v>81</v>
      </c>
      <c r="F517" s="1" t="s">
        <v>82</v>
      </c>
      <c r="G517" s="3">
        <v>5250</v>
      </c>
      <c r="H517" s="19">
        <v>45470</v>
      </c>
      <c r="I517" s="3" t="s">
        <v>117</v>
      </c>
      <c r="J517" s="3" t="s">
        <v>118</v>
      </c>
      <c r="K517" s="1">
        <v>352402436</v>
      </c>
      <c r="L517" s="6" t="s">
        <v>69</v>
      </c>
    </row>
    <row r="518" spans="1:12" customFormat="1" ht="14.4" x14ac:dyDescent="0.3">
      <c r="A518" s="1" t="s">
        <v>12</v>
      </c>
      <c r="B518" s="1" t="s">
        <v>13</v>
      </c>
      <c r="C518" s="2" t="s">
        <v>14</v>
      </c>
      <c r="D518" s="1" t="s">
        <v>31</v>
      </c>
      <c r="E518" s="1" t="s">
        <v>32</v>
      </c>
      <c r="F518" s="1" t="s">
        <v>33</v>
      </c>
      <c r="G518" s="3">
        <v>5250</v>
      </c>
      <c r="H518" s="19">
        <v>45470</v>
      </c>
      <c r="I518" s="3" t="s">
        <v>78</v>
      </c>
      <c r="J518" s="3" t="s">
        <v>79</v>
      </c>
      <c r="K518" s="1">
        <v>352402396</v>
      </c>
      <c r="L518" s="6" t="s">
        <v>69</v>
      </c>
    </row>
    <row r="519" spans="1:12" customFormat="1" ht="13.8" customHeight="1" x14ac:dyDescent="0.3">
      <c r="A519" s="1" t="s">
        <v>12</v>
      </c>
      <c r="B519" s="1" t="s">
        <v>13</v>
      </c>
      <c r="C519" s="2" t="s">
        <v>14</v>
      </c>
      <c r="D519" s="1" t="s">
        <v>41</v>
      </c>
      <c r="E519" s="1" t="s">
        <v>61</v>
      </c>
      <c r="F519" s="1" t="s">
        <v>62</v>
      </c>
      <c r="G519" s="3">
        <v>5250</v>
      </c>
      <c r="H519" s="19">
        <v>45470</v>
      </c>
      <c r="I519" s="3" t="s">
        <v>88</v>
      </c>
      <c r="J519" s="3" t="s">
        <v>59</v>
      </c>
      <c r="K519" s="1">
        <v>352402410</v>
      </c>
      <c r="L519" s="6" t="s">
        <v>69</v>
      </c>
    </row>
    <row r="520" spans="1:12" customFormat="1" ht="14.4" x14ac:dyDescent="0.3">
      <c r="A520" s="1" t="s">
        <v>12</v>
      </c>
      <c r="B520" s="1" t="s">
        <v>13</v>
      </c>
      <c r="C520" s="2" t="s">
        <v>14</v>
      </c>
      <c r="D520" s="3" t="s">
        <v>149</v>
      </c>
      <c r="E520" s="18">
        <v>50100624324501</v>
      </c>
      <c r="F520" s="3" t="s">
        <v>150</v>
      </c>
      <c r="G520" s="3">
        <v>5250</v>
      </c>
      <c r="H520" s="19">
        <v>45470</v>
      </c>
      <c r="I520" s="3" t="s">
        <v>77</v>
      </c>
      <c r="J520" s="3" t="s">
        <v>29</v>
      </c>
      <c r="K520" s="1">
        <v>352402439</v>
      </c>
      <c r="L520" s="6" t="s">
        <v>69</v>
      </c>
    </row>
    <row r="521" spans="1:12" customFormat="1" ht="14.4" x14ac:dyDescent="0.3">
      <c r="A521" s="1" t="s">
        <v>12</v>
      </c>
      <c r="B521" s="1" t="s">
        <v>13</v>
      </c>
      <c r="C521" s="2" t="s">
        <v>14</v>
      </c>
      <c r="D521" s="1" t="s">
        <v>108</v>
      </c>
      <c r="E521" s="1" t="s">
        <v>109</v>
      </c>
      <c r="F521" s="1" t="s">
        <v>110</v>
      </c>
      <c r="G521" s="3">
        <v>3000</v>
      </c>
      <c r="H521" s="19">
        <v>45470</v>
      </c>
      <c r="I521" s="3" t="s">
        <v>93</v>
      </c>
      <c r="J521" s="3" t="s">
        <v>34</v>
      </c>
      <c r="K521" s="1">
        <v>352402407</v>
      </c>
      <c r="L521" s="6" t="s">
        <v>189</v>
      </c>
    </row>
    <row r="522" spans="1:12" customFormat="1" ht="14.4" x14ac:dyDescent="0.3">
      <c r="A522" s="1" t="s">
        <v>12</v>
      </c>
      <c r="B522" s="1" t="s">
        <v>13</v>
      </c>
      <c r="C522" s="2" t="s">
        <v>14</v>
      </c>
      <c r="D522" s="1" t="s">
        <v>36</v>
      </c>
      <c r="E522" s="1" t="s">
        <v>37</v>
      </c>
      <c r="F522" s="1" t="s">
        <v>38</v>
      </c>
      <c r="G522" s="3">
        <v>5250</v>
      </c>
      <c r="H522" s="19">
        <v>45470</v>
      </c>
      <c r="I522" s="3" t="s">
        <v>92</v>
      </c>
      <c r="J522" s="3" t="s">
        <v>40</v>
      </c>
      <c r="K522" s="1">
        <v>352402434</v>
      </c>
      <c r="L522" s="6" t="s">
        <v>69</v>
      </c>
    </row>
    <row r="523" spans="1:12" customFormat="1" ht="14.4" x14ac:dyDescent="0.3">
      <c r="A523" s="1" t="s">
        <v>12</v>
      </c>
      <c r="B523" s="1" t="s">
        <v>13</v>
      </c>
      <c r="C523" s="2" t="s">
        <v>14</v>
      </c>
      <c r="D523" s="1" t="s">
        <v>70</v>
      </c>
      <c r="E523" s="1" t="s">
        <v>71</v>
      </c>
      <c r="F523" s="1" t="s">
        <v>72</v>
      </c>
      <c r="G523" s="3">
        <v>5250</v>
      </c>
      <c r="H523" s="19">
        <v>45470</v>
      </c>
      <c r="I523" s="3" t="s">
        <v>83</v>
      </c>
      <c r="J523" s="3" t="s">
        <v>84</v>
      </c>
      <c r="K523" s="1">
        <v>352402438</v>
      </c>
      <c r="L523" s="6" t="s">
        <v>69</v>
      </c>
    </row>
    <row r="524" spans="1:12" customFormat="1" ht="14.4" x14ac:dyDescent="0.3">
      <c r="A524" s="1" t="s">
        <v>12</v>
      </c>
      <c r="B524" s="1" t="s">
        <v>13</v>
      </c>
      <c r="C524" s="2" t="s">
        <v>14</v>
      </c>
      <c r="D524" s="1" t="s">
        <v>15</v>
      </c>
      <c r="E524" s="1" t="s">
        <v>16</v>
      </c>
      <c r="F524" s="1" t="s">
        <v>17</v>
      </c>
      <c r="G524" s="3">
        <v>4000</v>
      </c>
      <c r="H524" s="19">
        <v>45471</v>
      </c>
      <c r="I524" s="3" t="s">
        <v>85</v>
      </c>
      <c r="J524" s="3" t="s">
        <v>19</v>
      </c>
      <c r="K524" s="1">
        <v>352402469</v>
      </c>
      <c r="L524" s="6" t="s">
        <v>20</v>
      </c>
    </row>
    <row r="525" spans="1:12" customFormat="1" ht="14.4" x14ac:dyDescent="0.3">
      <c r="A525" s="1" t="s">
        <v>12</v>
      </c>
      <c r="B525" s="1" t="s">
        <v>13</v>
      </c>
      <c r="C525" s="2" t="s">
        <v>14</v>
      </c>
      <c r="D525" s="1" t="s">
        <v>41</v>
      </c>
      <c r="E525" s="1" t="s">
        <v>42</v>
      </c>
      <c r="F525" s="1" t="s">
        <v>43</v>
      </c>
      <c r="G525" s="3">
        <v>4000</v>
      </c>
      <c r="H525" s="19">
        <v>45471</v>
      </c>
      <c r="I525" s="3" t="s">
        <v>87</v>
      </c>
      <c r="J525" s="3" t="s">
        <v>45</v>
      </c>
      <c r="K525" s="1">
        <v>352402470</v>
      </c>
      <c r="L525" s="6" t="s">
        <v>20</v>
      </c>
    </row>
    <row r="526" spans="1:12" customFormat="1" ht="14.4" x14ac:dyDescent="0.3">
      <c r="A526" s="1" t="s">
        <v>12</v>
      </c>
      <c r="B526" s="1" t="s">
        <v>13</v>
      </c>
      <c r="C526" s="2" t="s">
        <v>14</v>
      </c>
      <c r="D526" s="1" t="s">
        <v>64</v>
      </c>
      <c r="E526" s="1" t="s">
        <v>65</v>
      </c>
      <c r="F526" s="1" t="s">
        <v>66</v>
      </c>
      <c r="G526" s="3">
        <v>5250</v>
      </c>
      <c r="H526" s="19">
        <v>45471</v>
      </c>
      <c r="I526" s="3" t="s">
        <v>101</v>
      </c>
      <c r="J526" s="3" t="s">
        <v>68</v>
      </c>
      <c r="K526" s="1">
        <v>352402463</v>
      </c>
      <c r="L526" s="6" t="s">
        <v>69</v>
      </c>
    </row>
    <row r="527" spans="1:12" customFormat="1" ht="14.4" x14ac:dyDescent="0.3">
      <c r="A527" s="1" t="s">
        <v>12</v>
      </c>
      <c r="B527" s="1" t="s">
        <v>13</v>
      </c>
      <c r="C527" s="2" t="s">
        <v>14</v>
      </c>
      <c r="D527" s="1" t="s">
        <v>80</v>
      </c>
      <c r="E527" s="1" t="s">
        <v>81</v>
      </c>
      <c r="F527" s="1" t="s">
        <v>82</v>
      </c>
      <c r="G527" s="3">
        <v>5250</v>
      </c>
      <c r="H527" s="19">
        <v>45471</v>
      </c>
      <c r="I527" s="3" t="s">
        <v>117</v>
      </c>
      <c r="J527" s="3" t="s">
        <v>118</v>
      </c>
      <c r="K527" s="1">
        <v>352402464</v>
      </c>
      <c r="L527" s="6" t="s">
        <v>69</v>
      </c>
    </row>
    <row r="528" spans="1:12" customFormat="1" ht="14.4" x14ac:dyDescent="0.3">
      <c r="A528" s="1" t="s">
        <v>12</v>
      </c>
      <c r="B528" s="1" t="s">
        <v>13</v>
      </c>
      <c r="C528" s="2" t="s">
        <v>14</v>
      </c>
      <c r="D528" s="1" t="s">
        <v>31</v>
      </c>
      <c r="E528" s="1" t="s">
        <v>32</v>
      </c>
      <c r="F528" s="1" t="s">
        <v>33</v>
      </c>
      <c r="G528" s="3">
        <v>5250</v>
      </c>
      <c r="H528" s="19">
        <v>45471</v>
      </c>
      <c r="I528" s="3" t="s">
        <v>78</v>
      </c>
      <c r="J528" s="3" t="s">
        <v>79</v>
      </c>
      <c r="K528" s="1">
        <v>352402467</v>
      </c>
      <c r="L528" s="6" t="s">
        <v>69</v>
      </c>
    </row>
    <row r="529" spans="1:12" customFormat="1" ht="13.8" customHeight="1" x14ac:dyDescent="0.3">
      <c r="A529" s="1" t="s">
        <v>12</v>
      </c>
      <c r="B529" s="1" t="s">
        <v>13</v>
      </c>
      <c r="C529" s="2" t="s">
        <v>14</v>
      </c>
      <c r="D529" s="1" t="s">
        <v>41</v>
      </c>
      <c r="E529" s="1" t="s">
        <v>61</v>
      </c>
      <c r="F529" s="1" t="s">
        <v>62</v>
      </c>
      <c r="G529" s="3">
        <v>4750</v>
      </c>
      <c r="H529" s="19">
        <v>45471</v>
      </c>
      <c r="I529" s="3" t="s">
        <v>88</v>
      </c>
      <c r="J529" s="3" t="s">
        <v>59</v>
      </c>
      <c r="K529" s="1">
        <v>352402462</v>
      </c>
      <c r="L529" s="6" t="s">
        <v>24</v>
      </c>
    </row>
    <row r="530" spans="1:12" customFormat="1" ht="14.4" x14ac:dyDescent="0.3">
      <c r="A530" s="1" t="s">
        <v>12</v>
      </c>
      <c r="B530" s="1" t="s">
        <v>13</v>
      </c>
      <c r="C530" s="2" t="s">
        <v>14</v>
      </c>
      <c r="D530" s="3" t="s">
        <v>149</v>
      </c>
      <c r="E530" s="18">
        <v>50100624324501</v>
      </c>
      <c r="F530" s="3" t="s">
        <v>150</v>
      </c>
      <c r="G530" s="3">
        <v>3500</v>
      </c>
      <c r="H530" s="19">
        <v>45471</v>
      </c>
      <c r="I530" s="3" t="s">
        <v>77</v>
      </c>
      <c r="J530" s="3" t="s">
        <v>29</v>
      </c>
      <c r="K530" s="1">
        <v>352402465</v>
      </c>
      <c r="L530" s="6" t="s">
        <v>201</v>
      </c>
    </row>
    <row r="531" spans="1:12" customFormat="1" ht="14.4" x14ac:dyDescent="0.3">
      <c r="A531" s="1" t="s">
        <v>12</v>
      </c>
      <c r="B531" s="1" t="s">
        <v>13</v>
      </c>
      <c r="C531" s="2" t="s">
        <v>14</v>
      </c>
      <c r="D531" s="1" t="s">
        <v>31</v>
      </c>
      <c r="E531" s="1" t="s">
        <v>32</v>
      </c>
      <c r="F531" s="1" t="s">
        <v>33</v>
      </c>
      <c r="G531" s="3">
        <v>5750</v>
      </c>
      <c r="H531" s="19">
        <v>45471</v>
      </c>
      <c r="I531" s="3" t="s">
        <v>93</v>
      </c>
      <c r="J531" s="3" t="s">
        <v>34</v>
      </c>
      <c r="K531" s="1">
        <v>352402407</v>
      </c>
      <c r="L531" s="6" t="s">
        <v>202</v>
      </c>
    </row>
    <row r="532" spans="1:12" customFormat="1" ht="14.4" x14ac:dyDescent="0.3">
      <c r="A532" s="1" t="s">
        <v>12</v>
      </c>
      <c r="B532" s="1" t="s">
        <v>13</v>
      </c>
      <c r="C532" s="2" t="s">
        <v>14</v>
      </c>
      <c r="D532" s="1" t="s">
        <v>70</v>
      </c>
      <c r="E532" s="1" t="s">
        <v>71</v>
      </c>
      <c r="F532" s="1" t="s">
        <v>72</v>
      </c>
      <c r="G532" s="3">
        <v>5250</v>
      </c>
      <c r="H532" s="19">
        <v>45471</v>
      </c>
      <c r="I532" s="3" t="s">
        <v>83</v>
      </c>
      <c r="J532" s="3" t="s">
        <v>84</v>
      </c>
      <c r="K532" s="1">
        <v>352402461</v>
      </c>
      <c r="L532" s="6" t="s">
        <v>69</v>
      </c>
    </row>
    <row r="533" spans="1:12" customFormat="1" ht="14.4" x14ac:dyDescent="0.3">
      <c r="A533" s="1" t="s">
        <v>12</v>
      </c>
      <c r="B533" s="1" t="s">
        <v>13</v>
      </c>
      <c r="C533" s="2" t="s">
        <v>14</v>
      </c>
      <c r="D533" s="1" t="s">
        <v>70</v>
      </c>
      <c r="E533" s="1" t="s">
        <v>71</v>
      </c>
      <c r="F533" s="1" t="s">
        <v>72</v>
      </c>
      <c r="G533" s="3">
        <v>3500</v>
      </c>
      <c r="H533" s="19">
        <v>45471</v>
      </c>
      <c r="I533" s="3" t="s">
        <v>83</v>
      </c>
      <c r="J533" s="3" t="s">
        <v>84</v>
      </c>
      <c r="K533" s="1">
        <v>352402461</v>
      </c>
      <c r="L533" s="6" t="s">
        <v>164</v>
      </c>
    </row>
    <row r="534" spans="1:12" customFormat="1" ht="14.4" x14ac:dyDescent="0.3">
      <c r="A534" s="1" t="s">
        <v>12</v>
      </c>
      <c r="B534" s="1" t="s">
        <v>13</v>
      </c>
      <c r="C534" s="2" t="s">
        <v>14</v>
      </c>
      <c r="D534" s="1" t="s">
        <v>183</v>
      </c>
      <c r="E534" s="1" t="s">
        <v>184</v>
      </c>
      <c r="F534" s="1" t="s">
        <v>185</v>
      </c>
      <c r="G534" s="3">
        <v>500</v>
      </c>
      <c r="H534" s="19">
        <v>45471</v>
      </c>
      <c r="I534" s="3" t="s">
        <v>186</v>
      </c>
      <c r="J534" s="3" t="s">
        <v>187</v>
      </c>
      <c r="K534" s="1">
        <v>352402472</v>
      </c>
      <c r="L534" s="6" t="s">
        <v>203</v>
      </c>
    </row>
    <row r="535" spans="1:12" customFormat="1" ht="14.4" x14ac:dyDescent="0.3">
      <c r="A535" s="1" t="s">
        <v>12</v>
      </c>
      <c r="B535" s="1" t="s">
        <v>13</v>
      </c>
      <c r="C535" s="2" t="s">
        <v>14</v>
      </c>
      <c r="D535" s="1" t="s">
        <v>173</v>
      </c>
      <c r="E535" s="1" t="s">
        <v>174</v>
      </c>
      <c r="F535" s="1" t="s">
        <v>33</v>
      </c>
      <c r="G535" s="3">
        <v>500</v>
      </c>
      <c r="H535" s="19">
        <v>45471</v>
      </c>
      <c r="I535" s="3" t="s">
        <v>175</v>
      </c>
      <c r="J535" s="3" t="s">
        <v>176</v>
      </c>
      <c r="K535" s="6">
        <v>352402473</v>
      </c>
      <c r="L535" s="6" t="s">
        <v>203</v>
      </c>
    </row>
    <row r="536" spans="1:12" customFormat="1" ht="14.4" x14ac:dyDescent="0.3">
      <c r="A536" s="1" t="s">
        <v>12</v>
      </c>
      <c r="B536" s="1" t="s">
        <v>13</v>
      </c>
      <c r="C536" s="2" t="s">
        <v>14</v>
      </c>
      <c r="D536" s="1" t="s">
        <v>41</v>
      </c>
      <c r="E536" s="1" t="s">
        <v>42</v>
      </c>
      <c r="F536" s="1" t="s">
        <v>43</v>
      </c>
      <c r="G536" s="3">
        <v>4000</v>
      </c>
      <c r="H536" s="19">
        <v>45471</v>
      </c>
      <c r="I536" s="3" t="s">
        <v>204</v>
      </c>
      <c r="J536" s="3" t="s">
        <v>205</v>
      </c>
      <c r="K536" s="1"/>
      <c r="L536" s="6" t="s">
        <v>20</v>
      </c>
    </row>
    <row r="537" spans="1:12" customFormat="1" ht="14.4" x14ac:dyDescent="0.3">
      <c r="A537" s="1" t="s">
        <v>12</v>
      </c>
      <c r="B537" s="1" t="s">
        <v>13</v>
      </c>
      <c r="C537" s="2" t="s">
        <v>14</v>
      </c>
      <c r="D537" s="1" t="s">
        <v>15</v>
      </c>
      <c r="E537" s="1" t="s">
        <v>16</v>
      </c>
      <c r="F537" s="1" t="s">
        <v>17</v>
      </c>
      <c r="G537" s="3">
        <v>4000</v>
      </c>
      <c r="H537" s="19">
        <v>45472</v>
      </c>
      <c r="I537" s="3" t="s">
        <v>85</v>
      </c>
      <c r="J537" s="3" t="s">
        <v>19</v>
      </c>
      <c r="K537" s="1">
        <v>352402499</v>
      </c>
      <c r="L537" s="6" t="s">
        <v>20</v>
      </c>
    </row>
    <row r="538" spans="1:12" customFormat="1" ht="14.4" x14ac:dyDescent="0.3">
      <c r="A538" s="1" t="s">
        <v>12</v>
      </c>
      <c r="B538" s="1" t="s">
        <v>13</v>
      </c>
      <c r="C538" s="2" t="s">
        <v>14</v>
      </c>
      <c r="D538" s="1" t="s">
        <v>41</v>
      </c>
      <c r="E538" s="1" t="s">
        <v>42</v>
      </c>
      <c r="F538" s="1" t="s">
        <v>43</v>
      </c>
      <c r="G538" s="3">
        <v>4000</v>
      </c>
      <c r="H538" s="19">
        <v>45472</v>
      </c>
      <c r="I538" s="3" t="s">
        <v>87</v>
      </c>
      <c r="J538" s="3" t="s">
        <v>45</v>
      </c>
      <c r="K538" s="1">
        <v>352402483</v>
      </c>
      <c r="L538" s="6" t="s">
        <v>20</v>
      </c>
    </row>
    <row r="539" spans="1:12" customFormat="1" ht="13.8" customHeight="1" x14ac:dyDescent="0.3">
      <c r="A539" s="1" t="s">
        <v>12</v>
      </c>
      <c r="B539" s="1" t="s">
        <v>13</v>
      </c>
      <c r="C539" s="2" t="s">
        <v>14</v>
      </c>
      <c r="D539" s="1" t="s">
        <v>41</v>
      </c>
      <c r="E539" s="1" t="s">
        <v>61</v>
      </c>
      <c r="F539" s="1" t="s">
        <v>62</v>
      </c>
      <c r="G539" s="3">
        <v>4750</v>
      </c>
      <c r="H539" s="19">
        <v>45472</v>
      </c>
      <c r="I539" s="3" t="s">
        <v>88</v>
      </c>
      <c r="J539" s="3" t="s">
        <v>59</v>
      </c>
      <c r="K539" s="1">
        <v>352402471</v>
      </c>
      <c r="L539" s="6" t="s">
        <v>139</v>
      </c>
    </row>
    <row r="540" spans="1:12" customFormat="1" ht="14.4" x14ac:dyDescent="0.3">
      <c r="A540" s="1" t="s">
        <v>12</v>
      </c>
      <c r="B540" s="1" t="s">
        <v>13</v>
      </c>
      <c r="C540" s="2" t="s">
        <v>14</v>
      </c>
      <c r="D540" s="8" t="s">
        <v>104</v>
      </c>
      <c r="E540" s="9">
        <v>309023553967</v>
      </c>
      <c r="F540" s="1" t="s">
        <v>105</v>
      </c>
      <c r="G540" s="3">
        <v>4750</v>
      </c>
      <c r="H540" s="19">
        <v>45472</v>
      </c>
      <c r="I540" s="3" t="s">
        <v>91</v>
      </c>
      <c r="J540" s="3" t="s">
        <v>22</v>
      </c>
      <c r="K540" s="1">
        <v>352402395</v>
      </c>
      <c r="L540" s="6" t="s">
        <v>24</v>
      </c>
    </row>
    <row r="541" spans="1:12" customFormat="1" ht="14.4" x14ac:dyDescent="0.3">
      <c r="A541" s="1" t="s">
        <v>12</v>
      </c>
      <c r="B541" s="1" t="s">
        <v>13</v>
      </c>
      <c r="C541" s="2" t="s">
        <v>14</v>
      </c>
      <c r="D541" s="3" t="s">
        <v>149</v>
      </c>
      <c r="E541" s="18">
        <v>50100624324501</v>
      </c>
      <c r="F541" s="3" t="s">
        <v>150</v>
      </c>
      <c r="G541" s="3">
        <v>4750</v>
      </c>
      <c r="H541" s="19">
        <v>45472</v>
      </c>
      <c r="I541" s="3" t="s">
        <v>77</v>
      </c>
      <c r="J541" s="3" t="s">
        <v>29</v>
      </c>
      <c r="K541" s="1">
        <v>352402490</v>
      </c>
      <c r="L541" s="6" t="s">
        <v>24</v>
      </c>
    </row>
    <row r="542" spans="1:12" customFormat="1" ht="14.4" x14ac:dyDescent="0.3">
      <c r="A542" s="1" t="s">
        <v>12</v>
      </c>
      <c r="B542" s="1" t="s">
        <v>13</v>
      </c>
      <c r="C542" s="2" t="s">
        <v>14</v>
      </c>
      <c r="D542" s="1" t="s">
        <v>36</v>
      </c>
      <c r="E542" s="1" t="s">
        <v>37</v>
      </c>
      <c r="F542" s="1" t="s">
        <v>38</v>
      </c>
      <c r="G542" s="3">
        <v>5250</v>
      </c>
      <c r="H542" s="19">
        <v>45472</v>
      </c>
      <c r="I542" s="3" t="s">
        <v>92</v>
      </c>
      <c r="J542" s="3" t="s">
        <v>40</v>
      </c>
      <c r="K542" s="1">
        <v>352402466</v>
      </c>
      <c r="L542" s="6" t="s">
        <v>69</v>
      </c>
    </row>
    <row r="543" spans="1:12" customFormat="1" ht="14.4" x14ac:dyDescent="0.3">
      <c r="A543" s="1" t="s">
        <v>12</v>
      </c>
      <c r="B543" s="1" t="s">
        <v>13</v>
      </c>
      <c r="C543" s="2" t="s">
        <v>14</v>
      </c>
      <c r="D543" s="1" t="s">
        <v>73</v>
      </c>
      <c r="E543" s="1" t="s">
        <v>89</v>
      </c>
      <c r="F543" s="1" t="s">
        <v>74</v>
      </c>
      <c r="G543" s="3">
        <v>5250</v>
      </c>
      <c r="H543" s="19">
        <v>45472</v>
      </c>
      <c r="I543" s="3" t="s">
        <v>90</v>
      </c>
      <c r="J543" s="3" t="s">
        <v>76</v>
      </c>
      <c r="K543" s="1">
        <v>352402486</v>
      </c>
      <c r="L543" s="6" t="s">
        <v>69</v>
      </c>
    </row>
    <row r="544" spans="1:12" customFormat="1" ht="14.4" x14ac:dyDescent="0.3">
      <c r="A544" s="1" t="s">
        <v>12</v>
      </c>
      <c r="B544" s="1" t="s">
        <v>13</v>
      </c>
      <c r="C544" s="2" t="s">
        <v>14</v>
      </c>
      <c r="D544" s="1" t="s">
        <v>48</v>
      </c>
      <c r="E544" s="1" t="s">
        <v>49</v>
      </c>
      <c r="F544" s="1" t="s">
        <v>50</v>
      </c>
      <c r="G544" s="3">
        <v>3200</v>
      </c>
      <c r="H544" s="19">
        <v>45472</v>
      </c>
      <c r="I544" s="3" t="s">
        <v>206</v>
      </c>
      <c r="J544" s="3" t="s">
        <v>52</v>
      </c>
      <c r="K544" s="1">
        <v>352402488</v>
      </c>
      <c r="L544" s="6" t="s">
        <v>69</v>
      </c>
    </row>
    <row r="545" spans="1:12" customFormat="1" ht="14.4" x14ac:dyDescent="0.3">
      <c r="A545" s="1" t="s">
        <v>12</v>
      </c>
      <c r="B545" s="1" t="s">
        <v>13</v>
      </c>
      <c r="C545" s="2" t="s">
        <v>14</v>
      </c>
      <c r="D545" s="1" t="s">
        <v>15</v>
      </c>
      <c r="E545" s="1" t="s">
        <v>16</v>
      </c>
      <c r="F545" s="1" t="s">
        <v>17</v>
      </c>
      <c r="G545" s="3">
        <v>2000</v>
      </c>
      <c r="H545" s="19">
        <v>45474</v>
      </c>
      <c r="I545" s="3" t="s">
        <v>85</v>
      </c>
      <c r="J545" s="3" t="s">
        <v>19</v>
      </c>
      <c r="K545" s="1">
        <v>352402532</v>
      </c>
      <c r="L545" s="6" t="s">
        <v>207</v>
      </c>
    </row>
    <row r="546" spans="1:12" customFormat="1" ht="14.4" x14ac:dyDescent="0.3">
      <c r="A546" s="1" t="s">
        <v>12</v>
      </c>
      <c r="B546" s="1" t="s">
        <v>13</v>
      </c>
      <c r="C546" s="2" t="s">
        <v>14</v>
      </c>
      <c r="D546" s="1" t="s">
        <v>64</v>
      </c>
      <c r="E546" s="1" t="s">
        <v>65</v>
      </c>
      <c r="F546" s="1" t="s">
        <v>66</v>
      </c>
      <c r="G546" s="3">
        <v>5250</v>
      </c>
      <c r="H546" s="19">
        <v>45474</v>
      </c>
      <c r="I546" s="3" t="s">
        <v>101</v>
      </c>
      <c r="J546" s="3" t="s">
        <v>68</v>
      </c>
      <c r="K546" s="1">
        <v>352402523</v>
      </c>
      <c r="L546" s="6" t="s">
        <v>69</v>
      </c>
    </row>
    <row r="547" spans="1:12" customFormat="1" ht="14.4" x14ac:dyDescent="0.3">
      <c r="A547" s="1" t="s">
        <v>12</v>
      </c>
      <c r="B547" s="1" t="s">
        <v>13</v>
      </c>
      <c r="C547" s="2" t="s">
        <v>14</v>
      </c>
      <c r="D547" s="1" t="s">
        <v>80</v>
      </c>
      <c r="E547" s="1" t="s">
        <v>81</v>
      </c>
      <c r="F547" s="1" t="s">
        <v>82</v>
      </c>
      <c r="G547" s="3">
        <v>5250</v>
      </c>
      <c r="H547" s="19">
        <v>45474</v>
      </c>
      <c r="I547" s="3" t="s">
        <v>117</v>
      </c>
      <c r="J547" s="3" t="s">
        <v>118</v>
      </c>
      <c r="K547" s="1">
        <v>352402525</v>
      </c>
      <c r="L547" s="6" t="s">
        <v>69</v>
      </c>
    </row>
    <row r="548" spans="1:12" customFormat="1" ht="14.4" x14ac:dyDescent="0.3">
      <c r="A548" s="1" t="s">
        <v>12</v>
      </c>
      <c r="B548" s="1" t="s">
        <v>13</v>
      </c>
      <c r="C548" s="2" t="s">
        <v>14</v>
      </c>
      <c r="D548" s="1" t="s">
        <v>31</v>
      </c>
      <c r="E548" s="1" t="s">
        <v>32</v>
      </c>
      <c r="F548" s="1" t="s">
        <v>33</v>
      </c>
      <c r="G548" s="3">
        <v>5250</v>
      </c>
      <c r="H548" s="19">
        <v>45474</v>
      </c>
      <c r="I548" s="3" t="s">
        <v>78</v>
      </c>
      <c r="J548" s="3" t="s">
        <v>79</v>
      </c>
      <c r="K548" s="1">
        <v>352402524</v>
      </c>
      <c r="L548" s="6" t="s">
        <v>69</v>
      </c>
    </row>
    <row r="549" spans="1:12" customFormat="1" ht="13.8" customHeight="1" x14ac:dyDescent="0.3">
      <c r="A549" s="1" t="s">
        <v>12</v>
      </c>
      <c r="B549" s="1" t="s">
        <v>13</v>
      </c>
      <c r="C549" s="2" t="s">
        <v>14</v>
      </c>
      <c r="D549" s="1" t="s">
        <v>41</v>
      </c>
      <c r="E549" s="1" t="s">
        <v>61</v>
      </c>
      <c r="F549" s="1" t="s">
        <v>62</v>
      </c>
      <c r="G549" s="3">
        <v>3750</v>
      </c>
      <c r="H549" s="19">
        <v>45474</v>
      </c>
      <c r="I549" s="3" t="s">
        <v>88</v>
      </c>
      <c r="J549" s="3" t="s">
        <v>59</v>
      </c>
      <c r="K549" s="1">
        <v>352402529</v>
      </c>
      <c r="L549" s="6" t="s">
        <v>69</v>
      </c>
    </row>
    <row r="550" spans="1:12" customFormat="1" ht="14.4" x14ac:dyDescent="0.3">
      <c r="A550" s="1" t="s">
        <v>12</v>
      </c>
      <c r="B550" s="1" t="s">
        <v>13</v>
      </c>
      <c r="C550" s="2" t="s">
        <v>14</v>
      </c>
      <c r="D550" s="3" t="s">
        <v>149</v>
      </c>
      <c r="E550" s="18">
        <v>50100624324501</v>
      </c>
      <c r="F550" s="3" t="s">
        <v>150</v>
      </c>
      <c r="G550" s="3">
        <v>3750</v>
      </c>
      <c r="H550" s="19">
        <v>45474</v>
      </c>
      <c r="I550" s="3" t="s">
        <v>77</v>
      </c>
      <c r="J550" s="3" t="s">
        <v>29</v>
      </c>
      <c r="K550" s="1">
        <v>352402531</v>
      </c>
      <c r="L550" s="6" t="s">
        <v>69</v>
      </c>
    </row>
    <row r="551" spans="1:12" customFormat="1" ht="14.4" x14ac:dyDescent="0.3">
      <c r="A551" s="1" t="s">
        <v>12</v>
      </c>
      <c r="B551" s="1" t="s">
        <v>13</v>
      </c>
      <c r="C551" s="2" t="s">
        <v>14</v>
      </c>
      <c r="D551" s="1" t="s">
        <v>48</v>
      </c>
      <c r="E551" s="1" t="s">
        <v>49</v>
      </c>
      <c r="F551" s="1" t="s">
        <v>50</v>
      </c>
      <c r="G551" s="3">
        <v>4750</v>
      </c>
      <c r="H551" s="19">
        <v>45474</v>
      </c>
      <c r="I551" s="3" t="s">
        <v>206</v>
      </c>
      <c r="J551" s="3" t="s">
        <v>52</v>
      </c>
      <c r="K551" s="1">
        <v>352402528</v>
      </c>
      <c r="L551" s="6" t="s">
        <v>24</v>
      </c>
    </row>
    <row r="552" spans="1:12" customFormat="1" ht="14.4" x14ac:dyDescent="0.3">
      <c r="A552" s="1" t="s">
        <v>12</v>
      </c>
      <c r="B552" s="1" t="s">
        <v>13</v>
      </c>
      <c r="C552" s="2" t="s">
        <v>14</v>
      </c>
      <c r="D552" s="1" t="s">
        <v>31</v>
      </c>
      <c r="E552" s="1" t="s">
        <v>32</v>
      </c>
      <c r="F552" s="1" t="s">
        <v>33</v>
      </c>
      <c r="G552" s="3">
        <v>5250</v>
      </c>
      <c r="H552" s="19">
        <v>45474</v>
      </c>
      <c r="I552" s="3" t="s">
        <v>93</v>
      </c>
      <c r="J552" s="3" t="s">
        <v>34</v>
      </c>
      <c r="K552" s="1">
        <v>352402521</v>
      </c>
      <c r="L552" s="6" t="s">
        <v>69</v>
      </c>
    </row>
    <row r="553" spans="1:12" customFormat="1" ht="14.4" x14ac:dyDescent="0.3">
      <c r="A553" s="1" t="s">
        <v>12</v>
      </c>
      <c r="B553" s="1" t="s">
        <v>13</v>
      </c>
      <c r="C553" s="2" t="s">
        <v>14</v>
      </c>
      <c r="D553" s="1" t="s">
        <v>36</v>
      </c>
      <c r="E553" s="1" t="s">
        <v>37</v>
      </c>
      <c r="F553" s="1" t="s">
        <v>38</v>
      </c>
      <c r="G553" s="3">
        <v>5250</v>
      </c>
      <c r="H553" s="19">
        <v>45474</v>
      </c>
      <c r="I553" s="3" t="s">
        <v>92</v>
      </c>
      <c r="J553" s="3" t="s">
        <v>40</v>
      </c>
      <c r="K553" s="1">
        <v>352402526</v>
      </c>
      <c r="L553" s="6" t="s">
        <v>69</v>
      </c>
    </row>
    <row r="554" spans="1:12" customFormat="1" ht="14.4" x14ac:dyDescent="0.3">
      <c r="A554" s="1" t="s">
        <v>12</v>
      </c>
      <c r="B554" s="1" t="s">
        <v>13</v>
      </c>
      <c r="C554" s="2" t="s">
        <v>14</v>
      </c>
      <c r="D554" s="1" t="s">
        <v>70</v>
      </c>
      <c r="E554" s="1" t="s">
        <v>71</v>
      </c>
      <c r="F554" s="1" t="s">
        <v>72</v>
      </c>
      <c r="G554" s="3">
        <v>5250</v>
      </c>
      <c r="H554" s="19">
        <v>45474</v>
      </c>
      <c r="I554" s="3" t="s">
        <v>83</v>
      </c>
      <c r="J554" s="3" t="s">
        <v>84</v>
      </c>
      <c r="K554" s="1">
        <v>352402522</v>
      </c>
      <c r="L554" s="6" t="s">
        <v>69</v>
      </c>
    </row>
    <row r="555" spans="1:12" customFormat="1" ht="14.4" x14ac:dyDescent="0.3">
      <c r="A555" s="1" t="s">
        <v>12</v>
      </c>
      <c r="B555" s="1" t="s">
        <v>13</v>
      </c>
      <c r="C555" s="2" t="s">
        <v>14</v>
      </c>
      <c r="D555" s="1" t="s">
        <v>73</v>
      </c>
      <c r="E555" s="1" t="s">
        <v>89</v>
      </c>
      <c r="F555" s="1" t="s">
        <v>74</v>
      </c>
      <c r="G555" s="3">
        <v>5250</v>
      </c>
      <c r="H555" s="19">
        <v>45474</v>
      </c>
      <c r="I555" s="3" t="s">
        <v>90</v>
      </c>
      <c r="J555" s="3" t="s">
        <v>76</v>
      </c>
      <c r="K555" s="1">
        <v>352402527</v>
      </c>
      <c r="L555" s="6" t="s">
        <v>69</v>
      </c>
    </row>
    <row r="556" spans="1:12" customFormat="1" ht="14.4" x14ac:dyDescent="0.3">
      <c r="A556" s="1" t="s">
        <v>12</v>
      </c>
      <c r="B556" s="1" t="s">
        <v>13</v>
      </c>
      <c r="C556" s="2" t="s">
        <v>14</v>
      </c>
      <c r="D556" s="1" t="s">
        <v>15</v>
      </c>
      <c r="E556" s="1" t="s">
        <v>16</v>
      </c>
      <c r="F556" s="1" t="s">
        <v>17</v>
      </c>
      <c r="G556" s="3">
        <v>1500</v>
      </c>
      <c r="H556" s="19">
        <v>45474</v>
      </c>
      <c r="I556" s="3" t="s">
        <v>85</v>
      </c>
      <c r="J556" s="3" t="s">
        <v>19</v>
      </c>
      <c r="K556" s="1">
        <v>352402516</v>
      </c>
      <c r="L556" s="6" t="s">
        <v>208</v>
      </c>
    </row>
    <row r="557" spans="1:12" customFormat="1" ht="14.4" x14ac:dyDescent="0.3">
      <c r="A557" s="1" t="s">
        <v>12</v>
      </c>
      <c r="B557" s="1" t="s">
        <v>13</v>
      </c>
      <c r="C557" s="2" t="s">
        <v>14</v>
      </c>
      <c r="D557" s="1" t="s">
        <v>15</v>
      </c>
      <c r="E557" s="1" t="s">
        <v>16</v>
      </c>
      <c r="F557" s="1" t="s">
        <v>17</v>
      </c>
      <c r="G557" s="3">
        <v>4000</v>
      </c>
      <c r="H557" s="19">
        <v>45475</v>
      </c>
      <c r="I557" s="3" t="s">
        <v>85</v>
      </c>
      <c r="J557" s="3" t="s">
        <v>19</v>
      </c>
      <c r="K557" s="1">
        <v>352402584</v>
      </c>
      <c r="L557" s="6" t="s">
        <v>20</v>
      </c>
    </row>
    <row r="558" spans="1:12" customFormat="1" ht="14.4" x14ac:dyDescent="0.3">
      <c r="A558" s="1" t="s">
        <v>12</v>
      </c>
      <c r="B558" s="1" t="s">
        <v>13</v>
      </c>
      <c r="C558" s="2" t="s">
        <v>14</v>
      </c>
      <c r="D558" s="1" t="s">
        <v>41</v>
      </c>
      <c r="E558" s="1" t="s">
        <v>42</v>
      </c>
      <c r="F558" s="1" t="s">
        <v>43</v>
      </c>
      <c r="G558" s="3">
        <v>4000</v>
      </c>
      <c r="H558" s="19">
        <v>45475</v>
      </c>
      <c r="I558" s="3" t="s">
        <v>87</v>
      </c>
      <c r="J558" s="3" t="s">
        <v>45</v>
      </c>
      <c r="K558" s="1">
        <v>352402585</v>
      </c>
      <c r="L558" s="6" t="s">
        <v>60</v>
      </c>
    </row>
    <row r="559" spans="1:12" customFormat="1" ht="14.4" x14ac:dyDescent="0.3">
      <c r="A559" s="1" t="s">
        <v>12</v>
      </c>
      <c r="B559" s="1" t="s">
        <v>13</v>
      </c>
      <c r="C559" s="2" t="s">
        <v>14</v>
      </c>
      <c r="D559" s="3" t="s">
        <v>149</v>
      </c>
      <c r="E559" s="18">
        <v>50100624324501</v>
      </c>
      <c r="F559" s="3" t="s">
        <v>150</v>
      </c>
      <c r="G559" s="3">
        <v>7500</v>
      </c>
      <c r="H559" s="19">
        <v>45475</v>
      </c>
      <c r="I559" s="3" t="s">
        <v>77</v>
      </c>
      <c r="J559" s="3" t="s">
        <v>29</v>
      </c>
      <c r="K559" s="1">
        <v>352402572</v>
      </c>
      <c r="L559" s="6" t="s">
        <v>141</v>
      </c>
    </row>
    <row r="560" spans="1:12" customFormat="1" ht="14.4" x14ac:dyDescent="0.3">
      <c r="A560" s="1" t="s">
        <v>12</v>
      </c>
      <c r="B560" s="1" t="s">
        <v>13</v>
      </c>
      <c r="C560" s="2" t="s">
        <v>14</v>
      </c>
      <c r="D560" s="1" t="s">
        <v>73</v>
      </c>
      <c r="E560" s="1" t="s">
        <v>89</v>
      </c>
      <c r="F560" s="1" t="s">
        <v>74</v>
      </c>
      <c r="G560" s="3">
        <v>5000</v>
      </c>
      <c r="H560" s="19">
        <v>45475</v>
      </c>
      <c r="I560" s="3" t="s">
        <v>90</v>
      </c>
      <c r="J560" s="3" t="s">
        <v>76</v>
      </c>
      <c r="K560" s="1">
        <v>352402570</v>
      </c>
      <c r="L560" s="6" t="s">
        <v>35</v>
      </c>
    </row>
    <row r="561" spans="1:12" customFormat="1" ht="14.4" x14ac:dyDescent="0.3">
      <c r="A561" s="1" t="s">
        <v>12</v>
      </c>
      <c r="B561" s="1" t="s">
        <v>13</v>
      </c>
      <c r="C561" s="2" t="s">
        <v>14</v>
      </c>
      <c r="D561" s="1" t="s">
        <v>108</v>
      </c>
      <c r="E561" s="1" t="s">
        <v>109</v>
      </c>
      <c r="F561" s="1" t="s">
        <v>110</v>
      </c>
      <c r="G561" s="3">
        <v>3000</v>
      </c>
      <c r="H561" s="19">
        <v>45475</v>
      </c>
      <c r="I561" s="3" t="s">
        <v>93</v>
      </c>
      <c r="J561" s="3" t="s">
        <v>34</v>
      </c>
      <c r="K561" s="1">
        <v>352402564</v>
      </c>
      <c r="L561" s="6" t="s">
        <v>209</v>
      </c>
    </row>
    <row r="562" spans="1:12" customFormat="1" ht="14.4" x14ac:dyDescent="0.3">
      <c r="A562" s="1" t="s">
        <v>12</v>
      </c>
      <c r="B562" s="1" t="s">
        <v>13</v>
      </c>
      <c r="C562" s="2" t="s">
        <v>14</v>
      </c>
      <c r="D562" s="1" t="s">
        <v>41</v>
      </c>
      <c r="E562" s="1" t="s">
        <v>42</v>
      </c>
      <c r="F562" s="1" t="s">
        <v>43</v>
      </c>
      <c r="G562" s="3">
        <v>4000</v>
      </c>
      <c r="H562" s="19">
        <v>45476</v>
      </c>
      <c r="I562" s="3" t="s">
        <v>87</v>
      </c>
      <c r="J562" s="3" t="s">
        <v>45</v>
      </c>
      <c r="K562" s="1">
        <v>352402607</v>
      </c>
      <c r="L562" s="6" t="s">
        <v>210</v>
      </c>
    </row>
    <row r="563" spans="1:12" customFormat="1" ht="14.4" x14ac:dyDescent="0.3">
      <c r="A563" s="1" t="s">
        <v>12</v>
      </c>
      <c r="B563" s="1" t="s">
        <v>13</v>
      </c>
      <c r="C563" s="2" t="s">
        <v>14</v>
      </c>
      <c r="D563" s="1" t="s">
        <v>41</v>
      </c>
      <c r="E563" s="1" t="s">
        <v>42</v>
      </c>
      <c r="F563" s="1" t="s">
        <v>43</v>
      </c>
      <c r="G563" s="3">
        <v>4000</v>
      </c>
      <c r="H563" s="19">
        <v>45476</v>
      </c>
      <c r="I563" s="3" t="s">
        <v>87</v>
      </c>
      <c r="J563" s="3" t="s">
        <v>45</v>
      </c>
      <c r="K563" s="1">
        <v>352402620</v>
      </c>
      <c r="L563" s="6" t="s">
        <v>20</v>
      </c>
    </row>
    <row r="564" spans="1:12" customFormat="1" ht="14.4" x14ac:dyDescent="0.3">
      <c r="A564" s="1" t="s">
        <v>12</v>
      </c>
      <c r="B564" s="1" t="s">
        <v>13</v>
      </c>
      <c r="C564" s="2" t="s">
        <v>14</v>
      </c>
      <c r="D564" s="1" t="s">
        <v>15</v>
      </c>
      <c r="E564" s="1" t="s">
        <v>16</v>
      </c>
      <c r="F564" s="1" t="s">
        <v>17</v>
      </c>
      <c r="G564" s="3">
        <v>4000</v>
      </c>
      <c r="H564" s="19">
        <v>45476</v>
      </c>
      <c r="I564" s="3" t="s">
        <v>85</v>
      </c>
      <c r="J564" s="3" t="s">
        <v>19</v>
      </c>
      <c r="K564" s="1">
        <v>352402618</v>
      </c>
      <c r="L564" s="6" t="s">
        <v>20</v>
      </c>
    </row>
    <row r="565" spans="1:12" customFormat="1" ht="14.4" x14ac:dyDescent="0.3">
      <c r="A565" s="1" t="s">
        <v>12</v>
      </c>
      <c r="B565" s="1" t="s">
        <v>13</v>
      </c>
      <c r="C565" s="2" t="s">
        <v>14</v>
      </c>
      <c r="D565" s="8" t="s">
        <v>104</v>
      </c>
      <c r="E565" s="9">
        <v>309023553967</v>
      </c>
      <c r="F565" s="1" t="s">
        <v>105</v>
      </c>
      <c r="G565" s="3">
        <v>5000</v>
      </c>
      <c r="H565" s="19">
        <v>45476</v>
      </c>
      <c r="I565" s="3" t="s">
        <v>91</v>
      </c>
      <c r="J565" s="3" t="s">
        <v>22</v>
      </c>
      <c r="K565" s="1"/>
      <c r="L565" s="6" t="s">
        <v>164</v>
      </c>
    </row>
    <row r="566" spans="1:12" customFormat="1" ht="14.4" x14ac:dyDescent="0.3">
      <c r="A566" s="1" t="s">
        <v>12</v>
      </c>
      <c r="B566" s="1" t="s">
        <v>13</v>
      </c>
      <c r="C566" s="2" t="s">
        <v>14</v>
      </c>
      <c r="D566" s="1" t="s">
        <v>64</v>
      </c>
      <c r="E566" s="1" t="s">
        <v>65</v>
      </c>
      <c r="F566" s="1" t="s">
        <v>66</v>
      </c>
      <c r="G566" s="3">
        <v>5250</v>
      </c>
      <c r="H566" s="19">
        <v>45477</v>
      </c>
      <c r="I566" s="3" t="s">
        <v>101</v>
      </c>
      <c r="J566" s="3" t="s">
        <v>68</v>
      </c>
      <c r="K566" s="1">
        <v>352402566</v>
      </c>
      <c r="L566" s="6" t="s">
        <v>69</v>
      </c>
    </row>
    <row r="567" spans="1:12" customFormat="1" ht="14.4" x14ac:dyDescent="0.3">
      <c r="A567" s="1" t="s">
        <v>12</v>
      </c>
      <c r="B567" s="1" t="s">
        <v>13</v>
      </c>
      <c r="C567" s="2" t="s">
        <v>14</v>
      </c>
      <c r="D567" s="1" t="s">
        <v>31</v>
      </c>
      <c r="E567" s="1" t="s">
        <v>32</v>
      </c>
      <c r="F567" s="1" t="s">
        <v>33</v>
      </c>
      <c r="G567" s="3">
        <v>5250</v>
      </c>
      <c r="H567" s="19">
        <v>45477</v>
      </c>
      <c r="I567" s="3" t="s">
        <v>78</v>
      </c>
      <c r="J567" s="3" t="s">
        <v>79</v>
      </c>
      <c r="K567" s="1">
        <v>352402565</v>
      </c>
      <c r="L567" s="6" t="s">
        <v>69</v>
      </c>
    </row>
    <row r="568" spans="1:12" customFormat="1" ht="13.8" customHeight="1" x14ac:dyDescent="0.3">
      <c r="A568" s="1" t="s">
        <v>12</v>
      </c>
      <c r="B568" s="1" t="s">
        <v>13</v>
      </c>
      <c r="C568" s="2" t="s">
        <v>14</v>
      </c>
      <c r="D568" s="1" t="s">
        <v>41</v>
      </c>
      <c r="E568" s="1" t="s">
        <v>61</v>
      </c>
      <c r="F568" s="1" t="s">
        <v>62</v>
      </c>
      <c r="G568" s="3">
        <v>5250</v>
      </c>
      <c r="H568" s="19">
        <v>45477</v>
      </c>
      <c r="I568" s="3" t="s">
        <v>88</v>
      </c>
      <c r="J568" s="3" t="s">
        <v>59</v>
      </c>
      <c r="K568" s="1">
        <v>352402571</v>
      </c>
      <c r="L568" s="6" t="s">
        <v>69</v>
      </c>
    </row>
    <row r="569" spans="1:12" customFormat="1" ht="14.4" x14ac:dyDescent="0.3">
      <c r="A569" s="1" t="s">
        <v>12</v>
      </c>
      <c r="B569" s="1" t="s">
        <v>13</v>
      </c>
      <c r="C569" s="2" t="s">
        <v>14</v>
      </c>
      <c r="D569" s="1" t="s">
        <v>31</v>
      </c>
      <c r="E569" s="1" t="s">
        <v>32</v>
      </c>
      <c r="F569" s="1" t="s">
        <v>33</v>
      </c>
      <c r="G569" s="3">
        <v>5250</v>
      </c>
      <c r="H569" s="19">
        <v>45477</v>
      </c>
      <c r="I569" s="3" t="s">
        <v>93</v>
      </c>
      <c r="J569" s="3" t="s">
        <v>34</v>
      </c>
      <c r="K569" s="1">
        <v>352402564</v>
      </c>
      <c r="L569" s="6" t="s">
        <v>69</v>
      </c>
    </row>
    <row r="570" spans="1:12" customFormat="1" ht="14.4" x14ac:dyDescent="0.3">
      <c r="A570" s="1" t="s">
        <v>12</v>
      </c>
      <c r="B570" s="1" t="s">
        <v>13</v>
      </c>
      <c r="C570" s="2" t="s">
        <v>14</v>
      </c>
      <c r="D570" s="1" t="s">
        <v>36</v>
      </c>
      <c r="E570" s="1" t="s">
        <v>37</v>
      </c>
      <c r="F570" s="1" t="s">
        <v>38</v>
      </c>
      <c r="G570" s="3">
        <v>4750</v>
      </c>
      <c r="H570" s="19">
        <v>45477</v>
      </c>
      <c r="I570" s="3" t="s">
        <v>92</v>
      </c>
      <c r="J570" s="3" t="s">
        <v>40</v>
      </c>
      <c r="K570" s="1">
        <v>352402569</v>
      </c>
      <c r="L570" s="6" t="s">
        <v>139</v>
      </c>
    </row>
    <row r="571" spans="1:12" customFormat="1" ht="14.4" x14ac:dyDescent="0.3">
      <c r="A571" s="1" t="s">
        <v>12</v>
      </c>
      <c r="B571" s="1" t="s">
        <v>13</v>
      </c>
      <c r="C571" s="2" t="s">
        <v>14</v>
      </c>
      <c r="D571" s="1" t="s">
        <v>70</v>
      </c>
      <c r="E571" s="1" t="s">
        <v>71</v>
      </c>
      <c r="F571" s="1" t="s">
        <v>72</v>
      </c>
      <c r="G571" s="20">
        <v>5250</v>
      </c>
      <c r="H571" s="19">
        <v>45477</v>
      </c>
      <c r="I571" s="3" t="s">
        <v>83</v>
      </c>
      <c r="J571" s="3" t="s">
        <v>84</v>
      </c>
      <c r="K571" s="1">
        <v>352402567</v>
      </c>
      <c r="L571" s="6" t="s">
        <v>69</v>
      </c>
    </row>
    <row r="572" spans="1:12" customFormat="1" ht="14.4" x14ac:dyDescent="0.3">
      <c r="A572" s="1" t="s">
        <v>12</v>
      </c>
      <c r="B572" s="1" t="s">
        <v>13</v>
      </c>
      <c r="C572" s="2" t="s">
        <v>14</v>
      </c>
      <c r="D572" s="1" t="s">
        <v>41</v>
      </c>
      <c r="E572" s="1" t="s">
        <v>42</v>
      </c>
      <c r="F572" s="1" t="s">
        <v>43</v>
      </c>
      <c r="G572" s="3">
        <v>4000</v>
      </c>
      <c r="H572" s="19">
        <v>45477</v>
      </c>
      <c r="I572" s="3" t="s">
        <v>87</v>
      </c>
      <c r="J572" s="3" t="s">
        <v>45</v>
      </c>
      <c r="K572" s="1">
        <v>352402642</v>
      </c>
      <c r="L572" s="6" t="s">
        <v>20</v>
      </c>
    </row>
    <row r="573" spans="1:12" customFormat="1" ht="14.4" x14ac:dyDescent="0.3">
      <c r="A573" s="1" t="s">
        <v>12</v>
      </c>
      <c r="B573" s="1" t="s">
        <v>13</v>
      </c>
      <c r="C573" s="2" t="s">
        <v>14</v>
      </c>
      <c r="D573" s="1" t="s">
        <v>15</v>
      </c>
      <c r="E573" s="1" t="s">
        <v>16</v>
      </c>
      <c r="F573" s="1" t="s">
        <v>17</v>
      </c>
      <c r="G573" s="3">
        <v>4000</v>
      </c>
      <c r="H573" s="19">
        <v>45477</v>
      </c>
      <c r="I573" s="3" t="s">
        <v>85</v>
      </c>
      <c r="J573" s="3" t="s">
        <v>19</v>
      </c>
      <c r="K573" s="1">
        <v>352402636</v>
      </c>
      <c r="L573" s="6" t="s">
        <v>20</v>
      </c>
    </row>
    <row r="574" spans="1:12" customFormat="1" ht="14.4" x14ac:dyDescent="0.3">
      <c r="A574" s="1" t="s">
        <v>12</v>
      </c>
      <c r="B574" s="1" t="s">
        <v>13</v>
      </c>
      <c r="C574" s="2" t="s">
        <v>14</v>
      </c>
      <c r="D574" s="3" t="s">
        <v>149</v>
      </c>
      <c r="E574" s="18">
        <v>50100624324501</v>
      </c>
      <c r="F574" s="3" t="s">
        <v>150</v>
      </c>
      <c r="G574" s="3">
        <v>4750</v>
      </c>
      <c r="H574" s="19">
        <v>45477</v>
      </c>
      <c r="I574" s="3" t="s">
        <v>77</v>
      </c>
      <c r="J574" s="3" t="s">
        <v>29</v>
      </c>
      <c r="K574" s="1">
        <v>352402619</v>
      </c>
      <c r="L574" s="6" t="s">
        <v>139</v>
      </c>
    </row>
    <row r="575" spans="1:12" customFormat="1" ht="14.4" x14ac:dyDescent="0.3">
      <c r="A575" s="1" t="s">
        <v>12</v>
      </c>
      <c r="B575" s="1" t="s">
        <v>13</v>
      </c>
      <c r="C575" s="2" t="s">
        <v>14</v>
      </c>
      <c r="D575" s="1" t="s">
        <v>15</v>
      </c>
      <c r="E575" s="1" t="s">
        <v>16</v>
      </c>
      <c r="F575" s="1" t="s">
        <v>17</v>
      </c>
      <c r="G575" s="3">
        <v>5000</v>
      </c>
      <c r="H575" s="19">
        <v>45477</v>
      </c>
      <c r="I575" s="3" t="s">
        <v>85</v>
      </c>
      <c r="J575" s="3" t="s">
        <v>19</v>
      </c>
      <c r="K575" s="1"/>
      <c r="L575" s="6" t="s">
        <v>164</v>
      </c>
    </row>
    <row r="576" spans="1:12" customFormat="1" ht="14.4" x14ac:dyDescent="0.3">
      <c r="A576" s="1" t="s">
        <v>12</v>
      </c>
      <c r="B576" s="1" t="s">
        <v>13</v>
      </c>
      <c r="C576" s="2" t="s">
        <v>14</v>
      </c>
      <c r="D576" s="1" t="s">
        <v>173</v>
      </c>
      <c r="E576" s="1" t="s">
        <v>174</v>
      </c>
      <c r="F576" s="1" t="s">
        <v>33</v>
      </c>
      <c r="G576" s="3">
        <v>500</v>
      </c>
      <c r="H576" s="19">
        <v>45478</v>
      </c>
      <c r="I576" s="3" t="s">
        <v>175</v>
      </c>
      <c r="J576" s="3" t="s">
        <v>176</v>
      </c>
      <c r="K576" s="6">
        <v>352402665</v>
      </c>
      <c r="L576" s="6" t="s">
        <v>211</v>
      </c>
    </row>
    <row r="577" spans="1:12" customFormat="1" ht="14.4" x14ac:dyDescent="0.3">
      <c r="A577" s="1" t="s">
        <v>12</v>
      </c>
      <c r="B577" s="1" t="s">
        <v>13</v>
      </c>
      <c r="C577" s="2" t="s">
        <v>14</v>
      </c>
      <c r="D577" s="1" t="s">
        <v>15</v>
      </c>
      <c r="E577" s="1" t="s">
        <v>16</v>
      </c>
      <c r="F577" s="1" t="s">
        <v>17</v>
      </c>
      <c r="G577" s="3">
        <v>4000</v>
      </c>
      <c r="H577" s="19">
        <v>45478</v>
      </c>
      <c r="I577" s="3" t="s">
        <v>85</v>
      </c>
      <c r="J577" s="3" t="s">
        <v>19</v>
      </c>
      <c r="K577" s="1">
        <v>352402673</v>
      </c>
      <c r="L577" s="6" t="s">
        <v>20</v>
      </c>
    </row>
    <row r="578" spans="1:12" customFormat="1" ht="14.4" x14ac:dyDescent="0.3">
      <c r="A578" s="1" t="s">
        <v>12</v>
      </c>
      <c r="B578" s="1" t="s">
        <v>13</v>
      </c>
      <c r="C578" s="2" t="s">
        <v>14</v>
      </c>
      <c r="D578" s="1" t="s">
        <v>41</v>
      </c>
      <c r="E578" s="1" t="s">
        <v>42</v>
      </c>
      <c r="F578" s="1" t="s">
        <v>43</v>
      </c>
      <c r="G578" s="3">
        <v>2000</v>
      </c>
      <c r="H578" s="19">
        <v>45478</v>
      </c>
      <c r="I578" s="3" t="s">
        <v>87</v>
      </c>
      <c r="J578" s="3" t="s">
        <v>45</v>
      </c>
      <c r="K578" s="1">
        <v>352402672</v>
      </c>
      <c r="L578" s="6" t="s">
        <v>212</v>
      </c>
    </row>
    <row r="579" spans="1:12" customFormat="1" ht="14.4" x14ac:dyDescent="0.3">
      <c r="A579" s="1" t="s">
        <v>12</v>
      </c>
      <c r="B579" s="1" t="s">
        <v>13</v>
      </c>
      <c r="C579" s="2" t="s">
        <v>14</v>
      </c>
      <c r="D579" s="1" t="s">
        <v>41</v>
      </c>
      <c r="E579" s="1" t="s">
        <v>42</v>
      </c>
      <c r="F579" s="1" t="s">
        <v>43</v>
      </c>
      <c r="G579" s="3">
        <v>4000</v>
      </c>
      <c r="H579" s="19">
        <v>45479</v>
      </c>
      <c r="I579" s="3" t="s">
        <v>87</v>
      </c>
      <c r="J579" s="3" t="s">
        <v>45</v>
      </c>
      <c r="K579" s="1">
        <v>352402687</v>
      </c>
      <c r="L579" s="6" t="s">
        <v>20</v>
      </c>
    </row>
    <row r="580" spans="1:12" customFormat="1" ht="14.4" x14ac:dyDescent="0.3">
      <c r="A580" s="1" t="s">
        <v>12</v>
      </c>
      <c r="B580" s="1" t="s">
        <v>13</v>
      </c>
      <c r="C580" s="2" t="s">
        <v>14</v>
      </c>
      <c r="D580" s="1" t="s">
        <v>31</v>
      </c>
      <c r="E580" s="1" t="s">
        <v>32</v>
      </c>
      <c r="F580" s="1" t="s">
        <v>33</v>
      </c>
      <c r="G580" s="3">
        <v>5250</v>
      </c>
      <c r="H580" s="19">
        <v>45479</v>
      </c>
      <c r="I580" s="3" t="s">
        <v>78</v>
      </c>
      <c r="J580" s="3" t="s">
        <v>79</v>
      </c>
      <c r="K580" s="1">
        <v>352402655</v>
      </c>
      <c r="L580" s="6" t="s">
        <v>69</v>
      </c>
    </row>
    <row r="581" spans="1:12" customFormat="1" ht="13.8" customHeight="1" x14ac:dyDescent="0.3">
      <c r="A581" s="1" t="s">
        <v>12</v>
      </c>
      <c r="B581" s="1" t="s">
        <v>13</v>
      </c>
      <c r="C581" s="2" t="s">
        <v>14</v>
      </c>
      <c r="D581" s="1" t="s">
        <v>41</v>
      </c>
      <c r="E581" s="1" t="s">
        <v>61</v>
      </c>
      <c r="F581" s="1" t="s">
        <v>62</v>
      </c>
      <c r="G581" s="3">
        <v>5250</v>
      </c>
      <c r="H581" s="19">
        <v>45479</v>
      </c>
      <c r="I581" s="3" t="s">
        <v>88</v>
      </c>
      <c r="J581" s="3" t="s">
        <v>59</v>
      </c>
      <c r="K581" s="1">
        <v>352402658</v>
      </c>
      <c r="L581" s="6" t="s">
        <v>69</v>
      </c>
    </row>
    <row r="582" spans="1:12" x14ac:dyDescent="0.25">
      <c r="A582" s="30" t="s">
        <v>12</v>
      </c>
      <c r="B582" s="30" t="s">
        <v>13</v>
      </c>
      <c r="C582" s="30" t="s">
        <v>14</v>
      </c>
      <c r="D582" s="30" t="s">
        <v>144</v>
      </c>
      <c r="E582" s="39">
        <v>42542201947</v>
      </c>
      <c r="F582" s="30" t="s">
        <v>145</v>
      </c>
      <c r="G582" s="32">
        <v>5250</v>
      </c>
      <c r="H582" s="75">
        <v>45479</v>
      </c>
      <c r="I582" s="32" t="s">
        <v>146</v>
      </c>
      <c r="J582" s="32" t="s">
        <v>147</v>
      </c>
      <c r="K582" s="30">
        <v>352402561</v>
      </c>
      <c r="L582" s="35" t="s">
        <v>69</v>
      </c>
    </row>
    <row r="583" spans="1:12" customFormat="1" ht="14.4" x14ac:dyDescent="0.3">
      <c r="A583" s="1" t="s">
        <v>12</v>
      </c>
      <c r="B583" s="1" t="s">
        <v>13</v>
      </c>
      <c r="C583" s="2" t="s">
        <v>14</v>
      </c>
      <c r="D583" s="1" t="s">
        <v>31</v>
      </c>
      <c r="E583" s="1" t="s">
        <v>32</v>
      </c>
      <c r="F583" s="1" t="s">
        <v>33</v>
      </c>
      <c r="G583" s="3">
        <v>5250</v>
      </c>
      <c r="H583" s="19">
        <v>45479</v>
      </c>
      <c r="I583" s="3" t="s">
        <v>93</v>
      </c>
      <c r="J583" s="3" t="s">
        <v>34</v>
      </c>
      <c r="K583" s="1">
        <v>352402656</v>
      </c>
      <c r="L583" s="6" t="s">
        <v>69</v>
      </c>
    </row>
    <row r="584" spans="1:12" customFormat="1" ht="14.4" x14ac:dyDescent="0.3">
      <c r="A584" s="1" t="s">
        <v>12</v>
      </c>
      <c r="B584" s="1" t="s">
        <v>13</v>
      </c>
      <c r="C584" s="2" t="s">
        <v>14</v>
      </c>
      <c r="D584" s="1" t="s">
        <v>70</v>
      </c>
      <c r="E584" s="1" t="s">
        <v>71</v>
      </c>
      <c r="F584" s="1" t="s">
        <v>72</v>
      </c>
      <c r="G584" s="20">
        <v>5250</v>
      </c>
      <c r="H584" s="19">
        <v>45479</v>
      </c>
      <c r="I584" s="3" t="s">
        <v>83</v>
      </c>
      <c r="J584" s="3" t="s">
        <v>84</v>
      </c>
      <c r="K584" s="1">
        <v>352402657</v>
      </c>
      <c r="L584" s="6" t="s">
        <v>69</v>
      </c>
    </row>
    <row r="585" spans="1:12" customFormat="1" ht="14.4" x14ac:dyDescent="0.3">
      <c r="A585" s="1" t="s">
        <v>12</v>
      </c>
      <c r="B585" s="1" t="s">
        <v>13</v>
      </c>
      <c r="C585" s="2" t="s">
        <v>14</v>
      </c>
      <c r="D585" s="1" t="s">
        <v>15</v>
      </c>
      <c r="E585" s="1" t="s">
        <v>16</v>
      </c>
      <c r="F585" s="1" t="s">
        <v>17</v>
      </c>
      <c r="G585" s="3">
        <v>4000</v>
      </c>
      <c r="H585" s="19">
        <v>45479</v>
      </c>
      <c r="I585" s="3" t="s">
        <v>85</v>
      </c>
      <c r="J585" s="3" t="s">
        <v>19</v>
      </c>
      <c r="K585" s="1">
        <v>352402673</v>
      </c>
      <c r="L585" s="6" t="s">
        <v>166</v>
      </c>
    </row>
    <row r="586" spans="1:12" customFormat="1" ht="14.4" x14ac:dyDescent="0.3">
      <c r="A586" s="1" t="s">
        <v>12</v>
      </c>
      <c r="B586" s="1" t="s">
        <v>13</v>
      </c>
      <c r="C586" s="2" t="s">
        <v>14</v>
      </c>
      <c r="D586" s="1" t="s">
        <v>152</v>
      </c>
      <c r="E586" s="1" t="s">
        <v>153</v>
      </c>
      <c r="F586" s="1" t="s">
        <v>154</v>
      </c>
      <c r="G586" s="3">
        <v>500</v>
      </c>
      <c r="H586" s="19">
        <v>45481</v>
      </c>
      <c r="I586" s="3" t="s">
        <v>155</v>
      </c>
      <c r="J586" s="3" t="s">
        <v>156</v>
      </c>
      <c r="K586" s="1">
        <v>352402713</v>
      </c>
      <c r="L586" s="6" t="s">
        <v>213</v>
      </c>
    </row>
    <row r="587" spans="1:12" customFormat="1" ht="14.4" x14ac:dyDescent="0.3">
      <c r="A587" s="1" t="s">
        <v>12</v>
      </c>
      <c r="B587" s="1" t="s">
        <v>13</v>
      </c>
      <c r="C587" s="2" t="s">
        <v>14</v>
      </c>
      <c r="D587" s="1" t="s">
        <v>183</v>
      </c>
      <c r="E587" s="1" t="s">
        <v>184</v>
      </c>
      <c r="F587" s="1" t="s">
        <v>185</v>
      </c>
      <c r="G587" s="3">
        <v>500</v>
      </c>
      <c r="H587" s="19">
        <v>45481</v>
      </c>
      <c r="I587" s="3" t="s">
        <v>186</v>
      </c>
      <c r="J587" s="3" t="s">
        <v>187</v>
      </c>
      <c r="K587" s="1">
        <v>352402714</v>
      </c>
      <c r="L587" s="6" t="s">
        <v>213</v>
      </c>
    </row>
    <row r="588" spans="1:12" customFormat="1" ht="14.4" x14ac:dyDescent="0.3">
      <c r="A588" s="1" t="s">
        <v>12</v>
      </c>
      <c r="B588" s="1" t="s">
        <v>13</v>
      </c>
      <c r="C588" s="2" t="s">
        <v>14</v>
      </c>
      <c r="D588" s="1" t="s">
        <v>173</v>
      </c>
      <c r="E588" s="1" t="s">
        <v>174</v>
      </c>
      <c r="F588" s="1" t="s">
        <v>33</v>
      </c>
      <c r="G588" s="3">
        <v>500</v>
      </c>
      <c r="H588" s="19">
        <v>45481</v>
      </c>
      <c r="I588" s="3" t="s">
        <v>175</v>
      </c>
      <c r="J588" s="3" t="s">
        <v>176</v>
      </c>
      <c r="K588" s="6">
        <v>352402718</v>
      </c>
      <c r="L588" s="6" t="s">
        <v>214</v>
      </c>
    </row>
    <row r="589" spans="1:12" customFormat="1" ht="14.4" x14ac:dyDescent="0.3">
      <c r="A589" s="1" t="s">
        <v>12</v>
      </c>
      <c r="B589" s="1" t="s">
        <v>13</v>
      </c>
      <c r="C589" s="2" t="s">
        <v>14</v>
      </c>
      <c r="D589" s="1" t="s">
        <v>15</v>
      </c>
      <c r="E589" s="1" t="s">
        <v>16</v>
      </c>
      <c r="F589" s="1" t="s">
        <v>17</v>
      </c>
      <c r="G589" s="3">
        <v>4000</v>
      </c>
      <c r="H589" s="19">
        <v>45481</v>
      </c>
      <c r="I589" s="3" t="s">
        <v>85</v>
      </c>
      <c r="J589" s="3" t="s">
        <v>19</v>
      </c>
      <c r="K589" s="1">
        <v>352402717</v>
      </c>
      <c r="L589" s="6" t="s">
        <v>20</v>
      </c>
    </row>
    <row r="590" spans="1:12" customFormat="1" ht="14.4" x14ac:dyDescent="0.3">
      <c r="A590" s="1" t="s">
        <v>12</v>
      </c>
      <c r="B590" s="1" t="s">
        <v>13</v>
      </c>
      <c r="C590" s="2" t="s">
        <v>14</v>
      </c>
      <c r="D590" s="1" t="s">
        <v>41</v>
      </c>
      <c r="E590" s="1" t="s">
        <v>42</v>
      </c>
      <c r="F590" s="1" t="s">
        <v>43</v>
      </c>
      <c r="G590" s="3">
        <v>4000</v>
      </c>
      <c r="H590" s="19">
        <v>45481</v>
      </c>
      <c r="I590" s="3" t="s">
        <v>87</v>
      </c>
      <c r="J590" s="3" t="s">
        <v>45</v>
      </c>
      <c r="K590" s="1">
        <v>352402715</v>
      </c>
      <c r="L590" s="6" t="s">
        <v>20</v>
      </c>
    </row>
    <row r="591" spans="1:12" customFormat="1" ht="14.4" x14ac:dyDescent="0.3">
      <c r="A591" s="1" t="s">
        <v>12</v>
      </c>
      <c r="B591" s="1" t="s">
        <v>13</v>
      </c>
      <c r="C591" s="2" t="s">
        <v>14</v>
      </c>
      <c r="D591" s="1" t="s">
        <v>193</v>
      </c>
      <c r="E591" s="1" t="s">
        <v>194</v>
      </c>
      <c r="F591" s="1" t="s">
        <v>195</v>
      </c>
      <c r="G591" s="3">
        <v>5250</v>
      </c>
      <c r="H591" s="19">
        <v>45481</v>
      </c>
      <c r="I591" s="3" t="s">
        <v>91</v>
      </c>
      <c r="J591" s="3" t="s">
        <v>22</v>
      </c>
      <c r="K591" s="6">
        <v>352402720</v>
      </c>
      <c r="L591" s="6" t="s">
        <v>69</v>
      </c>
    </row>
    <row r="592" spans="1:12" customFormat="1" ht="14.4" x14ac:dyDescent="0.3">
      <c r="A592" s="1" t="s">
        <v>12</v>
      </c>
      <c r="B592" s="1" t="s">
        <v>13</v>
      </c>
      <c r="C592" s="2" t="s">
        <v>14</v>
      </c>
      <c r="D592" s="3" t="s">
        <v>149</v>
      </c>
      <c r="E592" s="18">
        <v>50100624324501</v>
      </c>
      <c r="F592" s="3" t="s">
        <v>150</v>
      </c>
      <c r="G592" s="3">
        <v>5250</v>
      </c>
      <c r="H592" s="19">
        <v>45481</v>
      </c>
      <c r="I592" s="3" t="s">
        <v>77</v>
      </c>
      <c r="J592" s="3" t="s">
        <v>29</v>
      </c>
      <c r="K592" s="6">
        <v>352402654</v>
      </c>
      <c r="L592" s="6" t="s">
        <v>69</v>
      </c>
    </row>
    <row r="593" spans="1:12" customFormat="1" ht="14.4" x14ac:dyDescent="0.3">
      <c r="A593" s="1" t="s">
        <v>12</v>
      </c>
      <c r="B593" s="1" t="s">
        <v>13</v>
      </c>
      <c r="C593" s="2" t="s">
        <v>14</v>
      </c>
      <c r="D593" s="1" t="s">
        <v>48</v>
      </c>
      <c r="E593" s="1" t="s">
        <v>49</v>
      </c>
      <c r="F593" s="1" t="s">
        <v>50</v>
      </c>
      <c r="G593" s="3">
        <v>6200</v>
      </c>
      <c r="H593" s="19">
        <v>45481</v>
      </c>
      <c r="I593" s="3" t="s">
        <v>206</v>
      </c>
      <c r="J593" s="3" t="s">
        <v>52</v>
      </c>
      <c r="K593" s="1">
        <v>352402558</v>
      </c>
      <c r="L593" s="6" t="s">
        <v>30</v>
      </c>
    </row>
    <row r="594" spans="1:12" customFormat="1" ht="14.4" x14ac:dyDescent="0.3">
      <c r="A594" s="1" t="s">
        <v>12</v>
      </c>
      <c r="B594" s="1" t="s">
        <v>13</v>
      </c>
      <c r="C594" s="2" t="s">
        <v>14</v>
      </c>
      <c r="D594" s="1" t="s">
        <v>36</v>
      </c>
      <c r="E594" s="1" t="s">
        <v>37</v>
      </c>
      <c r="F594" s="1" t="s">
        <v>38</v>
      </c>
      <c r="G594" s="3">
        <v>5250</v>
      </c>
      <c r="H594" s="19">
        <v>45481</v>
      </c>
      <c r="I594" s="3" t="s">
        <v>92</v>
      </c>
      <c r="J594" s="3" t="s">
        <v>40</v>
      </c>
      <c r="K594" s="1">
        <v>352402653</v>
      </c>
      <c r="L594" s="6" t="s">
        <v>69</v>
      </c>
    </row>
    <row r="595" spans="1:12" customFormat="1" ht="14.4" x14ac:dyDescent="0.3">
      <c r="A595" s="1" t="s">
        <v>12</v>
      </c>
      <c r="B595" s="1" t="s">
        <v>13</v>
      </c>
      <c r="C595" s="2" t="s">
        <v>14</v>
      </c>
      <c r="D595" s="1" t="s">
        <v>73</v>
      </c>
      <c r="E595" s="1" t="s">
        <v>89</v>
      </c>
      <c r="F595" s="1" t="s">
        <v>74</v>
      </c>
      <c r="G595" s="3">
        <v>3750</v>
      </c>
      <c r="H595" s="19">
        <v>45481</v>
      </c>
      <c r="I595" s="3" t="s">
        <v>90</v>
      </c>
      <c r="J595" s="3" t="s">
        <v>76</v>
      </c>
      <c r="K595" s="1">
        <v>352402684</v>
      </c>
      <c r="L595" s="6" t="s">
        <v>69</v>
      </c>
    </row>
    <row r="596" spans="1:12" customFormat="1" ht="14.4" x14ac:dyDescent="0.3">
      <c r="A596" s="1" t="s">
        <v>12</v>
      </c>
      <c r="B596" s="1" t="s">
        <v>13</v>
      </c>
      <c r="C596" s="2" t="s">
        <v>14</v>
      </c>
      <c r="D596" s="1" t="s">
        <v>215</v>
      </c>
      <c r="E596" s="1" t="s">
        <v>216</v>
      </c>
      <c r="F596" s="1" t="s">
        <v>33</v>
      </c>
      <c r="G596" s="3">
        <v>500</v>
      </c>
      <c r="H596" s="19">
        <v>45482</v>
      </c>
      <c r="I596" s="3" t="s">
        <v>155</v>
      </c>
      <c r="J596" s="3" t="s">
        <v>156</v>
      </c>
      <c r="K596" s="1">
        <v>352402767</v>
      </c>
      <c r="L596" s="6" t="s">
        <v>217</v>
      </c>
    </row>
    <row r="597" spans="1:12" customFormat="1" ht="14.4" x14ac:dyDescent="0.3">
      <c r="A597" s="1" t="s">
        <v>12</v>
      </c>
      <c r="B597" s="1" t="s">
        <v>13</v>
      </c>
      <c r="C597" s="2" t="s">
        <v>14</v>
      </c>
      <c r="D597" s="1" t="s">
        <v>15</v>
      </c>
      <c r="E597" s="1" t="s">
        <v>16</v>
      </c>
      <c r="F597" s="1" t="s">
        <v>17</v>
      </c>
      <c r="G597" s="3">
        <v>4000</v>
      </c>
      <c r="H597" s="19">
        <v>45482</v>
      </c>
      <c r="I597" s="3" t="s">
        <v>85</v>
      </c>
      <c r="J597" s="3" t="s">
        <v>19</v>
      </c>
      <c r="K597" s="1">
        <v>352402758</v>
      </c>
      <c r="L597" s="6" t="s">
        <v>20</v>
      </c>
    </row>
    <row r="598" spans="1:12" customFormat="1" ht="14.4" x14ac:dyDescent="0.3">
      <c r="A598" s="1" t="s">
        <v>12</v>
      </c>
      <c r="B598" s="1" t="s">
        <v>13</v>
      </c>
      <c r="C598" s="2" t="s">
        <v>14</v>
      </c>
      <c r="D598" s="1" t="s">
        <v>41</v>
      </c>
      <c r="E598" s="1" t="s">
        <v>42</v>
      </c>
      <c r="F598" s="1" t="s">
        <v>43</v>
      </c>
      <c r="G598" s="3">
        <v>4000</v>
      </c>
      <c r="H598" s="19">
        <v>45482</v>
      </c>
      <c r="I598" s="3" t="s">
        <v>204</v>
      </c>
      <c r="J598" s="3" t="s">
        <v>205</v>
      </c>
      <c r="K598" s="1">
        <v>352402759</v>
      </c>
      <c r="L598" s="6" t="s">
        <v>20</v>
      </c>
    </row>
    <row r="599" spans="1:12" customFormat="1" ht="14.4" x14ac:dyDescent="0.3">
      <c r="A599" s="1" t="s">
        <v>12</v>
      </c>
      <c r="B599" s="1" t="s">
        <v>13</v>
      </c>
      <c r="C599" s="2" t="s">
        <v>14</v>
      </c>
      <c r="D599" s="1" t="s">
        <v>31</v>
      </c>
      <c r="E599" s="1" t="s">
        <v>32</v>
      </c>
      <c r="F599" s="1" t="s">
        <v>33</v>
      </c>
      <c r="G599" s="3">
        <v>5250</v>
      </c>
      <c r="H599" s="19">
        <v>45482</v>
      </c>
      <c r="I599" s="3" t="s">
        <v>78</v>
      </c>
      <c r="J599" s="3" t="s">
        <v>79</v>
      </c>
      <c r="K599" s="1">
        <v>352402727</v>
      </c>
      <c r="L599" s="6" t="s">
        <v>69</v>
      </c>
    </row>
    <row r="600" spans="1:12" customFormat="1" ht="13.8" customHeight="1" x14ac:dyDescent="0.3">
      <c r="A600" s="1" t="s">
        <v>12</v>
      </c>
      <c r="B600" s="1" t="s">
        <v>13</v>
      </c>
      <c r="C600" s="2" t="s">
        <v>14</v>
      </c>
      <c r="D600" s="1" t="s">
        <v>41</v>
      </c>
      <c r="E600" s="1" t="s">
        <v>61</v>
      </c>
      <c r="F600" s="1" t="s">
        <v>62</v>
      </c>
      <c r="G600" s="3">
        <v>5250</v>
      </c>
      <c r="H600" s="19">
        <v>45482</v>
      </c>
      <c r="I600" s="3" t="s">
        <v>88</v>
      </c>
      <c r="J600" s="3" t="s">
        <v>59</v>
      </c>
      <c r="K600" s="1">
        <v>352402729</v>
      </c>
      <c r="L600" s="6" t="s">
        <v>69</v>
      </c>
    </row>
    <row r="601" spans="1:12" x14ac:dyDescent="0.25">
      <c r="A601" s="30" t="s">
        <v>12</v>
      </c>
      <c r="B601" s="30" t="s">
        <v>13</v>
      </c>
      <c r="C601" s="30" t="s">
        <v>14</v>
      </c>
      <c r="D601" s="30" t="s">
        <v>144</v>
      </c>
      <c r="E601" s="39">
        <v>42542201947</v>
      </c>
      <c r="F601" s="30" t="s">
        <v>145</v>
      </c>
      <c r="G601" s="32">
        <v>5250</v>
      </c>
      <c r="H601" s="75">
        <v>45482</v>
      </c>
      <c r="I601" s="32" t="s">
        <v>146</v>
      </c>
      <c r="J601" s="32" t="s">
        <v>147</v>
      </c>
      <c r="K601" s="30">
        <v>352402725</v>
      </c>
      <c r="L601" s="35" t="s">
        <v>69</v>
      </c>
    </row>
    <row r="602" spans="1:12" customFormat="1" ht="14.4" x14ac:dyDescent="0.3">
      <c r="A602" s="1" t="s">
        <v>12</v>
      </c>
      <c r="B602" s="1" t="s">
        <v>13</v>
      </c>
      <c r="C602" s="2" t="s">
        <v>14</v>
      </c>
      <c r="D602" s="1" t="s">
        <v>31</v>
      </c>
      <c r="E602" s="1" t="s">
        <v>32</v>
      </c>
      <c r="F602" s="1" t="s">
        <v>33</v>
      </c>
      <c r="G602" s="3">
        <v>5250</v>
      </c>
      <c r="H602" s="19">
        <v>45482</v>
      </c>
      <c r="I602" s="3" t="s">
        <v>93</v>
      </c>
      <c r="J602" s="3" t="s">
        <v>34</v>
      </c>
      <c r="K602" s="1">
        <v>352402726</v>
      </c>
      <c r="L602" s="6" t="s">
        <v>69</v>
      </c>
    </row>
    <row r="603" spans="1:12" customFormat="1" ht="14.4" x14ac:dyDescent="0.3">
      <c r="A603" s="1" t="s">
        <v>12</v>
      </c>
      <c r="B603" s="1" t="s">
        <v>13</v>
      </c>
      <c r="C603" s="2" t="s">
        <v>14</v>
      </c>
      <c r="D603" s="1" t="s">
        <v>36</v>
      </c>
      <c r="E603" s="1" t="s">
        <v>37</v>
      </c>
      <c r="F603" s="1" t="s">
        <v>38</v>
      </c>
      <c r="G603" s="3">
        <v>3750</v>
      </c>
      <c r="H603" s="19">
        <v>45482</v>
      </c>
      <c r="I603" s="3" t="s">
        <v>92</v>
      </c>
      <c r="J603" s="3" t="s">
        <v>40</v>
      </c>
      <c r="K603" s="1">
        <v>352402751</v>
      </c>
      <c r="L603" s="6" t="s">
        <v>69</v>
      </c>
    </row>
    <row r="604" spans="1:12" customFormat="1" ht="14.4" x14ac:dyDescent="0.3">
      <c r="A604" s="1" t="s">
        <v>12</v>
      </c>
      <c r="B604" s="1" t="s">
        <v>13</v>
      </c>
      <c r="C604" s="2" t="s">
        <v>14</v>
      </c>
      <c r="D604" s="1" t="s">
        <v>70</v>
      </c>
      <c r="E604" s="1" t="s">
        <v>71</v>
      </c>
      <c r="F604" s="1" t="s">
        <v>72</v>
      </c>
      <c r="G604" s="20">
        <v>4750</v>
      </c>
      <c r="H604" s="19">
        <v>45482</v>
      </c>
      <c r="I604" s="3" t="s">
        <v>83</v>
      </c>
      <c r="J604" s="3" t="s">
        <v>84</v>
      </c>
      <c r="K604" s="1">
        <v>352402728</v>
      </c>
      <c r="L604" s="6" t="s">
        <v>24</v>
      </c>
    </row>
    <row r="605" spans="1:12" customFormat="1" ht="14.4" x14ac:dyDescent="0.3">
      <c r="A605" s="1" t="s">
        <v>12</v>
      </c>
      <c r="B605" s="1" t="s">
        <v>13</v>
      </c>
      <c r="C605" s="2" t="s">
        <v>14</v>
      </c>
      <c r="D605" s="1" t="s">
        <v>73</v>
      </c>
      <c r="E605" s="1" t="s">
        <v>89</v>
      </c>
      <c r="F605" s="1" t="s">
        <v>74</v>
      </c>
      <c r="G605" s="3">
        <v>2000</v>
      </c>
      <c r="H605" s="19">
        <v>45483</v>
      </c>
      <c r="I605" s="3" t="s">
        <v>90</v>
      </c>
      <c r="J605" s="3" t="s">
        <v>76</v>
      </c>
      <c r="K605" s="1">
        <v>352402799</v>
      </c>
      <c r="L605" s="6" t="s">
        <v>119</v>
      </c>
    </row>
    <row r="606" spans="1:12" x14ac:dyDescent="0.25">
      <c r="A606" s="30" t="s">
        <v>12</v>
      </c>
      <c r="B606" s="30" t="s">
        <v>13</v>
      </c>
      <c r="C606" s="30" t="s">
        <v>14</v>
      </c>
      <c r="D606" s="30" t="s">
        <v>144</v>
      </c>
      <c r="E606" s="39">
        <v>42542201947</v>
      </c>
      <c r="F606" s="30" t="s">
        <v>145</v>
      </c>
      <c r="G606" s="32">
        <v>2000</v>
      </c>
      <c r="H606" s="75">
        <v>45483</v>
      </c>
      <c r="I606" s="32" t="s">
        <v>146</v>
      </c>
      <c r="J606" s="32" t="s">
        <v>147</v>
      </c>
      <c r="K606" s="30">
        <v>352402787</v>
      </c>
      <c r="L606" s="35" t="s">
        <v>119</v>
      </c>
    </row>
    <row r="607" spans="1:12" customFormat="1" ht="14.4" x14ac:dyDescent="0.3">
      <c r="A607" s="1" t="s">
        <v>12</v>
      </c>
      <c r="B607" s="1" t="s">
        <v>13</v>
      </c>
      <c r="C607" s="2" t="s">
        <v>14</v>
      </c>
      <c r="D607" s="1" t="s">
        <v>64</v>
      </c>
      <c r="E607" s="1" t="s">
        <v>65</v>
      </c>
      <c r="F607" s="1" t="s">
        <v>66</v>
      </c>
      <c r="G607" s="3">
        <v>5250</v>
      </c>
      <c r="H607" s="19">
        <v>45483</v>
      </c>
      <c r="I607" s="3" t="s">
        <v>101</v>
      </c>
      <c r="J607" s="3" t="s">
        <v>68</v>
      </c>
      <c r="K607" s="1">
        <v>352402748</v>
      </c>
      <c r="L607" s="6" t="s">
        <v>69</v>
      </c>
    </row>
    <row r="608" spans="1:12" customFormat="1" ht="14.4" x14ac:dyDescent="0.3">
      <c r="A608" s="1" t="s">
        <v>12</v>
      </c>
      <c r="B608" s="1" t="s">
        <v>13</v>
      </c>
      <c r="C608" s="2" t="s">
        <v>14</v>
      </c>
      <c r="D608" s="1" t="s">
        <v>31</v>
      </c>
      <c r="E608" s="1" t="s">
        <v>32</v>
      </c>
      <c r="F608" s="1" t="s">
        <v>33</v>
      </c>
      <c r="G608" s="3">
        <v>5250</v>
      </c>
      <c r="H608" s="19">
        <v>45483</v>
      </c>
      <c r="I608" s="3" t="s">
        <v>78</v>
      </c>
      <c r="J608" s="3" t="s">
        <v>79</v>
      </c>
      <c r="K608" s="1">
        <v>352402790</v>
      </c>
      <c r="L608" s="6" t="s">
        <v>69</v>
      </c>
    </row>
    <row r="609" spans="1:12" customFormat="1" ht="13.8" customHeight="1" x14ac:dyDescent="0.3">
      <c r="A609" s="1" t="s">
        <v>12</v>
      </c>
      <c r="B609" s="1" t="s">
        <v>13</v>
      </c>
      <c r="C609" s="2" t="s">
        <v>14</v>
      </c>
      <c r="D609" s="1" t="s">
        <v>41</v>
      </c>
      <c r="E609" s="1" t="s">
        <v>61</v>
      </c>
      <c r="F609" s="1" t="s">
        <v>62</v>
      </c>
      <c r="G609" s="3">
        <v>5250</v>
      </c>
      <c r="H609" s="19">
        <v>45483</v>
      </c>
      <c r="I609" s="3" t="s">
        <v>88</v>
      </c>
      <c r="J609" s="3" t="s">
        <v>59</v>
      </c>
      <c r="K609" s="1">
        <v>352402793</v>
      </c>
      <c r="L609" s="6" t="s">
        <v>69</v>
      </c>
    </row>
    <row r="610" spans="1:12" customFormat="1" ht="14.4" x14ac:dyDescent="0.3">
      <c r="A610" s="1" t="s">
        <v>12</v>
      </c>
      <c r="B610" s="1" t="s">
        <v>13</v>
      </c>
      <c r="C610" s="2" t="s">
        <v>14</v>
      </c>
      <c r="D610" s="1" t="s">
        <v>193</v>
      </c>
      <c r="E610" s="1" t="s">
        <v>194</v>
      </c>
      <c r="F610" s="1" t="s">
        <v>195</v>
      </c>
      <c r="G610" s="3">
        <v>4750</v>
      </c>
      <c r="H610" s="19">
        <v>45483</v>
      </c>
      <c r="I610" s="3" t="s">
        <v>91</v>
      </c>
      <c r="J610" s="3" t="s">
        <v>22</v>
      </c>
      <c r="K610" s="1">
        <v>352402752</v>
      </c>
      <c r="L610" s="6" t="s">
        <v>139</v>
      </c>
    </row>
    <row r="611" spans="1:12" customFormat="1" ht="14.4" x14ac:dyDescent="0.3">
      <c r="A611" s="1" t="s">
        <v>12</v>
      </c>
      <c r="B611" s="1" t="s">
        <v>13</v>
      </c>
      <c r="C611" s="2" t="s">
        <v>14</v>
      </c>
      <c r="D611" s="3" t="s">
        <v>149</v>
      </c>
      <c r="E611" s="18">
        <v>50100624324501</v>
      </c>
      <c r="F611" s="3" t="s">
        <v>150</v>
      </c>
      <c r="G611" s="3">
        <v>7500</v>
      </c>
      <c r="H611" s="19">
        <v>45483</v>
      </c>
      <c r="I611" s="3" t="s">
        <v>77</v>
      </c>
      <c r="J611" s="3" t="s">
        <v>29</v>
      </c>
      <c r="K611" s="1">
        <v>352402750</v>
      </c>
      <c r="L611" s="6" t="s">
        <v>141</v>
      </c>
    </row>
    <row r="612" spans="1:12" customFormat="1" ht="14.4" x14ac:dyDescent="0.3">
      <c r="A612" s="1" t="s">
        <v>12</v>
      </c>
      <c r="B612" s="1" t="s">
        <v>13</v>
      </c>
      <c r="C612" s="2" t="s">
        <v>14</v>
      </c>
      <c r="D612" s="1" t="s">
        <v>31</v>
      </c>
      <c r="E612" s="1" t="s">
        <v>32</v>
      </c>
      <c r="F612" s="1" t="s">
        <v>33</v>
      </c>
      <c r="G612" s="3">
        <v>5250</v>
      </c>
      <c r="H612" s="19">
        <v>45483</v>
      </c>
      <c r="I612" s="3" t="s">
        <v>93</v>
      </c>
      <c r="J612" s="3" t="s">
        <v>34</v>
      </c>
      <c r="K612" s="1">
        <v>352402789</v>
      </c>
      <c r="L612" s="6" t="s">
        <v>69</v>
      </c>
    </row>
    <row r="613" spans="1:12" customFormat="1" ht="14.4" x14ac:dyDescent="0.3">
      <c r="A613" s="1" t="s">
        <v>12</v>
      </c>
      <c r="B613" s="1" t="s">
        <v>13</v>
      </c>
      <c r="C613" s="2" t="s">
        <v>14</v>
      </c>
      <c r="D613" s="1" t="s">
        <v>70</v>
      </c>
      <c r="E613" s="1" t="s">
        <v>71</v>
      </c>
      <c r="F613" s="1" t="s">
        <v>72</v>
      </c>
      <c r="G613" s="20">
        <v>5250</v>
      </c>
      <c r="H613" s="19">
        <v>45483</v>
      </c>
      <c r="I613" s="3" t="s">
        <v>83</v>
      </c>
      <c r="J613" s="3" t="s">
        <v>84</v>
      </c>
      <c r="K613" s="1">
        <v>352402785</v>
      </c>
      <c r="L613" s="6" t="s">
        <v>218</v>
      </c>
    </row>
    <row r="614" spans="1:12" customFormat="1" ht="14.4" x14ac:dyDescent="0.3">
      <c r="A614" s="1" t="s">
        <v>12</v>
      </c>
      <c r="B614" s="1" t="s">
        <v>13</v>
      </c>
      <c r="C614" s="2" t="s">
        <v>14</v>
      </c>
      <c r="D614" s="1" t="s">
        <v>15</v>
      </c>
      <c r="E614" s="1" t="s">
        <v>16</v>
      </c>
      <c r="F614" s="1" t="s">
        <v>17</v>
      </c>
      <c r="G614" s="3">
        <v>4000</v>
      </c>
      <c r="H614" s="19">
        <v>45483</v>
      </c>
      <c r="I614" s="3" t="s">
        <v>85</v>
      </c>
      <c r="J614" s="3" t="s">
        <v>19</v>
      </c>
      <c r="K614" s="1">
        <v>352402786</v>
      </c>
      <c r="L614" s="6" t="s">
        <v>20</v>
      </c>
    </row>
    <row r="615" spans="1:12" customFormat="1" ht="14.4" x14ac:dyDescent="0.3">
      <c r="A615" s="1" t="s">
        <v>12</v>
      </c>
      <c r="B615" s="1" t="s">
        <v>13</v>
      </c>
      <c r="C615" s="2" t="s">
        <v>14</v>
      </c>
      <c r="D615" s="1" t="s">
        <v>36</v>
      </c>
      <c r="E615" s="1" t="s">
        <v>37</v>
      </c>
      <c r="F615" s="1" t="s">
        <v>38</v>
      </c>
      <c r="G615" s="3">
        <v>2000</v>
      </c>
      <c r="H615" s="19">
        <v>45483</v>
      </c>
      <c r="I615" s="3" t="s">
        <v>92</v>
      </c>
      <c r="J615" s="3" t="s">
        <v>40</v>
      </c>
      <c r="K615" s="1">
        <v>352402791</v>
      </c>
      <c r="L615" s="6" t="s">
        <v>119</v>
      </c>
    </row>
    <row r="616" spans="1:12" customFormat="1" ht="14.4" x14ac:dyDescent="0.3">
      <c r="A616" s="1" t="s">
        <v>12</v>
      </c>
      <c r="B616" s="1" t="s">
        <v>13</v>
      </c>
      <c r="C616" s="2" t="s">
        <v>14</v>
      </c>
      <c r="D616" s="1" t="s">
        <v>215</v>
      </c>
      <c r="E616" s="1" t="s">
        <v>216</v>
      </c>
      <c r="F616" s="1" t="s">
        <v>33</v>
      </c>
      <c r="G616" s="3">
        <v>500</v>
      </c>
      <c r="H616" s="19">
        <v>45484</v>
      </c>
      <c r="I616" s="3" t="s">
        <v>155</v>
      </c>
      <c r="J616" s="3" t="s">
        <v>156</v>
      </c>
      <c r="K616" s="1">
        <v>352402838</v>
      </c>
      <c r="L616" s="6" t="s">
        <v>219</v>
      </c>
    </row>
    <row r="617" spans="1:12" customFormat="1" ht="14.4" x14ac:dyDescent="0.3">
      <c r="A617" s="1" t="s">
        <v>12</v>
      </c>
      <c r="B617" s="1" t="s">
        <v>13</v>
      </c>
      <c r="C617" s="2" t="s">
        <v>14</v>
      </c>
      <c r="D617" s="1" t="s">
        <v>15</v>
      </c>
      <c r="E617" s="1" t="s">
        <v>16</v>
      </c>
      <c r="F617" s="1" t="s">
        <v>17</v>
      </c>
      <c r="G617" s="3">
        <v>4000</v>
      </c>
      <c r="H617" s="19">
        <v>45484</v>
      </c>
      <c r="I617" s="3" t="s">
        <v>85</v>
      </c>
      <c r="J617" s="3" t="s">
        <v>19</v>
      </c>
      <c r="K617" s="1">
        <v>352402842</v>
      </c>
      <c r="L617" s="6" t="s">
        <v>20</v>
      </c>
    </row>
    <row r="618" spans="1:12" customFormat="1" ht="14.4" x14ac:dyDescent="0.3">
      <c r="A618" s="1" t="s">
        <v>12</v>
      </c>
      <c r="B618" s="1" t="s">
        <v>13</v>
      </c>
      <c r="C618" s="2" t="s">
        <v>14</v>
      </c>
      <c r="D618" s="1" t="s">
        <v>41</v>
      </c>
      <c r="E618" s="1" t="s">
        <v>42</v>
      </c>
      <c r="F618" s="1" t="s">
        <v>43</v>
      </c>
      <c r="G618" s="3">
        <v>4000</v>
      </c>
      <c r="H618" s="19">
        <v>45484</v>
      </c>
      <c r="I618" s="3" t="s">
        <v>87</v>
      </c>
      <c r="J618" s="3" t="s">
        <v>45</v>
      </c>
      <c r="K618" s="1">
        <v>352402715</v>
      </c>
      <c r="L618" s="6" t="s">
        <v>20</v>
      </c>
    </row>
    <row r="619" spans="1:12" customFormat="1" ht="14.4" x14ac:dyDescent="0.3">
      <c r="A619" s="1" t="s">
        <v>12</v>
      </c>
      <c r="B619" s="1" t="s">
        <v>13</v>
      </c>
      <c r="C619" s="2" t="s">
        <v>14</v>
      </c>
      <c r="D619" s="1" t="s">
        <v>64</v>
      </c>
      <c r="E619" s="1" t="s">
        <v>65</v>
      </c>
      <c r="F619" s="1" t="s">
        <v>66</v>
      </c>
      <c r="G619" s="3">
        <v>5250</v>
      </c>
      <c r="H619" s="19">
        <v>45484</v>
      </c>
      <c r="I619" s="3" t="s">
        <v>101</v>
      </c>
      <c r="J619" s="3" t="s">
        <v>68</v>
      </c>
      <c r="K619" s="1">
        <v>352402823</v>
      </c>
      <c r="L619" s="6" t="s">
        <v>69</v>
      </c>
    </row>
    <row r="620" spans="1:12" customFormat="1" ht="14.4" x14ac:dyDescent="0.3">
      <c r="A620" s="1" t="s">
        <v>12</v>
      </c>
      <c r="B620" s="1" t="s">
        <v>13</v>
      </c>
      <c r="C620" s="2" t="s">
        <v>14</v>
      </c>
      <c r="D620" s="1" t="s">
        <v>31</v>
      </c>
      <c r="E620" s="1" t="s">
        <v>32</v>
      </c>
      <c r="F620" s="1" t="s">
        <v>33</v>
      </c>
      <c r="G620" s="3">
        <v>5250</v>
      </c>
      <c r="H620" s="19">
        <v>45484</v>
      </c>
      <c r="I620" s="3" t="s">
        <v>78</v>
      </c>
      <c r="J620" s="3" t="s">
        <v>79</v>
      </c>
      <c r="K620" s="1">
        <v>352402830</v>
      </c>
      <c r="L620" s="6" t="s">
        <v>69</v>
      </c>
    </row>
    <row r="621" spans="1:12" customFormat="1" ht="13.8" customHeight="1" x14ac:dyDescent="0.3">
      <c r="A621" s="1" t="s">
        <v>12</v>
      </c>
      <c r="B621" s="1" t="s">
        <v>13</v>
      </c>
      <c r="C621" s="2" t="s">
        <v>14</v>
      </c>
      <c r="D621" s="1" t="s">
        <v>41</v>
      </c>
      <c r="E621" s="1" t="s">
        <v>61</v>
      </c>
      <c r="F621" s="1" t="s">
        <v>62</v>
      </c>
      <c r="G621" s="3">
        <v>5250</v>
      </c>
      <c r="H621" s="19">
        <v>45484</v>
      </c>
      <c r="I621" s="3" t="s">
        <v>88</v>
      </c>
      <c r="J621" s="3" t="s">
        <v>59</v>
      </c>
      <c r="K621" s="1">
        <v>352402824</v>
      </c>
      <c r="L621" s="6" t="s">
        <v>69</v>
      </c>
    </row>
    <row r="622" spans="1:12" customFormat="1" ht="14.4" x14ac:dyDescent="0.3">
      <c r="A622" s="1" t="s">
        <v>12</v>
      </c>
      <c r="B622" s="1" t="s">
        <v>13</v>
      </c>
      <c r="C622" s="2" t="s">
        <v>14</v>
      </c>
      <c r="D622" s="3" t="s">
        <v>149</v>
      </c>
      <c r="E622" s="18">
        <v>50100624324501</v>
      </c>
      <c r="F622" s="3" t="s">
        <v>150</v>
      </c>
      <c r="G622" s="3">
        <v>5250</v>
      </c>
      <c r="H622" s="19">
        <v>45484</v>
      </c>
      <c r="I622" s="3" t="s">
        <v>77</v>
      </c>
      <c r="J622" s="3" t="s">
        <v>29</v>
      </c>
      <c r="K622" s="1">
        <v>352402815</v>
      </c>
      <c r="L622" s="6" t="s">
        <v>69</v>
      </c>
    </row>
    <row r="623" spans="1:12" customFormat="1" ht="14.4" x14ac:dyDescent="0.3">
      <c r="A623" s="1" t="s">
        <v>12</v>
      </c>
      <c r="B623" s="1" t="s">
        <v>13</v>
      </c>
      <c r="C623" s="2" t="s">
        <v>14</v>
      </c>
      <c r="D623" s="1" t="s">
        <v>31</v>
      </c>
      <c r="E623" s="1" t="s">
        <v>32</v>
      </c>
      <c r="F623" s="1" t="s">
        <v>33</v>
      </c>
      <c r="G623" s="3">
        <v>5250</v>
      </c>
      <c r="H623" s="19">
        <v>45484</v>
      </c>
      <c r="I623" s="3" t="s">
        <v>93</v>
      </c>
      <c r="J623" s="3" t="s">
        <v>34</v>
      </c>
      <c r="K623" s="1">
        <v>352402822</v>
      </c>
      <c r="L623" s="6" t="s">
        <v>69</v>
      </c>
    </row>
    <row r="624" spans="1:12" customFormat="1" ht="14.4" x14ac:dyDescent="0.3">
      <c r="A624" s="1" t="s">
        <v>12</v>
      </c>
      <c r="B624" s="1" t="s">
        <v>13</v>
      </c>
      <c r="C624" s="2" t="s">
        <v>14</v>
      </c>
      <c r="D624" s="1" t="s">
        <v>215</v>
      </c>
      <c r="E624" s="1" t="s">
        <v>216</v>
      </c>
      <c r="F624" s="1" t="s">
        <v>33</v>
      </c>
      <c r="G624" s="3">
        <v>500</v>
      </c>
      <c r="H624" s="19">
        <v>45485</v>
      </c>
      <c r="I624" s="3" t="s">
        <v>155</v>
      </c>
      <c r="J624" s="3" t="s">
        <v>156</v>
      </c>
      <c r="K624" s="1">
        <v>352402852</v>
      </c>
      <c r="L624" s="6" t="s">
        <v>220</v>
      </c>
    </row>
    <row r="625" spans="1:12" customFormat="1" ht="14.4" x14ac:dyDescent="0.3">
      <c r="A625" s="1" t="s">
        <v>12</v>
      </c>
      <c r="B625" s="1" t="s">
        <v>13</v>
      </c>
      <c r="C625" s="2" t="s">
        <v>14</v>
      </c>
      <c r="D625" s="1" t="s">
        <v>215</v>
      </c>
      <c r="E625" s="1" t="s">
        <v>216</v>
      </c>
      <c r="F625" s="1" t="s">
        <v>33</v>
      </c>
      <c r="G625" s="3">
        <v>500</v>
      </c>
      <c r="H625" s="19">
        <v>45485</v>
      </c>
      <c r="I625" s="3" t="s">
        <v>155</v>
      </c>
      <c r="J625" s="3" t="s">
        <v>156</v>
      </c>
      <c r="K625" s="1">
        <v>352402856</v>
      </c>
      <c r="L625" s="6" t="s">
        <v>221</v>
      </c>
    </row>
    <row r="626" spans="1:12" customFormat="1" ht="14.4" x14ac:dyDescent="0.3">
      <c r="A626" s="1" t="s">
        <v>12</v>
      </c>
      <c r="B626" s="1" t="s">
        <v>13</v>
      </c>
      <c r="C626" s="2" t="s">
        <v>14</v>
      </c>
      <c r="D626" s="1" t="s">
        <v>15</v>
      </c>
      <c r="E626" s="1" t="s">
        <v>16</v>
      </c>
      <c r="F626" s="1" t="s">
        <v>17</v>
      </c>
      <c r="G626" s="3">
        <v>4000</v>
      </c>
      <c r="H626" s="19">
        <v>45485</v>
      </c>
      <c r="I626" s="3" t="s">
        <v>85</v>
      </c>
      <c r="J626" s="3" t="s">
        <v>19</v>
      </c>
      <c r="K626" s="1">
        <v>352402866</v>
      </c>
      <c r="L626" s="6" t="s">
        <v>20</v>
      </c>
    </row>
    <row r="627" spans="1:12" customFormat="1" ht="14.4" x14ac:dyDescent="0.3">
      <c r="A627" s="1" t="s">
        <v>12</v>
      </c>
      <c r="B627" s="1" t="s">
        <v>13</v>
      </c>
      <c r="C627" s="2" t="s">
        <v>14</v>
      </c>
      <c r="D627" s="1" t="s">
        <v>41</v>
      </c>
      <c r="E627" s="1" t="s">
        <v>42</v>
      </c>
      <c r="F627" s="1" t="s">
        <v>43</v>
      </c>
      <c r="G627" s="3">
        <v>4000</v>
      </c>
      <c r="H627" s="19">
        <v>45485</v>
      </c>
      <c r="I627" s="3" t="s">
        <v>87</v>
      </c>
      <c r="J627" s="3" t="s">
        <v>45</v>
      </c>
      <c r="K627" s="1">
        <v>352402857</v>
      </c>
      <c r="L627" s="6" t="s">
        <v>20</v>
      </c>
    </row>
    <row r="628" spans="1:12" customFormat="1" ht="14.4" x14ac:dyDescent="0.3">
      <c r="A628" s="1" t="s">
        <v>12</v>
      </c>
      <c r="B628" s="1" t="s">
        <v>13</v>
      </c>
      <c r="C628" s="2" t="s">
        <v>14</v>
      </c>
      <c r="D628" s="1" t="s">
        <v>64</v>
      </c>
      <c r="E628" s="1" t="s">
        <v>65</v>
      </c>
      <c r="F628" s="1" t="s">
        <v>66</v>
      </c>
      <c r="G628" s="3">
        <v>5250</v>
      </c>
      <c r="H628" s="19">
        <v>45485</v>
      </c>
      <c r="I628" s="3" t="s">
        <v>101</v>
      </c>
      <c r="J628" s="3" t="s">
        <v>68</v>
      </c>
      <c r="K628" s="1">
        <v>352402865</v>
      </c>
      <c r="L628" s="6" t="s">
        <v>69</v>
      </c>
    </row>
    <row r="629" spans="1:12" customFormat="1" ht="14.4" x14ac:dyDescent="0.3">
      <c r="A629" s="1" t="s">
        <v>12</v>
      </c>
      <c r="B629" s="1" t="s">
        <v>13</v>
      </c>
      <c r="C629" s="2" t="s">
        <v>14</v>
      </c>
      <c r="D629" s="3" t="s">
        <v>149</v>
      </c>
      <c r="E629" s="18">
        <v>50100624324501</v>
      </c>
      <c r="F629" s="3" t="s">
        <v>150</v>
      </c>
      <c r="G629" s="3">
        <v>5250</v>
      </c>
      <c r="H629" s="19">
        <v>45485</v>
      </c>
      <c r="I629" s="3" t="s">
        <v>77</v>
      </c>
      <c r="J629" s="3" t="s">
        <v>29</v>
      </c>
      <c r="K629" s="1">
        <v>352402861</v>
      </c>
      <c r="L629" s="6" t="s">
        <v>69</v>
      </c>
    </row>
    <row r="630" spans="1:12" customFormat="1" ht="14.4" x14ac:dyDescent="0.3">
      <c r="A630" s="1" t="s">
        <v>12</v>
      </c>
      <c r="B630" s="1" t="s">
        <v>13</v>
      </c>
      <c r="C630" s="2" t="s">
        <v>14</v>
      </c>
      <c r="D630" s="1" t="s">
        <v>31</v>
      </c>
      <c r="E630" s="1" t="s">
        <v>32</v>
      </c>
      <c r="F630" s="1" t="s">
        <v>33</v>
      </c>
      <c r="G630" s="3">
        <v>5250</v>
      </c>
      <c r="H630" s="19">
        <v>45485</v>
      </c>
      <c r="I630" s="3" t="s">
        <v>93</v>
      </c>
      <c r="J630" s="3" t="s">
        <v>34</v>
      </c>
      <c r="K630" s="1">
        <v>352402862</v>
      </c>
      <c r="L630" s="6" t="s">
        <v>69</v>
      </c>
    </row>
    <row r="631" spans="1:12" customFormat="1" ht="14.4" x14ac:dyDescent="0.3">
      <c r="A631" s="1" t="s">
        <v>12</v>
      </c>
      <c r="B631" s="1" t="s">
        <v>13</v>
      </c>
      <c r="C631" s="2" t="s">
        <v>14</v>
      </c>
      <c r="D631" s="1" t="s">
        <v>70</v>
      </c>
      <c r="E631" s="1" t="s">
        <v>71</v>
      </c>
      <c r="F631" s="1" t="s">
        <v>72</v>
      </c>
      <c r="G631" s="20">
        <v>5250</v>
      </c>
      <c r="H631" s="19">
        <v>45485</v>
      </c>
      <c r="I631" s="3" t="s">
        <v>83</v>
      </c>
      <c r="J631" s="3" t="s">
        <v>84</v>
      </c>
      <c r="K631" s="1">
        <v>352402829</v>
      </c>
      <c r="L631" s="6" t="s">
        <v>69</v>
      </c>
    </row>
    <row r="632" spans="1:12" customFormat="1" ht="14.4" x14ac:dyDescent="0.3">
      <c r="A632" s="1" t="s">
        <v>12</v>
      </c>
      <c r="B632" s="1" t="s">
        <v>13</v>
      </c>
      <c r="C632" s="2" t="s">
        <v>14</v>
      </c>
      <c r="D632" s="1" t="s">
        <v>31</v>
      </c>
      <c r="E632" s="1" t="s">
        <v>32</v>
      </c>
      <c r="F632" s="1" t="s">
        <v>33</v>
      </c>
      <c r="G632" s="3">
        <v>5250</v>
      </c>
      <c r="H632" s="19">
        <v>45485</v>
      </c>
      <c r="I632" s="3" t="s">
        <v>78</v>
      </c>
      <c r="J632" s="3" t="s">
        <v>79</v>
      </c>
      <c r="K632" s="1">
        <v>352402863</v>
      </c>
      <c r="L632" s="6" t="s">
        <v>69</v>
      </c>
    </row>
    <row r="633" spans="1:12" customFormat="1" ht="14.4" x14ac:dyDescent="0.3">
      <c r="A633" s="1" t="s">
        <v>12</v>
      </c>
      <c r="B633" s="1" t="s">
        <v>13</v>
      </c>
      <c r="C633" s="2" t="s">
        <v>14</v>
      </c>
      <c r="D633" s="1" t="s">
        <v>36</v>
      </c>
      <c r="E633" s="1" t="s">
        <v>37</v>
      </c>
      <c r="F633" s="1" t="s">
        <v>38</v>
      </c>
      <c r="G633" s="3">
        <v>3200</v>
      </c>
      <c r="H633" s="19">
        <v>45485</v>
      </c>
      <c r="I633" s="3" t="s">
        <v>92</v>
      </c>
      <c r="J633" s="3" t="s">
        <v>40</v>
      </c>
      <c r="K633" s="1">
        <v>352402840</v>
      </c>
      <c r="L633" s="6" t="s">
        <v>69</v>
      </c>
    </row>
    <row r="634" spans="1:12" customFormat="1" ht="14.4" x14ac:dyDescent="0.3">
      <c r="A634" s="1" t="s">
        <v>12</v>
      </c>
      <c r="B634" s="1" t="s">
        <v>13</v>
      </c>
      <c r="C634" s="2" t="s">
        <v>14</v>
      </c>
      <c r="D634" s="1" t="s">
        <v>36</v>
      </c>
      <c r="E634" s="1" t="s">
        <v>37</v>
      </c>
      <c r="F634" s="1" t="s">
        <v>38</v>
      </c>
      <c r="G634" s="3">
        <v>800</v>
      </c>
      <c r="H634" s="19">
        <v>45485</v>
      </c>
      <c r="I634" s="3" t="s">
        <v>90</v>
      </c>
      <c r="J634" s="3" t="s">
        <v>40</v>
      </c>
      <c r="K634" s="1">
        <v>352402879</v>
      </c>
      <c r="L634" s="6" t="s">
        <v>222</v>
      </c>
    </row>
    <row r="635" spans="1:12" x14ac:dyDescent="0.25">
      <c r="A635" s="30" t="s">
        <v>12</v>
      </c>
      <c r="B635" s="30" t="s">
        <v>13</v>
      </c>
      <c r="C635" s="30" t="s">
        <v>14</v>
      </c>
      <c r="D635" s="30" t="s">
        <v>144</v>
      </c>
      <c r="E635" s="39">
        <v>42542201947</v>
      </c>
      <c r="F635" s="30" t="s">
        <v>145</v>
      </c>
      <c r="G635" s="32">
        <v>800</v>
      </c>
      <c r="H635" s="75">
        <v>45485</v>
      </c>
      <c r="I635" s="32" t="s">
        <v>146</v>
      </c>
      <c r="J635" s="32" t="s">
        <v>147</v>
      </c>
      <c r="K635" s="30">
        <v>352402880</v>
      </c>
      <c r="L635" s="35" t="s">
        <v>223</v>
      </c>
    </row>
    <row r="636" spans="1:12" x14ac:dyDescent="0.25">
      <c r="A636" s="30" t="s">
        <v>12</v>
      </c>
      <c r="B636" s="30" t="s">
        <v>13</v>
      </c>
      <c r="C636" s="30" t="s">
        <v>14</v>
      </c>
      <c r="D636" s="30" t="s">
        <v>144</v>
      </c>
      <c r="E636" s="39">
        <v>42542201947</v>
      </c>
      <c r="F636" s="30" t="s">
        <v>145</v>
      </c>
      <c r="G636" s="32">
        <v>800</v>
      </c>
      <c r="H636" s="75">
        <v>45485</v>
      </c>
      <c r="I636" s="32" t="s">
        <v>146</v>
      </c>
      <c r="J636" s="32" t="s">
        <v>147</v>
      </c>
      <c r="K636" s="30">
        <v>352402881</v>
      </c>
      <c r="L636" s="35" t="s">
        <v>222</v>
      </c>
    </row>
    <row r="637" spans="1:12" customFormat="1" ht="14.4" x14ac:dyDescent="0.3">
      <c r="A637" s="1" t="s">
        <v>12</v>
      </c>
      <c r="B637" s="1" t="s">
        <v>13</v>
      </c>
      <c r="C637" s="2" t="s">
        <v>14</v>
      </c>
      <c r="D637" s="1" t="s">
        <v>215</v>
      </c>
      <c r="E637" s="1" t="s">
        <v>216</v>
      </c>
      <c r="F637" s="1" t="s">
        <v>33</v>
      </c>
      <c r="G637" s="3">
        <v>500</v>
      </c>
      <c r="H637" s="19">
        <v>45486</v>
      </c>
      <c r="I637" s="3" t="s">
        <v>155</v>
      </c>
      <c r="J637" s="3" t="s">
        <v>156</v>
      </c>
      <c r="K637" s="1">
        <v>352402886</v>
      </c>
      <c r="L637" s="6" t="s">
        <v>224</v>
      </c>
    </row>
    <row r="638" spans="1:12" customFormat="1" ht="14.4" x14ac:dyDescent="0.3">
      <c r="A638" s="1" t="s">
        <v>12</v>
      </c>
      <c r="B638" s="1" t="s">
        <v>13</v>
      </c>
      <c r="C638" s="2" t="s">
        <v>14</v>
      </c>
      <c r="D638" s="1" t="s">
        <v>41</v>
      </c>
      <c r="E638" s="1" t="s">
        <v>42</v>
      </c>
      <c r="F638" s="1" t="s">
        <v>43</v>
      </c>
      <c r="G638" s="3">
        <v>4000</v>
      </c>
      <c r="H638" s="19">
        <v>45486</v>
      </c>
      <c r="I638" s="3" t="s">
        <v>87</v>
      </c>
      <c r="J638" s="3" t="s">
        <v>45</v>
      </c>
      <c r="K638" s="1">
        <v>352402905</v>
      </c>
      <c r="L638" s="6" t="s">
        <v>20</v>
      </c>
    </row>
    <row r="639" spans="1:12" customFormat="1" ht="14.4" x14ac:dyDescent="0.3">
      <c r="A639" s="1" t="s">
        <v>12</v>
      </c>
      <c r="B639" s="1" t="s">
        <v>13</v>
      </c>
      <c r="C639" s="2" t="s">
        <v>14</v>
      </c>
      <c r="D639" s="1" t="s">
        <v>64</v>
      </c>
      <c r="E639" s="1" t="s">
        <v>65</v>
      </c>
      <c r="F639" s="1" t="s">
        <v>66</v>
      </c>
      <c r="G639" s="3">
        <v>5250</v>
      </c>
      <c r="H639" s="19">
        <v>45486</v>
      </c>
      <c r="I639" s="3" t="s">
        <v>101</v>
      </c>
      <c r="J639" s="3" t="s">
        <v>68</v>
      </c>
      <c r="K639" s="1">
        <v>352402912</v>
      </c>
      <c r="L639" s="6" t="s">
        <v>69</v>
      </c>
    </row>
    <row r="640" spans="1:12" customFormat="1" ht="14.4" x14ac:dyDescent="0.3">
      <c r="A640" s="1" t="s">
        <v>12</v>
      </c>
      <c r="B640" s="1" t="s">
        <v>13</v>
      </c>
      <c r="C640" s="2" t="s">
        <v>14</v>
      </c>
      <c r="D640" s="3" t="s">
        <v>149</v>
      </c>
      <c r="E640" s="18">
        <v>50100624324501</v>
      </c>
      <c r="F640" s="3" t="s">
        <v>150</v>
      </c>
      <c r="G640" s="3">
        <v>5250</v>
      </c>
      <c r="H640" s="19">
        <v>45486</v>
      </c>
      <c r="I640" s="3" t="s">
        <v>77</v>
      </c>
      <c r="J640" s="3" t="s">
        <v>29</v>
      </c>
      <c r="K640" s="1">
        <v>352402911</v>
      </c>
      <c r="L640" s="6" t="s">
        <v>69</v>
      </c>
    </row>
    <row r="641" spans="1:12" customFormat="1" ht="14.4" x14ac:dyDescent="0.3">
      <c r="A641" s="1" t="s">
        <v>12</v>
      </c>
      <c r="B641" s="1" t="s">
        <v>13</v>
      </c>
      <c r="C641" s="2" t="s">
        <v>14</v>
      </c>
      <c r="D641" s="1" t="s">
        <v>31</v>
      </c>
      <c r="E641" s="1" t="s">
        <v>32</v>
      </c>
      <c r="F641" s="1" t="s">
        <v>33</v>
      </c>
      <c r="G641" s="3">
        <v>5250</v>
      </c>
      <c r="H641" s="19">
        <v>45486</v>
      </c>
      <c r="I641" s="3" t="s">
        <v>93</v>
      </c>
      <c r="J641" s="3" t="s">
        <v>34</v>
      </c>
      <c r="K641" s="1">
        <v>352402913</v>
      </c>
      <c r="L641" s="6" t="s">
        <v>69</v>
      </c>
    </row>
    <row r="642" spans="1:12" customFormat="1" ht="14.4" x14ac:dyDescent="0.3">
      <c r="A642" s="1" t="s">
        <v>12</v>
      </c>
      <c r="B642" s="1" t="s">
        <v>13</v>
      </c>
      <c r="C642" s="2" t="s">
        <v>14</v>
      </c>
      <c r="D642" s="1" t="s">
        <v>36</v>
      </c>
      <c r="E642" s="1" t="s">
        <v>37</v>
      </c>
      <c r="F642" s="1" t="s">
        <v>38</v>
      </c>
      <c r="G642" s="3">
        <v>5250</v>
      </c>
      <c r="H642" s="19">
        <v>45486</v>
      </c>
      <c r="I642" s="3" t="s">
        <v>92</v>
      </c>
      <c r="J642" s="3" t="s">
        <v>40</v>
      </c>
      <c r="K642" s="1">
        <v>352402907</v>
      </c>
      <c r="L642" s="6" t="s">
        <v>69</v>
      </c>
    </row>
    <row r="643" spans="1:12" customFormat="1" ht="14.4" x14ac:dyDescent="0.3">
      <c r="A643" s="1" t="s">
        <v>12</v>
      </c>
      <c r="B643" s="1" t="s">
        <v>13</v>
      </c>
      <c r="C643" s="2" t="s">
        <v>14</v>
      </c>
      <c r="D643" s="1" t="s">
        <v>70</v>
      </c>
      <c r="E643" s="1" t="s">
        <v>71</v>
      </c>
      <c r="F643" s="1" t="s">
        <v>72</v>
      </c>
      <c r="G643" s="20">
        <v>5250</v>
      </c>
      <c r="H643" s="19">
        <v>45486</v>
      </c>
      <c r="I643" s="3" t="s">
        <v>83</v>
      </c>
      <c r="J643" s="3" t="s">
        <v>84</v>
      </c>
      <c r="K643" s="1">
        <v>352402909</v>
      </c>
      <c r="L643" s="6" t="s">
        <v>69</v>
      </c>
    </row>
    <row r="644" spans="1:12" customFormat="1" ht="14.4" x14ac:dyDescent="0.3">
      <c r="A644" s="1" t="s">
        <v>12</v>
      </c>
      <c r="B644" s="1" t="s">
        <v>13</v>
      </c>
      <c r="C644" s="2" t="s">
        <v>14</v>
      </c>
      <c r="D644" s="1" t="s">
        <v>73</v>
      </c>
      <c r="E644" s="1" t="s">
        <v>89</v>
      </c>
      <c r="F644" s="1" t="s">
        <v>74</v>
      </c>
      <c r="G644" s="3">
        <v>6000</v>
      </c>
      <c r="H644" s="19">
        <v>45486</v>
      </c>
      <c r="I644" s="3" t="s">
        <v>90</v>
      </c>
      <c r="J644" s="3" t="s">
        <v>76</v>
      </c>
      <c r="K644" s="1">
        <v>352402799</v>
      </c>
      <c r="L644" s="6" t="s">
        <v>30</v>
      </c>
    </row>
    <row r="645" spans="1:12" customFormat="1" ht="14.4" x14ac:dyDescent="0.3">
      <c r="A645" s="1" t="s">
        <v>12</v>
      </c>
      <c r="B645" s="1" t="s">
        <v>13</v>
      </c>
      <c r="C645" s="2" t="s">
        <v>14</v>
      </c>
      <c r="D645" s="1" t="s">
        <v>215</v>
      </c>
      <c r="E645" s="1" t="s">
        <v>216</v>
      </c>
      <c r="F645" s="1" t="s">
        <v>33</v>
      </c>
      <c r="G645" s="3">
        <v>500</v>
      </c>
      <c r="H645" s="19">
        <v>45488</v>
      </c>
      <c r="I645" s="3" t="s">
        <v>155</v>
      </c>
      <c r="J645" s="3" t="s">
        <v>156</v>
      </c>
      <c r="K645" s="1">
        <v>352402936</v>
      </c>
      <c r="L645" s="6" t="s">
        <v>225</v>
      </c>
    </row>
    <row r="646" spans="1:12" customFormat="1" ht="14.4" x14ac:dyDescent="0.3">
      <c r="A646" s="1" t="s">
        <v>12</v>
      </c>
      <c r="B646" s="1" t="s">
        <v>13</v>
      </c>
      <c r="C646" s="2" t="s">
        <v>14</v>
      </c>
      <c r="D646" s="1" t="s">
        <v>15</v>
      </c>
      <c r="E646" s="1" t="s">
        <v>16</v>
      </c>
      <c r="F646" s="1" t="s">
        <v>17</v>
      </c>
      <c r="G646" s="3">
        <v>4000</v>
      </c>
      <c r="H646" s="19">
        <v>45488</v>
      </c>
      <c r="I646" s="3" t="s">
        <v>85</v>
      </c>
      <c r="J646" s="3" t="s">
        <v>19</v>
      </c>
      <c r="K646" s="1">
        <v>352402915</v>
      </c>
      <c r="L646" s="6" t="s">
        <v>20</v>
      </c>
    </row>
    <row r="647" spans="1:12" customFormat="1" ht="14.4" x14ac:dyDescent="0.3">
      <c r="A647" s="1" t="s">
        <v>12</v>
      </c>
      <c r="B647" s="1" t="s">
        <v>13</v>
      </c>
      <c r="C647" s="2" t="s">
        <v>14</v>
      </c>
      <c r="D647" s="1" t="s">
        <v>41</v>
      </c>
      <c r="E647" s="1" t="s">
        <v>42</v>
      </c>
      <c r="F647" s="1" t="s">
        <v>43</v>
      </c>
      <c r="G647" s="3">
        <v>4000</v>
      </c>
      <c r="H647" s="19">
        <v>45488</v>
      </c>
      <c r="I647" s="3" t="s">
        <v>87</v>
      </c>
      <c r="J647" s="3" t="s">
        <v>45</v>
      </c>
      <c r="K647" s="1">
        <v>352402935</v>
      </c>
      <c r="L647" s="6" t="s">
        <v>20</v>
      </c>
    </row>
    <row r="648" spans="1:12" customFormat="1" ht="14.4" x14ac:dyDescent="0.3">
      <c r="A648" s="1" t="s">
        <v>12</v>
      </c>
      <c r="B648" s="1" t="s">
        <v>13</v>
      </c>
      <c r="C648" s="2" t="s">
        <v>14</v>
      </c>
      <c r="D648" s="1" t="s">
        <v>64</v>
      </c>
      <c r="E648" s="1" t="s">
        <v>65</v>
      </c>
      <c r="F648" s="1" t="s">
        <v>66</v>
      </c>
      <c r="G648" s="3">
        <v>5250</v>
      </c>
      <c r="H648" s="19">
        <v>45488</v>
      </c>
      <c r="I648" s="3" t="s">
        <v>101</v>
      </c>
      <c r="J648" s="3" t="s">
        <v>68</v>
      </c>
      <c r="K648" s="1">
        <v>352402948</v>
      </c>
      <c r="L648" s="6" t="s">
        <v>69</v>
      </c>
    </row>
    <row r="649" spans="1:12" customFormat="1" ht="14.4" x14ac:dyDescent="0.3">
      <c r="A649" s="1" t="s">
        <v>12</v>
      </c>
      <c r="B649" s="1" t="s">
        <v>13</v>
      </c>
      <c r="C649" s="2" t="s">
        <v>14</v>
      </c>
      <c r="D649" s="1" t="s">
        <v>31</v>
      </c>
      <c r="E649" s="1" t="s">
        <v>32</v>
      </c>
      <c r="F649" s="1" t="s">
        <v>33</v>
      </c>
      <c r="G649" s="3">
        <v>5250</v>
      </c>
      <c r="H649" s="19">
        <v>45488</v>
      </c>
      <c r="I649" s="3" t="s">
        <v>78</v>
      </c>
      <c r="J649" s="3" t="s">
        <v>79</v>
      </c>
      <c r="K649" s="1">
        <v>352402933</v>
      </c>
      <c r="L649" s="6" t="s">
        <v>69</v>
      </c>
    </row>
    <row r="650" spans="1:12" customFormat="1" ht="13.8" customHeight="1" x14ac:dyDescent="0.3">
      <c r="A650" s="1" t="s">
        <v>12</v>
      </c>
      <c r="B650" s="1" t="s">
        <v>13</v>
      </c>
      <c r="C650" s="2" t="s">
        <v>14</v>
      </c>
      <c r="D650" s="1" t="s">
        <v>41</v>
      </c>
      <c r="E650" s="1" t="s">
        <v>61</v>
      </c>
      <c r="F650" s="1" t="s">
        <v>62</v>
      </c>
      <c r="G650" s="3">
        <v>4750</v>
      </c>
      <c r="H650" s="19">
        <v>45488</v>
      </c>
      <c r="I650" s="3" t="s">
        <v>88</v>
      </c>
      <c r="J650" s="3" t="s">
        <v>59</v>
      </c>
      <c r="K650" s="1">
        <v>352402864</v>
      </c>
      <c r="L650" s="6" t="s">
        <v>24</v>
      </c>
    </row>
    <row r="651" spans="1:12" customFormat="1" ht="14.4" x14ac:dyDescent="0.3">
      <c r="A651" s="1" t="s">
        <v>12</v>
      </c>
      <c r="B651" s="1" t="s">
        <v>13</v>
      </c>
      <c r="C651" s="2" t="s">
        <v>14</v>
      </c>
      <c r="D651" s="3" t="s">
        <v>149</v>
      </c>
      <c r="E651" s="18">
        <v>50100624324501</v>
      </c>
      <c r="F651" s="3" t="s">
        <v>150</v>
      </c>
      <c r="G651" s="3">
        <v>5250</v>
      </c>
      <c r="H651" s="19">
        <v>45488</v>
      </c>
      <c r="I651" s="3" t="s">
        <v>77</v>
      </c>
      <c r="J651" s="3" t="s">
        <v>29</v>
      </c>
      <c r="K651" s="1">
        <v>352402947</v>
      </c>
      <c r="L651" s="6" t="s">
        <v>69</v>
      </c>
    </row>
    <row r="652" spans="1:12" customFormat="1" ht="14.4" x14ac:dyDescent="0.3">
      <c r="A652" s="1" t="s">
        <v>12</v>
      </c>
      <c r="B652" s="1" t="s">
        <v>13</v>
      </c>
      <c r="C652" s="2" t="s">
        <v>14</v>
      </c>
      <c r="D652" s="1" t="s">
        <v>36</v>
      </c>
      <c r="E652" s="1" t="s">
        <v>37</v>
      </c>
      <c r="F652" s="1" t="s">
        <v>38</v>
      </c>
      <c r="G652" s="3">
        <v>5250</v>
      </c>
      <c r="H652" s="19">
        <v>45488</v>
      </c>
      <c r="I652" s="3" t="s">
        <v>92</v>
      </c>
      <c r="J652" s="3" t="s">
        <v>40</v>
      </c>
      <c r="K652" s="1">
        <v>352402946</v>
      </c>
      <c r="L652" s="6" t="s">
        <v>69</v>
      </c>
    </row>
    <row r="653" spans="1:12" customFormat="1" ht="14.4" x14ac:dyDescent="0.3">
      <c r="A653" s="1" t="s">
        <v>12</v>
      </c>
      <c r="B653" s="1" t="s">
        <v>13</v>
      </c>
      <c r="C653" s="2" t="s">
        <v>14</v>
      </c>
      <c r="D653" s="1" t="s">
        <v>31</v>
      </c>
      <c r="E653" s="1" t="s">
        <v>32</v>
      </c>
      <c r="F653" s="1" t="s">
        <v>33</v>
      </c>
      <c r="G653" s="3">
        <v>5250</v>
      </c>
      <c r="H653" s="19">
        <v>45488</v>
      </c>
      <c r="I653" s="3" t="s">
        <v>93</v>
      </c>
      <c r="J653" s="3" t="s">
        <v>34</v>
      </c>
      <c r="K653" s="1">
        <v>352402949</v>
      </c>
      <c r="L653" s="6" t="s">
        <v>69</v>
      </c>
    </row>
    <row r="654" spans="1:12" customFormat="1" ht="14.4" x14ac:dyDescent="0.3">
      <c r="A654" s="1" t="s">
        <v>12</v>
      </c>
      <c r="B654" s="1" t="s">
        <v>13</v>
      </c>
      <c r="C654" s="2" t="s">
        <v>14</v>
      </c>
      <c r="D654" s="1" t="s">
        <v>73</v>
      </c>
      <c r="E654" s="1" t="s">
        <v>89</v>
      </c>
      <c r="F654" s="1" t="s">
        <v>74</v>
      </c>
      <c r="G654" s="3">
        <v>400</v>
      </c>
      <c r="H654" s="19">
        <v>45488</v>
      </c>
      <c r="I654" s="3" t="s">
        <v>90</v>
      </c>
      <c r="J654" s="3" t="s">
        <v>76</v>
      </c>
      <c r="K654" s="1">
        <v>352402963</v>
      </c>
      <c r="L654" s="6" t="s">
        <v>226</v>
      </c>
    </row>
    <row r="655" spans="1:12" customFormat="1" ht="14.4" x14ac:dyDescent="0.3">
      <c r="A655" s="1" t="s">
        <v>12</v>
      </c>
      <c r="B655" s="1" t="s">
        <v>13</v>
      </c>
      <c r="C655" s="2" t="s">
        <v>14</v>
      </c>
      <c r="D655" s="1" t="s">
        <v>64</v>
      </c>
      <c r="E655" s="1" t="s">
        <v>65</v>
      </c>
      <c r="F655" s="1" t="s">
        <v>66</v>
      </c>
      <c r="G655" s="3">
        <v>5250</v>
      </c>
      <c r="H655" s="19">
        <v>45489</v>
      </c>
      <c r="I655" s="3" t="s">
        <v>101</v>
      </c>
      <c r="J655" s="3" t="s">
        <v>68</v>
      </c>
      <c r="K655" s="1">
        <v>352402979</v>
      </c>
      <c r="L655" s="6" t="s">
        <v>69</v>
      </c>
    </row>
    <row r="656" spans="1:12" customFormat="1" ht="14.4" x14ac:dyDescent="0.3">
      <c r="A656" s="1" t="s">
        <v>12</v>
      </c>
      <c r="B656" s="1" t="s">
        <v>13</v>
      </c>
      <c r="C656" s="2" t="s">
        <v>14</v>
      </c>
      <c r="D656" s="1" t="s">
        <v>31</v>
      </c>
      <c r="E656" s="1" t="s">
        <v>32</v>
      </c>
      <c r="F656" s="1" t="s">
        <v>33</v>
      </c>
      <c r="G656" s="3">
        <v>5250</v>
      </c>
      <c r="H656" s="19">
        <v>45489</v>
      </c>
      <c r="I656" s="3" t="s">
        <v>78</v>
      </c>
      <c r="J656" s="3" t="s">
        <v>79</v>
      </c>
      <c r="K656" s="1">
        <v>352402977</v>
      </c>
      <c r="L656" s="6" t="s">
        <v>69</v>
      </c>
    </row>
    <row r="657" spans="1:12" customFormat="1" ht="14.4" x14ac:dyDescent="0.3">
      <c r="A657" s="1" t="s">
        <v>12</v>
      </c>
      <c r="B657" s="1" t="s">
        <v>13</v>
      </c>
      <c r="C657" s="2" t="s">
        <v>14</v>
      </c>
      <c r="D657" s="8" t="s">
        <v>104</v>
      </c>
      <c r="E657" s="9">
        <v>309023553967</v>
      </c>
      <c r="F657" s="1" t="s">
        <v>105</v>
      </c>
      <c r="G657" s="3">
        <v>3750</v>
      </c>
      <c r="H657" s="19">
        <v>45489</v>
      </c>
      <c r="I657" s="3" t="s">
        <v>91</v>
      </c>
      <c r="J657" s="3" t="s">
        <v>22</v>
      </c>
      <c r="K657" s="1">
        <v>352402877</v>
      </c>
      <c r="L657" s="6" t="s">
        <v>69</v>
      </c>
    </row>
    <row r="658" spans="1:12" customFormat="1" ht="14.4" x14ac:dyDescent="0.3">
      <c r="A658" s="1" t="s">
        <v>12</v>
      </c>
      <c r="B658" s="1" t="s">
        <v>13</v>
      </c>
      <c r="C658" s="2" t="s">
        <v>14</v>
      </c>
      <c r="D658" s="3" t="s">
        <v>149</v>
      </c>
      <c r="E658" s="18">
        <v>50100624324501</v>
      </c>
      <c r="F658" s="3" t="s">
        <v>150</v>
      </c>
      <c r="G658" s="3">
        <v>5250</v>
      </c>
      <c r="H658" s="19">
        <v>45489</v>
      </c>
      <c r="I658" s="3" t="s">
        <v>77</v>
      </c>
      <c r="J658" s="3" t="s">
        <v>29</v>
      </c>
      <c r="K658" s="1">
        <v>352402978</v>
      </c>
      <c r="L658" s="6" t="s">
        <v>69</v>
      </c>
    </row>
    <row r="659" spans="1:12" customFormat="1" ht="14.4" x14ac:dyDescent="0.3">
      <c r="A659" s="1" t="s">
        <v>12</v>
      </c>
      <c r="B659" s="1" t="s">
        <v>13</v>
      </c>
      <c r="C659" s="2" t="s">
        <v>14</v>
      </c>
      <c r="D659" s="1" t="s">
        <v>36</v>
      </c>
      <c r="E659" s="1" t="s">
        <v>37</v>
      </c>
      <c r="F659" s="1" t="s">
        <v>38</v>
      </c>
      <c r="G659" s="3">
        <v>5250</v>
      </c>
      <c r="H659" s="19">
        <v>45489</v>
      </c>
      <c r="I659" s="3" t="s">
        <v>92</v>
      </c>
      <c r="J659" s="3" t="s">
        <v>40</v>
      </c>
      <c r="K659" s="1">
        <v>352402976</v>
      </c>
      <c r="L659" s="6" t="s">
        <v>69</v>
      </c>
    </row>
    <row r="660" spans="1:12" customFormat="1" ht="14.4" x14ac:dyDescent="0.3">
      <c r="A660" s="1" t="s">
        <v>12</v>
      </c>
      <c r="B660" s="1" t="s">
        <v>13</v>
      </c>
      <c r="C660" s="2" t="s">
        <v>14</v>
      </c>
      <c r="D660" s="1" t="s">
        <v>215</v>
      </c>
      <c r="E660" s="1" t="s">
        <v>216</v>
      </c>
      <c r="F660" s="1" t="s">
        <v>33</v>
      </c>
      <c r="G660" s="3">
        <v>500</v>
      </c>
      <c r="H660" s="19">
        <v>45490</v>
      </c>
      <c r="I660" s="3" t="s">
        <v>155</v>
      </c>
      <c r="J660" s="3" t="s">
        <v>156</v>
      </c>
      <c r="K660" s="1">
        <v>352402993</v>
      </c>
      <c r="L660" s="6" t="s">
        <v>227</v>
      </c>
    </row>
    <row r="661" spans="1:12" customFormat="1" ht="14.4" x14ac:dyDescent="0.3">
      <c r="A661" s="1" t="s">
        <v>12</v>
      </c>
      <c r="B661" s="1" t="s">
        <v>13</v>
      </c>
      <c r="C661" s="2" t="s">
        <v>14</v>
      </c>
      <c r="D661" s="1" t="s">
        <v>215</v>
      </c>
      <c r="E661" s="1" t="s">
        <v>216</v>
      </c>
      <c r="F661" s="1" t="s">
        <v>33</v>
      </c>
      <c r="G661" s="3">
        <v>500</v>
      </c>
      <c r="H661" s="19">
        <v>45490</v>
      </c>
      <c r="I661" s="3" t="s">
        <v>155</v>
      </c>
      <c r="J661" s="3" t="s">
        <v>156</v>
      </c>
      <c r="K661" s="1">
        <v>352403006</v>
      </c>
      <c r="L661" s="6" t="s">
        <v>228</v>
      </c>
    </row>
    <row r="662" spans="1:12" customFormat="1" ht="14.4" x14ac:dyDescent="0.3">
      <c r="A662" s="1" t="s">
        <v>12</v>
      </c>
      <c r="B662" s="1" t="s">
        <v>13</v>
      </c>
      <c r="C662" s="2" t="s">
        <v>14</v>
      </c>
      <c r="D662" s="1" t="s">
        <v>15</v>
      </c>
      <c r="E662" s="1" t="s">
        <v>16</v>
      </c>
      <c r="F662" s="1" t="s">
        <v>17</v>
      </c>
      <c r="G662" s="3">
        <v>4000</v>
      </c>
      <c r="H662" s="19">
        <v>45490</v>
      </c>
      <c r="I662" s="3" t="s">
        <v>85</v>
      </c>
      <c r="J662" s="3" t="s">
        <v>19</v>
      </c>
      <c r="K662" s="1">
        <v>352402991</v>
      </c>
      <c r="L662" s="6" t="s">
        <v>20</v>
      </c>
    </row>
    <row r="663" spans="1:12" customFormat="1" ht="14.4" x14ac:dyDescent="0.3">
      <c r="A663" s="1" t="s">
        <v>12</v>
      </c>
      <c r="B663" s="1" t="s">
        <v>13</v>
      </c>
      <c r="C663" s="2" t="s">
        <v>14</v>
      </c>
      <c r="D663" s="1" t="s">
        <v>31</v>
      </c>
      <c r="E663" s="1" t="s">
        <v>32</v>
      </c>
      <c r="F663" s="1" t="s">
        <v>33</v>
      </c>
      <c r="G663" s="3">
        <v>2500</v>
      </c>
      <c r="H663" s="19">
        <v>45491</v>
      </c>
      <c r="I663" s="3" t="s">
        <v>93</v>
      </c>
      <c r="J663" s="3" t="s">
        <v>34</v>
      </c>
      <c r="K663" s="1">
        <v>352403033</v>
      </c>
      <c r="L663" s="6" t="s">
        <v>229</v>
      </c>
    </row>
    <row r="664" spans="1:12" customFormat="1" ht="14.4" x14ac:dyDescent="0.3">
      <c r="A664" s="1" t="s">
        <v>12</v>
      </c>
      <c r="B664" s="1" t="s">
        <v>13</v>
      </c>
      <c r="C664" s="2" t="s">
        <v>14</v>
      </c>
      <c r="D664" s="1" t="s">
        <v>173</v>
      </c>
      <c r="E664" s="1" t="s">
        <v>174</v>
      </c>
      <c r="F664" s="1" t="s">
        <v>33</v>
      </c>
      <c r="G664" s="3">
        <v>800</v>
      </c>
      <c r="H664" s="19">
        <v>45491</v>
      </c>
      <c r="I664" s="3" t="s">
        <v>175</v>
      </c>
      <c r="J664" s="3" t="s">
        <v>176</v>
      </c>
      <c r="K664" s="6">
        <v>352403034</v>
      </c>
      <c r="L664" s="6" t="s">
        <v>230</v>
      </c>
    </row>
    <row r="665" spans="1:12" customFormat="1" ht="14.4" x14ac:dyDescent="0.3">
      <c r="A665" s="1" t="s">
        <v>12</v>
      </c>
      <c r="B665" s="1" t="s">
        <v>13</v>
      </c>
      <c r="C665" s="2" t="s">
        <v>14</v>
      </c>
      <c r="D665" s="1" t="s">
        <v>215</v>
      </c>
      <c r="E665" s="1" t="s">
        <v>216</v>
      </c>
      <c r="F665" s="1" t="s">
        <v>33</v>
      </c>
      <c r="G665" s="3">
        <v>500</v>
      </c>
      <c r="H665" s="19">
        <v>45492</v>
      </c>
      <c r="I665" s="3" t="s">
        <v>155</v>
      </c>
      <c r="J665" s="3" t="s">
        <v>156</v>
      </c>
      <c r="K665" s="1">
        <v>352403051</v>
      </c>
      <c r="L665" s="6" t="s">
        <v>231</v>
      </c>
    </row>
    <row r="666" spans="1:12" customFormat="1" ht="14.4" x14ac:dyDescent="0.3">
      <c r="A666" s="1" t="s">
        <v>12</v>
      </c>
      <c r="B666" s="1" t="s">
        <v>13</v>
      </c>
      <c r="C666" s="2" t="s">
        <v>14</v>
      </c>
      <c r="D666" s="1" t="s">
        <v>15</v>
      </c>
      <c r="E666" s="1" t="s">
        <v>16</v>
      </c>
      <c r="F666" s="1" t="s">
        <v>17</v>
      </c>
      <c r="G666" s="3">
        <v>4000</v>
      </c>
      <c r="H666" s="19">
        <v>45492</v>
      </c>
      <c r="I666" s="3" t="s">
        <v>85</v>
      </c>
      <c r="J666" s="3" t="s">
        <v>19</v>
      </c>
      <c r="K666" s="1">
        <v>352403059</v>
      </c>
      <c r="L666" s="6" t="s">
        <v>20</v>
      </c>
    </row>
    <row r="667" spans="1:12" customFormat="1" ht="14.4" x14ac:dyDescent="0.3">
      <c r="A667" s="1" t="s">
        <v>12</v>
      </c>
      <c r="B667" s="1" t="s">
        <v>13</v>
      </c>
      <c r="C667" s="2" t="s">
        <v>14</v>
      </c>
      <c r="D667" s="1" t="s">
        <v>41</v>
      </c>
      <c r="E667" s="1" t="s">
        <v>42</v>
      </c>
      <c r="F667" s="1" t="s">
        <v>43</v>
      </c>
      <c r="G667" s="3">
        <v>4000</v>
      </c>
      <c r="H667" s="19">
        <v>45492</v>
      </c>
      <c r="I667" s="3" t="s">
        <v>87</v>
      </c>
      <c r="J667" s="3" t="s">
        <v>45</v>
      </c>
      <c r="K667" s="1">
        <v>352403054</v>
      </c>
      <c r="L667" s="6" t="s">
        <v>20</v>
      </c>
    </row>
    <row r="668" spans="1:12" customFormat="1" ht="14.4" x14ac:dyDescent="0.3">
      <c r="A668" s="1" t="s">
        <v>12</v>
      </c>
      <c r="B668" s="1" t="s">
        <v>13</v>
      </c>
      <c r="C668" s="2" t="s">
        <v>14</v>
      </c>
      <c r="D668" s="1" t="s">
        <v>15</v>
      </c>
      <c r="E668" s="1" t="s">
        <v>16</v>
      </c>
      <c r="F668" s="1" t="s">
        <v>17</v>
      </c>
      <c r="G668" s="3">
        <v>4000</v>
      </c>
      <c r="H668" s="19">
        <v>45492</v>
      </c>
      <c r="I668" s="3" t="s">
        <v>85</v>
      </c>
      <c r="J668" s="3" t="s">
        <v>19</v>
      </c>
      <c r="K668" s="1">
        <v>352403059</v>
      </c>
      <c r="L668" s="6" t="s">
        <v>232</v>
      </c>
    </row>
    <row r="669" spans="1:12" customFormat="1" ht="14.4" x14ac:dyDescent="0.3">
      <c r="A669" s="1" t="s">
        <v>12</v>
      </c>
      <c r="B669" s="1" t="s">
        <v>13</v>
      </c>
      <c r="C669" s="2" t="s">
        <v>14</v>
      </c>
      <c r="D669" s="1" t="s">
        <v>233</v>
      </c>
      <c r="E669" s="1" t="s">
        <v>234</v>
      </c>
      <c r="F669" s="1" t="s">
        <v>235</v>
      </c>
      <c r="G669" s="3">
        <v>5250</v>
      </c>
      <c r="H669" s="19">
        <v>45492</v>
      </c>
      <c r="I669" s="3" t="s">
        <v>117</v>
      </c>
      <c r="J669" s="3" t="s">
        <v>118</v>
      </c>
      <c r="K669" s="6">
        <v>352402568</v>
      </c>
      <c r="L669" s="6" t="s">
        <v>69</v>
      </c>
    </row>
    <row r="670" spans="1:12" customFormat="1" ht="14.4" x14ac:dyDescent="0.3">
      <c r="A670" s="1" t="s">
        <v>12</v>
      </c>
      <c r="B670" s="1" t="s">
        <v>13</v>
      </c>
      <c r="C670" s="2" t="s">
        <v>14</v>
      </c>
      <c r="D670" s="1" t="s">
        <v>31</v>
      </c>
      <c r="E670" s="1" t="s">
        <v>32</v>
      </c>
      <c r="F670" s="1" t="s">
        <v>33</v>
      </c>
      <c r="G670" s="3">
        <v>5250</v>
      </c>
      <c r="H670" s="19">
        <v>45492</v>
      </c>
      <c r="I670" s="3" t="s">
        <v>78</v>
      </c>
      <c r="J670" s="3" t="s">
        <v>79</v>
      </c>
      <c r="K670" s="1">
        <v>352403000</v>
      </c>
      <c r="L670" s="6" t="s">
        <v>69</v>
      </c>
    </row>
    <row r="671" spans="1:12" customFormat="1" ht="14.4" x14ac:dyDescent="0.3">
      <c r="A671" s="1" t="s">
        <v>12</v>
      </c>
      <c r="B671" s="1" t="s">
        <v>13</v>
      </c>
      <c r="C671" s="2" t="s">
        <v>14</v>
      </c>
      <c r="D671" s="8" t="s">
        <v>104</v>
      </c>
      <c r="E671" s="9">
        <v>309023553967</v>
      </c>
      <c r="F671" s="1" t="s">
        <v>105</v>
      </c>
      <c r="G671" s="3">
        <v>4750</v>
      </c>
      <c r="H671" s="19">
        <v>45492</v>
      </c>
      <c r="I671" s="3" t="s">
        <v>91</v>
      </c>
      <c r="J671" s="3" t="s">
        <v>22</v>
      </c>
      <c r="K671" s="1">
        <v>352403002</v>
      </c>
      <c r="L671" s="6" t="s">
        <v>24</v>
      </c>
    </row>
    <row r="672" spans="1:12" customFormat="1" ht="14.4" x14ac:dyDescent="0.3">
      <c r="A672" s="1" t="s">
        <v>12</v>
      </c>
      <c r="B672" s="1" t="s">
        <v>13</v>
      </c>
      <c r="C672" s="2" t="s">
        <v>14</v>
      </c>
      <c r="D672" s="3" t="s">
        <v>149</v>
      </c>
      <c r="E672" s="18">
        <v>50100624324501</v>
      </c>
      <c r="F672" s="3" t="s">
        <v>150</v>
      </c>
      <c r="G672" s="3">
        <v>5250</v>
      </c>
      <c r="H672" s="19">
        <v>45492</v>
      </c>
      <c r="I672" s="3" t="s">
        <v>77</v>
      </c>
      <c r="J672" s="3" t="s">
        <v>29</v>
      </c>
      <c r="K672" s="1">
        <v>352403003</v>
      </c>
      <c r="L672" s="6" t="s">
        <v>69</v>
      </c>
    </row>
    <row r="673" spans="1:12" customFormat="1" ht="14.4" x14ac:dyDescent="0.3">
      <c r="A673" s="1" t="s">
        <v>12</v>
      </c>
      <c r="B673" s="1" t="s">
        <v>13</v>
      </c>
      <c r="C673" s="2" t="s">
        <v>14</v>
      </c>
      <c r="D673" s="1" t="s">
        <v>36</v>
      </c>
      <c r="E673" s="1" t="s">
        <v>37</v>
      </c>
      <c r="F673" s="1" t="s">
        <v>38</v>
      </c>
      <c r="G673" s="3">
        <v>5250</v>
      </c>
      <c r="H673" s="19">
        <v>45492</v>
      </c>
      <c r="I673" s="3" t="s">
        <v>92</v>
      </c>
      <c r="J673" s="3" t="s">
        <v>40</v>
      </c>
      <c r="K673" s="1">
        <v>352403001</v>
      </c>
      <c r="L673" s="6" t="s">
        <v>69</v>
      </c>
    </row>
    <row r="674" spans="1:12" customFormat="1" ht="14.4" x14ac:dyDescent="0.3">
      <c r="A674" s="1" t="s">
        <v>12</v>
      </c>
      <c r="B674" s="1" t="s">
        <v>13</v>
      </c>
      <c r="C674" s="2" t="s">
        <v>14</v>
      </c>
      <c r="D674" s="1" t="s">
        <v>70</v>
      </c>
      <c r="E674" s="1" t="s">
        <v>71</v>
      </c>
      <c r="F674" s="1" t="s">
        <v>72</v>
      </c>
      <c r="G674" s="3">
        <v>3750</v>
      </c>
      <c r="H674" s="19">
        <v>45492</v>
      </c>
      <c r="I674" s="3" t="s">
        <v>83</v>
      </c>
      <c r="J674" s="3" t="s">
        <v>84</v>
      </c>
      <c r="K674" s="1">
        <v>352403022</v>
      </c>
      <c r="L674" s="6" t="s">
        <v>69</v>
      </c>
    </row>
    <row r="675" spans="1:12" customFormat="1" ht="14.4" x14ac:dyDescent="0.3">
      <c r="A675" s="1" t="s">
        <v>12</v>
      </c>
      <c r="B675" s="1" t="s">
        <v>13</v>
      </c>
      <c r="C675" s="2" t="s">
        <v>14</v>
      </c>
      <c r="D675" s="1" t="s">
        <v>215</v>
      </c>
      <c r="E675" s="1" t="s">
        <v>216</v>
      </c>
      <c r="F675" s="1" t="s">
        <v>33</v>
      </c>
      <c r="G675" s="3">
        <v>500</v>
      </c>
      <c r="H675" s="19">
        <v>45493</v>
      </c>
      <c r="I675" s="3" t="s">
        <v>155</v>
      </c>
      <c r="J675" s="3" t="s">
        <v>156</v>
      </c>
      <c r="K675" s="1">
        <v>352403064</v>
      </c>
      <c r="L675" s="6" t="s">
        <v>236</v>
      </c>
    </row>
    <row r="676" spans="1:12" customFormat="1" ht="14.4" x14ac:dyDescent="0.3">
      <c r="A676" s="1" t="s">
        <v>12</v>
      </c>
      <c r="B676" s="1" t="s">
        <v>13</v>
      </c>
      <c r="C676" s="2" t="s">
        <v>14</v>
      </c>
      <c r="D676" s="1" t="s">
        <v>41</v>
      </c>
      <c r="E676" s="1" t="s">
        <v>42</v>
      </c>
      <c r="F676" s="1" t="s">
        <v>43</v>
      </c>
      <c r="G676" s="3">
        <v>4000</v>
      </c>
      <c r="H676" s="19">
        <v>45493</v>
      </c>
      <c r="I676" s="3" t="s">
        <v>87</v>
      </c>
      <c r="J676" s="3" t="s">
        <v>45</v>
      </c>
      <c r="K676" s="1">
        <v>352403070</v>
      </c>
      <c r="L676" s="6" t="s">
        <v>20</v>
      </c>
    </row>
    <row r="677" spans="1:12" customFormat="1" ht="14.4" x14ac:dyDescent="0.3">
      <c r="A677" s="1" t="s">
        <v>12</v>
      </c>
      <c r="B677" s="1" t="s">
        <v>13</v>
      </c>
      <c r="C677" s="2" t="s">
        <v>14</v>
      </c>
      <c r="D677" s="1" t="s">
        <v>215</v>
      </c>
      <c r="E677" s="1" t="s">
        <v>216</v>
      </c>
      <c r="F677" s="1" t="s">
        <v>33</v>
      </c>
      <c r="G677" s="3">
        <v>500</v>
      </c>
      <c r="H677" s="19">
        <v>45494</v>
      </c>
      <c r="I677" s="3" t="s">
        <v>155</v>
      </c>
      <c r="J677" s="3" t="s">
        <v>156</v>
      </c>
      <c r="K677" s="1">
        <v>352403089</v>
      </c>
      <c r="L677" s="6" t="s">
        <v>237</v>
      </c>
    </row>
    <row r="678" spans="1:12" customFormat="1" ht="14.4" x14ac:dyDescent="0.3">
      <c r="A678" s="1" t="s">
        <v>12</v>
      </c>
      <c r="B678" s="1" t="s">
        <v>13</v>
      </c>
      <c r="C678" s="2" t="s">
        <v>14</v>
      </c>
      <c r="D678" s="1" t="s">
        <v>173</v>
      </c>
      <c r="E678" s="1" t="s">
        <v>174</v>
      </c>
      <c r="F678" s="1" t="s">
        <v>33</v>
      </c>
      <c r="G678" s="3">
        <v>500</v>
      </c>
      <c r="H678" s="19">
        <v>45495</v>
      </c>
      <c r="I678" s="3" t="s">
        <v>175</v>
      </c>
      <c r="J678" s="3" t="s">
        <v>176</v>
      </c>
      <c r="K678" s="6">
        <v>352403112</v>
      </c>
      <c r="L678" s="6" t="s">
        <v>238</v>
      </c>
    </row>
    <row r="679" spans="1:12" customFormat="1" ht="14.4" x14ac:dyDescent="0.3">
      <c r="A679" s="1" t="s">
        <v>12</v>
      </c>
      <c r="B679" s="1" t="s">
        <v>13</v>
      </c>
      <c r="C679" s="2" t="s">
        <v>14</v>
      </c>
      <c r="D679" s="1" t="s">
        <v>15</v>
      </c>
      <c r="E679" s="1" t="s">
        <v>16</v>
      </c>
      <c r="F679" s="1" t="s">
        <v>17</v>
      </c>
      <c r="G679" s="3">
        <v>4000</v>
      </c>
      <c r="H679" s="19">
        <v>45495</v>
      </c>
      <c r="I679" s="3" t="s">
        <v>85</v>
      </c>
      <c r="J679" s="3" t="s">
        <v>19</v>
      </c>
      <c r="K679" s="1">
        <v>352403087</v>
      </c>
      <c r="L679" s="6" t="s">
        <v>20</v>
      </c>
    </row>
    <row r="680" spans="1:12" customFormat="1" ht="14.4" x14ac:dyDescent="0.3">
      <c r="A680" s="1" t="s">
        <v>12</v>
      </c>
      <c r="B680" s="1" t="s">
        <v>13</v>
      </c>
      <c r="C680" s="2" t="s">
        <v>14</v>
      </c>
      <c r="D680" s="1" t="s">
        <v>41</v>
      </c>
      <c r="E680" s="1" t="s">
        <v>42</v>
      </c>
      <c r="F680" s="1" t="s">
        <v>43</v>
      </c>
      <c r="G680" s="3">
        <v>4000</v>
      </c>
      <c r="H680" s="19">
        <v>45495</v>
      </c>
      <c r="I680" s="3" t="s">
        <v>87</v>
      </c>
      <c r="J680" s="3" t="s">
        <v>45</v>
      </c>
      <c r="K680" s="1">
        <v>352403102</v>
      </c>
      <c r="L680" s="6" t="s">
        <v>20</v>
      </c>
    </row>
    <row r="681" spans="1:12" customFormat="1" ht="14.4" x14ac:dyDescent="0.3">
      <c r="A681" s="1" t="s">
        <v>12</v>
      </c>
      <c r="B681" s="1" t="s">
        <v>13</v>
      </c>
      <c r="C681" s="2" t="s">
        <v>14</v>
      </c>
      <c r="D681" s="1" t="s">
        <v>64</v>
      </c>
      <c r="E681" s="1" t="s">
        <v>65</v>
      </c>
      <c r="F681" s="1" t="s">
        <v>66</v>
      </c>
      <c r="G681" s="3">
        <v>5250</v>
      </c>
      <c r="H681" s="19">
        <v>45495</v>
      </c>
      <c r="I681" s="3" t="s">
        <v>101</v>
      </c>
      <c r="J681" s="3" t="s">
        <v>68</v>
      </c>
      <c r="K681" s="1">
        <v>352403004</v>
      </c>
      <c r="L681" s="6" t="s">
        <v>69</v>
      </c>
    </row>
    <row r="682" spans="1:12" customFormat="1" ht="14.4" x14ac:dyDescent="0.3">
      <c r="A682" s="1" t="s">
        <v>12</v>
      </c>
      <c r="B682" s="1" t="s">
        <v>13</v>
      </c>
      <c r="C682" s="2" t="s">
        <v>14</v>
      </c>
      <c r="D682" s="3" t="s">
        <v>149</v>
      </c>
      <c r="E682" s="18">
        <v>50100624324501</v>
      </c>
      <c r="F682" s="3" t="s">
        <v>150</v>
      </c>
      <c r="G682" s="3">
        <v>5250</v>
      </c>
      <c r="H682" s="19">
        <v>45495</v>
      </c>
      <c r="I682" s="3" t="s">
        <v>77</v>
      </c>
      <c r="J682" s="3" t="s">
        <v>29</v>
      </c>
      <c r="K682" s="1">
        <v>352403105</v>
      </c>
      <c r="L682" s="6" t="s">
        <v>69</v>
      </c>
    </row>
    <row r="683" spans="1:12" customFormat="1" ht="14.4" x14ac:dyDescent="0.3">
      <c r="A683" s="1" t="s">
        <v>12</v>
      </c>
      <c r="B683" s="1" t="s">
        <v>13</v>
      </c>
      <c r="C683" s="2" t="s">
        <v>14</v>
      </c>
      <c r="D683" s="1" t="s">
        <v>36</v>
      </c>
      <c r="E683" s="1" t="s">
        <v>37</v>
      </c>
      <c r="F683" s="1" t="s">
        <v>38</v>
      </c>
      <c r="G683" s="3">
        <v>5250</v>
      </c>
      <c r="H683" s="19">
        <v>45495</v>
      </c>
      <c r="I683" s="3" t="s">
        <v>92</v>
      </c>
      <c r="J683" s="3" t="s">
        <v>40</v>
      </c>
      <c r="K683" s="1">
        <v>352403104</v>
      </c>
      <c r="L683" s="6" t="s">
        <v>69</v>
      </c>
    </row>
    <row r="684" spans="1:12" customFormat="1" ht="14.4" x14ac:dyDescent="0.3">
      <c r="A684" s="1" t="s">
        <v>12</v>
      </c>
      <c r="B684" s="1" t="s">
        <v>13</v>
      </c>
      <c r="C684" s="2" t="s">
        <v>14</v>
      </c>
      <c r="D684" s="1" t="s">
        <v>70</v>
      </c>
      <c r="E684" s="1" t="s">
        <v>71</v>
      </c>
      <c r="F684" s="1" t="s">
        <v>72</v>
      </c>
      <c r="G684" s="3">
        <v>5250</v>
      </c>
      <c r="H684" s="19">
        <v>45495</v>
      </c>
      <c r="I684" s="3" t="s">
        <v>83</v>
      </c>
      <c r="J684" s="3" t="s">
        <v>84</v>
      </c>
      <c r="K684" s="1">
        <v>352403106</v>
      </c>
      <c r="L684" s="6" t="s">
        <v>69</v>
      </c>
    </row>
    <row r="685" spans="1:12" customFormat="1" ht="14.4" x14ac:dyDescent="0.3">
      <c r="A685" s="1" t="s">
        <v>12</v>
      </c>
      <c r="B685" s="1" t="s">
        <v>13</v>
      </c>
      <c r="C685" s="2" t="s">
        <v>14</v>
      </c>
      <c r="D685" s="1" t="s">
        <v>215</v>
      </c>
      <c r="E685" s="1" t="s">
        <v>216</v>
      </c>
      <c r="F685" s="1" t="s">
        <v>33</v>
      </c>
      <c r="G685" s="3">
        <v>500</v>
      </c>
      <c r="H685" s="19">
        <v>45495</v>
      </c>
      <c r="I685" s="3" t="s">
        <v>155</v>
      </c>
      <c r="J685" s="3" t="s">
        <v>156</v>
      </c>
      <c r="K685" s="1">
        <v>352403115</v>
      </c>
      <c r="L685" s="6" t="s">
        <v>239</v>
      </c>
    </row>
    <row r="686" spans="1:12" customFormat="1" ht="14.4" x14ac:dyDescent="0.3">
      <c r="A686" s="1" t="s">
        <v>12</v>
      </c>
      <c r="B686" s="1" t="s">
        <v>13</v>
      </c>
      <c r="C686" s="2" t="s">
        <v>14</v>
      </c>
      <c r="D686" s="1" t="s">
        <v>31</v>
      </c>
      <c r="E686" s="1" t="s">
        <v>32</v>
      </c>
      <c r="F686" s="1" t="s">
        <v>33</v>
      </c>
      <c r="G686" s="3">
        <v>4750</v>
      </c>
      <c r="H686" s="19">
        <v>45495</v>
      </c>
      <c r="I686" s="3" t="s">
        <v>78</v>
      </c>
      <c r="J686" s="3" t="s">
        <v>79</v>
      </c>
      <c r="K686" s="1">
        <v>352403103</v>
      </c>
      <c r="L686" s="6" t="s">
        <v>24</v>
      </c>
    </row>
    <row r="687" spans="1:12" customFormat="1" ht="14.4" x14ac:dyDescent="0.3">
      <c r="A687" s="1" t="s">
        <v>12</v>
      </c>
      <c r="B687" s="1" t="s">
        <v>13</v>
      </c>
      <c r="C687" s="2" t="s">
        <v>14</v>
      </c>
      <c r="D687" s="1" t="s">
        <v>193</v>
      </c>
      <c r="E687" s="1" t="s">
        <v>194</v>
      </c>
      <c r="F687" s="1" t="s">
        <v>195</v>
      </c>
      <c r="G687" s="3">
        <v>500</v>
      </c>
      <c r="H687" s="19">
        <v>45496</v>
      </c>
      <c r="I687" s="3" t="s">
        <v>125</v>
      </c>
      <c r="J687" s="3" t="s">
        <v>126</v>
      </c>
      <c r="K687" s="6">
        <v>352403137</v>
      </c>
      <c r="L687" s="6" t="s">
        <v>240</v>
      </c>
    </row>
    <row r="688" spans="1:12" customFormat="1" ht="14.4" x14ac:dyDescent="0.3">
      <c r="A688" s="1" t="s">
        <v>12</v>
      </c>
      <c r="B688" s="1" t="s">
        <v>13</v>
      </c>
      <c r="C688" s="2" t="s">
        <v>14</v>
      </c>
      <c r="D688" s="1" t="s">
        <v>215</v>
      </c>
      <c r="E688" s="1" t="s">
        <v>216</v>
      </c>
      <c r="F688" s="1" t="s">
        <v>33</v>
      </c>
      <c r="G688" s="3">
        <v>500</v>
      </c>
      <c r="H688" s="19">
        <v>45496</v>
      </c>
      <c r="I688" s="3" t="s">
        <v>155</v>
      </c>
      <c r="J688" s="3" t="s">
        <v>156</v>
      </c>
      <c r="K688" s="1">
        <v>352403140</v>
      </c>
      <c r="L688" s="6" t="s">
        <v>241</v>
      </c>
    </row>
    <row r="689" spans="1:12" customFormat="1" ht="14.4" x14ac:dyDescent="0.3">
      <c r="A689" s="1" t="s">
        <v>12</v>
      </c>
      <c r="B689" s="1" t="s">
        <v>13</v>
      </c>
      <c r="C689" s="2" t="s">
        <v>14</v>
      </c>
      <c r="D689" s="1" t="s">
        <v>64</v>
      </c>
      <c r="E689" s="1" t="s">
        <v>65</v>
      </c>
      <c r="F689" s="1" t="s">
        <v>66</v>
      </c>
      <c r="G689" s="3">
        <v>5250</v>
      </c>
      <c r="H689" s="19">
        <v>45496</v>
      </c>
      <c r="I689" s="3" t="s">
        <v>101</v>
      </c>
      <c r="J689" s="3" t="s">
        <v>68</v>
      </c>
      <c r="K689" s="1">
        <v>352403139</v>
      </c>
      <c r="L689" s="6" t="s">
        <v>69</v>
      </c>
    </row>
    <row r="690" spans="1:12" customFormat="1" ht="13.8" customHeight="1" x14ac:dyDescent="0.3">
      <c r="A690" s="1" t="s">
        <v>12</v>
      </c>
      <c r="B690" s="1" t="s">
        <v>13</v>
      </c>
      <c r="C690" s="2" t="s">
        <v>14</v>
      </c>
      <c r="D690" s="1" t="s">
        <v>41</v>
      </c>
      <c r="E690" s="1" t="s">
        <v>61</v>
      </c>
      <c r="F690" s="1" t="s">
        <v>62</v>
      </c>
      <c r="G690" s="3">
        <v>5500</v>
      </c>
      <c r="H690" s="19">
        <v>45496</v>
      </c>
      <c r="I690" s="3" t="s">
        <v>88</v>
      </c>
      <c r="J690" s="3" t="s">
        <v>59</v>
      </c>
      <c r="K690" s="1">
        <v>352403005</v>
      </c>
      <c r="L690" s="6" t="s">
        <v>107</v>
      </c>
    </row>
    <row r="691" spans="1:12" customFormat="1" ht="14.4" x14ac:dyDescent="0.3">
      <c r="A691" s="1" t="s">
        <v>12</v>
      </c>
      <c r="B691" s="1" t="s">
        <v>13</v>
      </c>
      <c r="C691" s="2" t="s">
        <v>14</v>
      </c>
      <c r="D691" s="3" t="s">
        <v>149</v>
      </c>
      <c r="E691" s="18">
        <v>50100624324501</v>
      </c>
      <c r="F691" s="3" t="s">
        <v>150</v>
      </c>
      <c r="G691" s="3">
        <v>5250</v>
      </c>
      <c r="H691" s="19">
        <v>45496</v>
      </c>
      <c r="I691" s="3" t="s">
        <v>77</v>
      </c>
      <c r="J691" s="3" t="s">
        <v>29</v>
      </c>
      <c r="K691" s="1">
        <v>352403136</v>
      </c>
      <c r="L691" s="6" t="s">
        <v>69</v>
      </c>
    </row>
    <row r="692" spans="1:12" customFormat="1" ht="14.4" x14ac:dyDescent="0.3">
      <c r="A692" s="1" t="s">
        <v>12</v>
      </c>
      <c r="B692" s="1" t="s">
        <v>13</v>
      </c>
      <c r="C692" s="2" t="s">
        <v>14</v>
      </c>
      <c r="D692" s="1" t="s">
        <v>36</v>
      </c>
      <c r="E692" s="1" t="s">
        <v>37</v>
      </c>
      <c r="F692" s="1" t="s">
        <v>38</v>
      </c>
      <c r="G692" s="3">
        <v>5250</v>
      </c>
      <c r="H692" s="19">
        <v>45496</v>
      </c>
      <c r="I692" s="3" t="s">
        <v>92</v>
      </c>
      <c r="J692" s="3" t="s">
        <v>40</v>
      </c>
      <c r="K692" s="1">
        <v>352403135</v>
      </c>
      <c r="L692" s="6" t="s">
        <v>69</v>
      </c>
    </row>
    <row r="693" spans="1:12" customFormat="1" ht="14.4" x14ac:dyDescent="0.3">
      <c r="A693" s="1" t="s">
        <v>12</v>
      </c>
      <c r="B693" s="1" t="s">
        <v>13</v>
      </c>
      <c r="C693" s="2" t="s">
        <v>14</v>
      </c>
      <c r="D693" s="1" t="s">
        <v>70</v>
      </c>
      <c r="E693" s="1" t="s">
        <v>71</v>
      </c>
      <c r="F693" s="1" t="s">
        <v>72</v>
      </c>
      <c r="G693" s="3">
        <v>5250</v>
      </c>
      <c r="H693" s="19">
        <v>45496</v>
      </c>
      <c r="I693" s="3" t="s">
        <v>83</v>
      </c>
      <c r="J693" s="3" t="s">
        <v>84</v>
      </c>
      <c r="K693" s="1">
        <v>352403138</v>
      </c>
      <c r="L693" s="6" t="s">
        <v>69</v>
      </c>
    </row>
    <row r="694" spans="1:12" customFormat="1" ht="14.4" x14ac:dyDescent="0.3">
      <c r="A694" s="1" t="s">
        <v>12</v>
      </c>
      <c r="B694" s="1" t="s">
        <v>13</v>
      </c>
      <c r="C694" s="2" t="s">
        <v>14</v>
      </c>
      <c r="D694" s="1" t="s">
        <v>215</v>
      </c>
      <c r="E694" s="1" t="s">
        <v>216</v>
      </c>
      <c r="F694" s="1" t="s">
        <v>33</v>
      </c>
      <c r="G694" s="3">
        <v>500</v>
      </c>
      <c r="H694" s="19">
        <v>45497</v>
      </c>
      <c r="I694" s="3" t="s">
        <v>155</v>
      </c>
      <c r="J694" s="3" t="s">
        <v>156</v>
      </c>
      <c r="K694" s="1">
        <v>352403167</v>
      </c>
      <c r="L694" s="6" t="s">
        <v>242</v>
      </c>
    </row>
    <row r="695" spans="1:12" customFormat="1" ht="14.4" x14ac:dyDescent="0.3">
      <c r="A695" s="1" t="s">
        <v>12</v>
      </c>
      <c r="B695" s="1" t="s">
        <v>13</v>
      </c>
      <c r="C695" s="2" t="s">
        <v>14</v>
      </c>
      <c r="D695" s="1" t="s">
        <v>15</v>
      </c>
      <c r="E695" s="1" t="s">
        <v>16</v>
      </c>
      <c r="F695" s="1" t="s">
        <v>17</v>
      </c>
      <c r="G695" s="3">
        <v>4000</v>
      </c>
      <c r="H695" s="19">
        <v>45497</v>
      </c>
      <c r="I695" s="3" t="s">
        <v>85</v>
      </c>
      <c r="J695" s="3" t="s">
        <v>19</v>
      </c>
      <c r="K695" s="1">
        <v>352403133</v>
      </c>
      <c r="L695" s="6" t="s">
        <v>20</v>
      </c>
    </row>
    <row r="696" spans="1:12" customFormat="1" ht="14.4" x14ac:dyDescent="0.3">
      <c r="A696" s="1" t="s">
        <v>12</v>
      </c>
      <c r="B696" s="1" t="s">
        <v>13</v>
      </c>
      <c r="C696" s="2" t="s">
        <v>14</v>
      </c>
      <c r="D696" s="1" t="s">
        <v>41</v>
      </c>
      <c r="E696" s="1" t="s">
        <v>42</v>
      </c>
      <c r="F696" s="1" t="s">
        <v>43</v>
      </c>
      <c r="G696" s="3">
        <v>3500</v>
      </c>
      <c r="H696" s="19">
        <v>45497</v>
      </c>
      <c r="I696" s="3" t="s">
        <v>87</v>
      </c>
      <c r="J696" s="3" t="s">
        <v>45</v>
      </c>
      <c r="K696" s="1">
        <v>352403166</v>
      </c>
      <c r="L696" s="6" t="s">
        <v>20</v>
      </c>
    </row>
    <row r="697" spans="1:12" customFormat="1" ht="14.4" x14ac:dyDescent="0.3">
      <c r="A697" s="1" t="s">
        <v>12</v>
      </c>
      <c r="B697" s="1" t="s">
        <v>13</v>
      </c>
      <c r="C697" s="2" t="s">
        <v>14</v>
      </c>
      <c r="D697" s="1" t="s">
        <v>64</v>
      </c>
      <c r="E697" s="1" t="s">
        <v>65</v>
      </c>
      <c r="F697" s="1" t="s">
        <v>66</v>
      </c>
      <c r="G697" s="3">
        <v>5250</v>
      </c>
      <c r="H697" s="19">
        <v>45497</v>
      </c>
      <c r="I697" s="3" t="s">
        <v>101</v>
      </c>
      <c r="J697" s="3" t="s">
        <v>68</v>
      </c>
      <c r="K697" s="1">
        <v>352403177</v>
      </c>
      <c r="L697" s="6" t="s">
        <v>69</v>
      </c>
    </row>
    <row r="698" spans="1:12" customFormat="1" ht="13.8" customHeight="1" x14ac:dyDescent="0.3">
      <c r="A698" s="1" t="s">
        <v>12</v>
      </c>
      <c r="B698" s="1" t="s">
        <v>13</v>
      </c>
      <c r="C698" s="2" t="s">
        <v>14</v>
      </c>
      <c r="D698" s="1" t="s">
        <v>41</v>
      </c>
      <c r="E698" s="1" t="s">
        <v>61</v>
      </c>
      <c r="F698" s="1" t="s">
        <v>62</v>
      </c>
      <c r="G698" s="3">
        <v>5250</v>
      </c>
      <c r="H698" s="19">
        <v>45497</v>
      </c>
      <c r="I698" s="3" t="s">
        <v>88</v>
      </c>
      <c r="J698" s="3" t="s">
        <v>59</v>
      </c>
      <c r="K698" s="1">
        <v>352403178</v>
      </c>
      <c r="L698" s="6" t="s">
        <v>69</v>
      </c>
    </row>
    <row r="699" spans="1:12" customFormat="1" ht="14.4" x14ac:dyDescent="0.3">
      <c r="A699" s="1" t="s">
        <v>12</v>
      </c>
      <c r="B699" s="1" t="s">
        <v>13</v>
      </c>
      <c r="C699" s="2" t="s">
        <v>14</v>
      </c>
      <c r="D699" s="3" t="s">
        <v>149</v>
      </c>
      <c r="E699" s="18">
        <v>50100624324501</v>
      </c>
      <c r="F699" s="3" t="s">
        <v>150</v>
      </c>
      <c r="G699" s="3">
        <v>5250</v>
      </c>
      <c r="H699" s="19">
        <v>45497</v>
      </c>
      <c r="I699" s="3" t="s">
        <v>77</v>
      </c>
      <c r="J699" s="3" t="s">
        <v>29</v>
      </c>
      <c r="K699" s="1">
        <v>352403176</v>
      </c>
      <c r="L699" s="6" t="s">
        <v>69</v>
      </c>
    </row>
    <row r="700" spans="1:12" customFormat="1" ht="14.4" x14ac:dyDescent="0.3">
      <c r="A700" s="1" t="s">
        <v>12</v>
      </c>
      <c r="B700" s="1" t="s">
        <v>13</v>
      </c>
      <c r="C700" s="2" t="s">
        <v>14</v>
      </c>
      <c r="D700" s="1" t="s">
        <v>31</v>
      </c>
      <c r="E700" s="1" t="s">
        <v>32</v>
      </c>
      <c r="F700" s="1" t="s">
        <v>33</v>
      </c>
      <c r="G700" s="3">
        <v>5250</v>
      </c>
      <c r="H700" s="19">
        <v>45497</v>
      </c>
      <c r="I700" s="3" t="s">
        <v>93</v>
      </c>
      <c r="J700" s="3" t="s">
        <v>34</v>
      </c>
      <c r="K700" s="1">
        <v>352401295</v>
      </c>
      <c r="L700" s="6" t="s">
        <v>69</v>
      </c>
    </row>
    <row r="701" spans="1:12" customFormat="1" ht="14.4" x14ac:dyDescent="0.3">
      <c r="A701" s="1" t="s">
        <v>12</v>
      </c>
      <c r="B701" s="1" t="s">
        <v>13</v>
      </c>
      <c r="C701" s="2" t="s">
        <v>14</v>
      </c>
      <c r="D701" s="1" t="s">
        <v>36</v>
      </c>
      <c r="E701" s="1" t="s">
        <v>37</v>
      </c>
      <c r="F701" s="1" t="s">
        <v>38</v>
      </c>
      <c r="G701" s="3">
        <v>5250</v>
      </c>
      <c r="H701" s="19">
        <v>45497</v>
      </c>
      <c r="I701" s="3" t="s">
        <v>92</v>
      </c>
      <c r="J701" s="3" t="s">
        <v>40</v>
      </c>
      <c r="K701" s="1">
        <v>352403175</v>
      </c>
      <c r="L701" s="6" t="s">
        <v>69</v>
      </c>
    </row>
    <row r="702" spans="1:12" customFormat="1" ht="14.4" x14ac:dyDescent="0.3">
      <c r="A702" s="1" t="s">
        <v>12</v>
      </c>
      <c r="B702" s="1" t="s">
        <v>13</v>
      </c>
      <c r="C702" s="2" t="s">
        <v>14</v>
      </c>
      <c r="D702" s="1" t="s">
        <v>70</v>
      </c>
      <c r="E702" s="1" t="s">
        <v>71</v>
      </c>
      <c r="F702" s="1" t="s">
        <v>72</v>
      </c>
      <c r="G702" s="3">
        <v>5250</v>
      </c>
      <c r="H702" s="19">
        <v>45497</v>
      </c>
      <c r="I702" s="3" t="s">
        <v>83</v>
      </c>
      <c r="J702" s="3" t="s">
        <v>84</v>
      </c>
      <c r="K702" s="1">
        <v>352403173</v>
      </c>
      <c r="L702" s="6" t="s">
        <v>69</v>
      </c>
    </row>
    <row r="703" spans="1:12" customFormat="1" ht="14.4" x14ac:dyDescent="0.3">
      <c r="A703" s="1" t="s">
        <v>12</v>
      </c>
      <c r="B703" s="1" t="s">
        <v>13</v>
      </c>
      <c r="C703" s="2" t="s">
        <v>14</v>
      </c>
      <c r="D703" s="1" t="s">
        <v>64</v>
      </c>
      <c r="E703" s="1" t="s">
        <v>65</v>
      </c>
      <c r="F703" s="1" t="s">
        <v>66</v>
      </c>
      <c r="G703" s="3">
        <v>7500</v>
      </c>
      <c r="H703" s="19">
        <v>45497</v>
      </c>
      <c r="I703" s="3" t="s">
        <v>101</v>
      </c>
      <c r="J703" s="3" t="s">
        <v>68</v>
      </c>
      <c r="K703" s="1">
        <v>352403177</v>
      </c>
      <c r="L703" s="6" t="s">
        <v>106</v>
      </c>
    </row>
    <row r="704" spans="1:12" customFormat="1" ht="14.4" x14ac:dyDescent="0.3">
      <c r="A704" s="1" t="s">
        <v>12</v>
      </c>
      <c r="B704" s="1" t="s">
        <v>13</v>
      </c>
      <c r="C704" s="2" t="s">
        <v>14</v>
      </c>
      <c r="D704" s="1" t="s">
        <v>215</v>
      </c>
      <c r="E704" s="1" t="s">
        <v>216</v>
      </c>
      <c r="F704" s="1" t="s">
        <v>33</v>
      </c>
      <c r="G704" s="3">
        <v>500</v>
      </c>
      <c r="H704" s="19">
        <v>45498</v>
      </c>
      <c r="I704" s="3" t="s">
        <v>155</v>
      </c>
      <c r="J704" s="3" t="s">
        <v>156</v>
      </c>
      <c r="K704" s="1">
        <v>352403203</v>
      </c>
      <c r="L704" s="6" t="s">
        <v>243</v>
      </c>
    </row>
    <row r="705" spans="1:12" customFormat="1" ht="14.4" x14ac:dyDescent="0.3">
      <c r="A705" s="1" t="s">
        <v>12</v>
      </c>
      <c r="B705" s="1" t="s">
        <v>13</v>
      </c>
      <c r="C705" s="2" t="s">
        <v>14</v>
      </c>
      <c r="D705" s="1" t="s">
        <v>215</v>
      </c>
      <c r="E705" s="1" t="s">
        <v>216</v>
      </c>
      <c r="F705" s="1" t="s">
        <v>33</v>
      </c>
      <c r="G705" s="3">
        <v>500</v>
      </c>
      <c r="H705" s="19">
        <v>45498</v>
      </c>
      <c r="I705" s="3" t="s">
        <v>155</v>
      </c>
      <c r="J705" s="3" t="s">
        <v>156</v>
      </c>
      <c r="K705" s="1">
        <v>352403218</v>
      </c>
      <c r="L705" s="6" t="s">
        <v>244</v>
      </c>
    </row>
    <row r="706" spans="1:12" customFormat="1" ht="14.4" x14ac:dyDescent="0.3">
      <c r="A706" s="1" t="s">
        <v>12</v>
      </c>
      <c r="B706" s="1" t="s">
        <v>13</v>
      </c>
      <c r="C706" s="2" t="s">
        <v>14</v>
      </c>
      <c r="D706" s="1" t="s">
        <v>15</v>
      </c>
      <c r="E706" s="1" t="s">
        <v>16</v>
      </c>
      <c r="F706" s="1" t="s">
        <v>17</v>
      </c>
      <c r="G706" s="3">
        <v>4000</v>
      </c>
      <c r="H706" s="19">
        <v>45498</v>
      </c>
      <c r="I706" s="3" t="s">
        <v>85</v>
      </c>
      <c r="J706" s="3" t="s">
        <v>19</v>
      </c>
      <c r="K706" s="1">
        <v>352403219</v>
      </c>
      <c r="L706" s="6" t="s">
        <v>20</v>
      </c>
    </row>
    <row r="707" spans="1:12" customFormat="1" ht="14.4" x14ac:dyDescent="0.3">
      <c r="A707" s="1" t="s">
        <v>12</v>
      </c>
      <c r="B707" s="1" t="s">
        <v>13</v>
      </c>
      <c r="C707" s="2" t="s">
        <v>14</v>
      </c>
      <c r="D707" s="1" t="s">
        <v>41</v>
      </c>
      <c r="E707" s="1" t="s">
        <v>42</v>
      </c>
      <c r="F707" s="1" t="s">
        <v>43</v>
      </c>
      <c r="G707" s="3">
        <v>4000</v>
      </c>
      <c r="H707" s="19">
        <v>45498</v>
      </c>
      <c r="I707" s="3" t="s">
        <v>87</v>
      </c>
      <c r="J707" s="3" t="s">
        <v>45</v>
      </c>
      <c r="K707" s="1">
        <v>352403217</v>
      </c>
      <c r="L707" s="6" t="s">
        <v>20</v>
      </c>
    </row>
    <row r="708" spans="1:12" customFormat="1" ht="14.4" x14ac:dyDescent="0.3">
      <c r="A708" s="1" t="s">
        <v>12</v>
      </c>
      <c r="B708" s="1" t="s">
        <v>13</v>
      </c>
      <c r="C708" s="2" t="s">
        <v>14</v>
      </c>
      <c r="D708" s="1" t="s">
        <v>215</v>
      </c>
      <c r="E708" s="1" t="s">
        <v>216</v>
      </c>
      <c r="F708" s="1" t="s">
        <v>33</v>
      </c>
      <c r="G708" s="3">
        <v>500</v>
      </c>
      <c r="H708" s="19">
        <v>45499</v>
      </c>
      <c r="I708" s="3" t="s">
        <v>155</v>
      </c>
      <c r="J708" s="3" t="s">
        <v>156</v>
      </c>
      <c r="K708" s="1">
        <v>352403228</v>
      </c>
      <c r="L708" s="6" t="s">
        <v>245</v>
      </c>
    </row>
    <row r="709" spans="1:12" customFormat="1" ht="14.4" x14ac:dyDescent="0.3">
      <c r="A709" s="1" t="s">
        <v>12</v>
      </c>
      <c r="B709" s="1" t="s">
        <v>13</v>
      </c>
      <c r="C709" s="2" t="s">
        <v>14</v>
      </c>
      <c r="D709" s="1" t="s">
        <v>183</v>
      </c>
      <c r="E709" s="1" t="s">
        <v>184</v>
      </c>
      <c r="F709" s="1" t="s">
        <v>185</v>
      </c>
      <c r="G709" s="3">
        <v>500</v>
      </c>
      <c r="H709" s="19">
        <v>45499</v>
      </c>
      <c r="I709" s="3" t="s">
        <v>186</v>
      </c>
      <c r="J709" s="3" t="s">
        <v>187</v>
      </c>
      <c r="K709" s="1">
        <v>352403234</v>
      </c>
      <c r="L709" s="6" t="s">
        <v>244</v>
      </c>
    </row>
    <row r="710" spans="1:12" customFormat="1" ht="14.4" x14ac:dyDescent="0.3">
      <c r="A710" s="1" t="s">
        <v>12</v>
      </c>
      <c r="B710" s="1" t="s">
        <v>13</v>
      </c>
      <c r="C710" s="2" t="s">
        <v>14</v>
      </c>
      <c r="D710" s="1" t="s">
        <v>15</v>
      </c>
      <c r="E710" s="1" t="s">
        <v>16</v>
      </c>
      <c r="F710" s="1" t="s">
        <v>17</v>
      </c>
      <c r="G710" s="3">
        <v>500</v>
      </c>
      <c r="H710" s="19">
        <v>45499</v>
      </c>
      <c r="I710" s="3" t="s">
        <v>85</v>
      </c>
      <c r="J710" s="3" t="s">
        <v>19</v>
      </c>
      <c r="K710" s="1">
        <v>352403219</v>
      </c>
      <c r="L710" s="6" t="s">
        <v>246</v>
      </c>
    </row>
    <row r="711" spans="1:12" customFormat="1" ht="14.4" x14ac:dyDescent="0.3">
      <c r="A711" s="1" t="s">
        <v>12</v>
      </c>
      <c r="B711" s="1" t="s">
        <v>13</v>
      </c>
      <c r="C711" s="2" t="s">
        <v>14</v>
      </c>
      <c r="D711" s="1" t="s">
        <v>15</v>
      </c>
      <c r="E711" s="1" t="s">
        <v>16</v>
      </c>
      <c r="F711" s="1" t="s">
        <v>17</v>
      </c>
      <c r="G711" s="3">
        <v>4000</v>
      </c>
      <c r="H711" s="19">
        <v>45499</v>
      </c>
      <c r="I711" s="3" t="s">
        <v>85</v>
      </c>
      <c r="J711" s="3" t="s">
        <v>19</v>
      </c>
      <c r="K711" s="1">
        <v>352403233</v>
      </c>
      <c r="L711" s="6" t="s">
        <v>20</v>
      </c>
    </row>
    <row r="712" spans="1:12" customFormat="1" ht="14.4" x14ac:dyDescent="0.3">
      <c r="A712" s="1" t="s">
        <v>12</v>
      </c>
      <c r="B712" s="1" t="s">
        <v>13</v>
      </c>
      <c r="C712" s="2" t="s">
        <v>14</v>
      </c>
      <c r="D712" s="1" t="s">
        <v>41</v>
      </c>
      <c r="E712" s="1" t="s">
        <v>42</v>
      </c>
      <c r="F712" s="1" t="s">
        <v>43</v>
      </c>
      <c r="G712" s="3">
        <v>4000</v>
      </c>
      <c r="H712" s="19">
        <v>45499</v>
      </c>
      <c r="I712" s="3" t="s">
        <v>87</v>
      </c>
      <c r="J712" s="3" t="s">
        <v>45</v>
      </c>
      <c r="K712" s="1">
        <v>352403229</v>
      </c>
      <c r="L712" s="6" t="s">
        <v>20</v>
      </c>
    </row>
    <row r="713" spans="1:12" customFormat="1" ht="14.4" x14ac:dyDescent="0.3">
      <c r="A713" s="1" t="s">
        <v>12</v>
      </c>
      <c r="B713" s="1" t="s">
        <v>13</v>
      </c>
      <c r="C713" s="2" t="s">
        <v>14</v>
      </c>
      <c r="D713" s="1" t="s">
        <v>215</v>
      </c>
      <c r="E713" s="1" t="s">
        <v>216</v>
      </c>
      <c r="F713" s="1" t="s">
        <v>33</v>
      </c>
      <c r="G713" s="3">
        <v>500</v>
      </c>
      <c r="H713" s="19">
        <v>45500</v>
      </c>
      <c r="I713" s="3" t="s">
        <v>155</v>
      </c>
      <c r="J713" s="3" t="s">
        <v>156</v>
      </c>
      <c r="K713" s="1">
        <v>352403248</v>
      </c>
      <c r="L713" s="6" t="s">
        <v>247</v>
      </c>
    </row>
    <row r="714" spans="1:12" customFormat="1" ht="14.4" x14ac:dyDescent="0.3">
      <c r="A714" s="1" t="s">
        <v>12</v>
      </c>
      <c r="B714" s="1" t="s">
        <v>13</v>
      </c>
      <c r="C714" s="2" t="s">
        <v>14</v>
      </c>
      <c r="D714" s="1" t="s">
        <v>15</v>
      </c>
      <c r="E714" s="1" t="s">
        <v>16</v>
      </c>
      <c r="F714" s="1" t="s">
        <v>17</v>
      </c>
      <c r="G714" s="3">
        <v>4000</v>
      </c>
      <c r="H714" s="19">
        <v>45500</v>
      </c>
      <c r="I714" s="3" t="s">
        <v>85</v>
      </c>
      <c r="J714" s="3" t="s">
        <v>19</v>
      </c>
      <c r="K714" s="1">
        <v>352403250</v>
      </c>
      <c r="L714" s="6" t="s">
        <v>20</v>
      </c>
    </row>
    <row r="715" spans="1:12" customFormat="1" ht="14.4" x14ac:dyDescent="0.3">
      <c r="A715" s="1" t="s">
        <v>12</v>
      </c>
      <c r="B715" s="1" t="s">
        <v>13</v>
      </c>
      <c r="C715" s="2" t="s">
        <v>14</v>
      </c>
      <c r="D715" s="1" t="s">
        <v>41</v>
      </c>
      <c r="E715" s="1" t="s">
        <v>42</v>
      </c>
      <c r="F715" s="1" t="s">
        <v>43</v>
      </c>
      <c r="G715" s="3">
        <v>4000</v>
      </c>
      <c r="H715" s="19">
        <v>45500</v>
      </c>
      <c r="I715" s="3" t="s">
        <v>87</v>
      </c>
      <c r="J715" s="3" t="s">
        <v>45</v>
      </c>
      <c r="K715" s="1">
        <v>352403249</v>
      </c>
      <c r="L715" s="6" t="s">
        <v>20</v>
      </c>
    </row>
    <row r="716" spans="1:12" customFormat="1" ht="14.4" x14ac:dyDescent="0.3">
      <c r="A716" s="1" t="s">
        <v>12</v>
      </c>
      <c r="B716" s="1" t="s">
        <v>13</v>
      </c>
      <c r="C716" s="2" t="s">
        <v>14</v>
      </c>
      <c r="D716" s="1" t="s">
        <v>31</v>
      </c>
      <c r="E716" s="1" t="s">
        <v>32</v>
      </c>
      <c r="F716" s="1" t="s">
        <v>33</v>
      </c>
      <c r="G716" s="3">
        <v>3750</v>
      </c>
      <c r="H716" s="19">
        <v>45500</v>
      </c>
      <c r="I716" s="3" t="s">
        <v>78</v>
      </c>
      <c r="J716" s="3" t="s">
        <v>79</v>
      </c>
      <c r="K716" s="1">
        <v>352403134</v>
      </c>
      <c r="L716" s="6" t="s">
        <v>69</v>
      </c>
    </row>
    <row r="717" spans="1:12" customFormat="1" ht="14.4" x14ac:dyDescent="0.3">
      <c r="A717" s="10" t="s">
        <v>12</v>
      </c>
      <c r="B717" s="10" t="s">
        <v>13</v>
      </c>
      <c r="C717" s="10" t="s">
        <v>14</v>
      </c>
      <c r="D717" s="10" t="s">
        <v>183</v>
      </c>
      <c r="E717" s="10" t="s">
        <v>184</v>
      </c>
      <c r="F717" s="10" t="s">
        <v>185</v>
      </c>
      <c r="G717" s="13">
        <v>500</v>
      </c>
      <c r="H717" s="21">
        <v>45501</v>
      </c>
      <c r="I717" s="13" t="s">
        <v>186</v>
      </c>
      <c r="J717" s="13" t="s">
        <v>187</v>
      </c>
      <c r="K717" s="10">
        <v>352403278</v>
      </c>
      <c r="L717" s="14" t="s">
        <v>248</v>
      </c>
    </row>
    <row r="718" spans="1:12" customFormat="1" ht="14.4" x14ac:dyDescent="0.3">
      <c r="A718" s="10" t="s">
        <v>12</v>
      </c>
      <c r="B718" s="10" t="s">
        <v>13</v>
      </c>
      <c r="C718" s="10" t="s">
        <v>14</v>
      </c>
      <c r="D718" s="10" t="s">
        <v>215</v>
      </c>
      <c r="E718" s="10" t="s">
        <v>216</v>
      </c>
      <c r="F718" s="10" t="s">
        <v>33</v>
      </c>
      <c r="G718" s="13">
        <v>500</v>
      </c>
      <c r="H718" s="21">
        <v>45501</v>
      </c>
      <c r="I718" s="13" t="s">
        <v>155</v>
      </c>
      <c r="J718" s="13" t="s">
        <v>156</v>
      </c>
      <c r="K718" s="10">
        <v>352403279</v>
      </c>
      <c r="L718" s="14" t="s">
        <v>248</v>
      </c>
    </row>
    <row r="719" spans="1:12" customFormat="1" ht="14.4" x14ac:dyDescent="0.3">
      <c r="A719" s="10" t="s">
        <v>12</v>
      </c>
      <c r="B719" s="10" t="s">
        <v>13</v>
      </c>
      <c r="C719" s="10" t="s">
        <v>14</v>
      </c>
      <c r="D719" s="10" t="s">
        <v>173</v>
      </c>
      <c r="E719" s="10" t="s">
        <v>174</v>
      </c>
      <c r="F719" s="10" t="s">
        <v>33</v>
      </c>
      <c r="G719" s="13">
        <v>500</v>
      </c>
      <c r="H719" s="21">
        <v>45501</v>
      </c>
      <c r="I719" s="13" t="s">
        <v>175</v>
      </c>
      <c r="J719" s="13" t="s">
        <v>176</v>
      </c>
      <c r="K719" s="14">
        <v>352403280</v>
      </c>
      <c r="L719" s="14" t="s">
        <v>249</v>
      </c>
    </row>
    <row r="720" spans="1:12" customFormat="1" ht="14.4" x14ac:dyDescent="0.3">
      <c r="A720" s="10" t="s">
        <v>12</v>
      </c>
      <c r="B720" s="10" t="s">
        <v>13</v>
      </c>
      <c r="C720" s="10" t="s">
        <v>14</v>
      </c>
      <c r="D720" s="10" t="s">
        <v>193</v>
      </c>
      <c r="E720" s="10" t="s">
        <v>194</v>
      </c>
      <c r="F720" s="10" t="s">
        <v>195</v>
      </c>
      <c r="G720" s="13">
        <v>500</v>
      </c>
      <c r="H720" s="21">
        <v>45501</v>
      </c>
      <c r="I720" s="13" t="s">
        <v>125</v>
      </c>
      <c r="J720" s="13" t="s">
        <v>126</v>
      </c>
      <c r="K720" s="14">
        <v>352403284</v>
      </c>
      <c r="L720" s="14" t="s">
        <v>249</v>
      </c>
    </row>
    <row r="721" spans="1:12" customFormat="1" ht="14.4" x14ac:dyDescent="0.3">
      <c r="A721" s="1" t="s">
        <v>12</v>
      </c>
      <c r="B721" s="1" t="s">
        <v>13</v>
      </c>
      <c r="C721" s="2" t="s">
        <v>14</v>
      </c>
      <c r="D721" s="1" t="s">
        <v>41</v>
      </c>
      <c r="E721" s="1" t="s">
        <v>42</v>
      </c>
      <c r="F721" s="1" t="s">
        <v>43</v>
      </c>
      <c r="G721" s="3">
        <v>2000</v>
      </c>
      <c r="H721" s="19">
        <v>45502</v>
      </c>
      <c r="I721" s="3" t="s">
        <v>87</v>
      </c>
      <c r="J721" s="3" t="s">
        <v>45</v>
      </c>
      <c r="K721" s="3">
        <v>352403302</v>
      </c>
      <c r="L721" s="3" t="s">
        <v>250</v>
      </c>
    </row>
    <row r="722" spans="1:12" customFormat="1" ht="14.4" x14ac:dyDescent="0.3">
      <c r="A722" s="1" t="s">
        <v>12</v>
      </c>
      <c r="B722" s="1" t="s">
        <v>13</v>
      </c>
      <c r="C722" s="2" t="s">
        <v>14</v>
      </c>
      <c r="D722" s="1" t="s">
        <v>64</v>
      </c>
      <c r="E722" s="1" t="s">
        <v>65</v>
      </c>
      <c r="F722" s="1" t="s">
        <v>66</v>
      </c>
      <c r="G722" s="3">
        <v>7500</v>
      </c>
      <c r="H722" s="19">
        <v>45502</v>
      </c>
      <c r="I722" s="3" t="s">
        <v>101</v>
      </c>
      <c r="J722" s="3" t="s">
        <v>68</v>
      </c>
      <c r="K722" s="1">
        <v>352403285</v>
      </c>
      <c r="L722" s="6" t="s">
        <v>106</v>
      </c>
    </row>
    <row r="723" spans="1:12" customFormat="1" ht="14.4" x14ac:dyDescent="0.3">
      <c r="A723" s="1" t="s">
        <v>12</v>
      </c>
      <c r="B723" s="1" t="s">
        <v>13</v>
      </c>
      <c r="C723" s="2" t="s">
        <v>14</v>
      </c>
      <c r="D723" s="1" t="s">
        <v>48</v>
      </c>
      <c r="E723" s="1" t="s">
        <v>49</v>
      </c>
      <c r="F723" s="1" t="s">
        <v>50</v>
      </c>
      <c r="G723" s="3">
        <v>5000</v>
      </c>
      <c r="H723" s="19">
        <v>45502</v>
      </c>
      <c r="I723" s="3" t="s">
        <v>117</v>
      </c>
      <c r="J723" s="3" t="s">
        <v>118</v>
      </c>
      <c r="K723" s="1">
        <v>352403107</v>
      </c>
      <c r="L723" s="6" t="s">
        <v>35</v>
      </c>
    </row>
    <row r="724" spans="1:12" customFormat="1" ht="14.4" x14ac:dyDescent="0.3">
      <c r="A724" s="1" t="s">
        <v>12</v>
      </c>
      <c r="B724" s="1" t="s">
        <v>13</v>
      </c>
      <c r="C724" s="2" t="s">
        <v>14</v>
      </c>
      <c r="D724" s="1" t="s">
        <v>31</v>
      </c>
      <c r="E724" s="1" t="s">
        <v>32</v>
      </c>
      <c r="F724" s="1" t="s">
        <v>33</v>
      </c>
      <c r="G724" s="3">
        <v>5250</v>
      </c>
      <c r="H724" s="19">
        <v>45502</v>
      </c>
      <c r="I724" s="3" t="s">
        <v>78</v>
      </c>
      <c r="J724" s="3" t="s">
        <v>79</v>
      </c>
      <c r="K724" s="1">
        <v>352403281</v>
      </c>
      <c r="L724" s="6" t="s">
        <v>69</v>
      </c>
    </row>
    <row r="725" spans="1:12" customFormat="1" ht="14.4" x14ac:dyDescent="0.3">
      <c r="A725" s="1" t="s">
        <v>12</v>
      </c>
      <c r="B725" s="1" t="s">
        <v>13</v>
      </c>
      <c r="C725" s="2" t="s">
        <v>14</v>
      </c>
      <c r="D725" s="3" t="s">
        <v>149</v>
      </c>
      <c r="E725" s="18">
        <v>50100624324501</v>
      </c>
      <c r="F725" s="3" t="s">
        <v>150</v>
      </c>
      <c r="G725" s="3">
        <v>5250</v>
      </c>
      <c r="H725" s="19">
        <v>45502</v>
      </c>
      <c r="I725" s="3" t="s">
        <v>77</v>
      </c>
      <c r="J725" s="3" t="s">
        <v>29</v>
      </c>
      <c r="K725" s="1">
        <v>352403283</v>
      </c>
      <c r="L725" s="6" t="s">
        <v>69</v>
      </c>
    </row>
    <row r="726" spans="1:12" customFormat="1" ht="14.4" x14ac:dyDescent="0.3">
      <c r="A726" s="1" t="s">
        <v>12</v>
      </c>
      <c r="B726" s="1" t="s">
        <v>13</v>
      </c>
      <c r="C726" s="2" t="s">
        <v>14</v>
      </c>
      <c r="D726" s="1" t="s">
        <v>31</v>
      </c>
      <c r="E726" s="1" t="s">
        <v>32</v>
      </c>
      <c r="F726" s="1" t="s">
        <v>33</v>
      </c>
      <c r="G726" s="3">
        <v>7500</v>
      </c>
      <c r="H726" s="19">
        <v>45502</v>
      </c>
      <c r="I726" s="3" t="s">
        <v>93</v>
      </c>
      <c r="J726" s="3" t="s">
        <v>34</v>
      </c>
      <c r="K726" s="1">
        <v>352403282</v>
      </c>
      <c r="L726" s="6" t="s">
        <v>106</v>
      </c>
    </row>
    <row r="727" spans="1:12" customFormat="1" ht="14.4" x14ac:dyDescent="0.3">
      <c r="A727" s="1" t="s">
        <v>12</v>
      </c>
      <c r="B727" s="1" t="s">
        <v>13</v>
      </c>
      <c r="C727" s="2" t="s">
        <v>14</v>
      </c>
      <c r="D727" s="1" t="s">
        <v>36</v>
      </c>
      <c r="E727" s="1" t="s">
        <v>37</v>
      </c>
      <c r="F727" s="1" t="s">
        <v>38</v>
      </c>
      <c r="G727" s="3">
        <v>5250</v>
      </c>
      <c r="H727" s="19">
        <v>45502</v>
      </c>
      <c r="I727" s="3" t="s">
        <v>92</v>
      </c>
      <c r="J727" s="3" t="s">
        <v>40</v>
      </c>
      <c r="K727" s="1">
        <v>352403211</v>
      </c>
      <c r="L727" s="6" t="s">
        <v>69</v>
      </c>
    </row>
    <row r="728" spans="1:12" customFormat="1" ht="14.4" x14ac:dyDescent="0.3">
      <c r="A728" s="1" t="s">
        <v>12</v>
      </c>
      <c r="B728" s="1" t="s">
        <v>13</v>
      </c>
      <c r="C728" s="2" t="s">
        <v>14</v>
      </c>
      <c r="D728" s="1" t="s">
        <v>70</v>
      </c>
      <c r="E728" s="1" t="s">
        <v>71</v>
      </c>
      <c r="F728" s="1" t="s">
        <v>72</v>
      </c>
      <c r="G728" s="3">
        <v>5250</v>
      </c>
      <c r="H728" s="19">
        <v>45502</v>
      </c>
      <c r="I728" s="3" t="s">
        <v>83</v>
      </c>
      <c r="J728" s="3" t="s">
        <v>84</v>
      </c>
      <c r="K728" s="1">
        <v>352403210</v>
      </c>
      <c r="L728" s="6" t="s">
        <v>69</v>
      </c>
    </row>
    <row r="729" spans="1:12" s="25" customFormat="1" ht="14.4" x14ac:dyDescent="0.3">
      <c r="A729" s="22" t="s">
        <v>12</v>
      </c>
      <c r="B729" s="22" t="s">
        <v>13</v>
      </c>
      <c r="C729" s="22" t="s">
        <v>14</v>
      </c>
      <c r="D729" s="22" t="s">
        <v>183</v>
      </c>
      <c r="E729" s="22" t="s">
        <v>184</v>
      </c>
      <c r="F729" s="22" t="s">
        <v>185</v>
      </c>
      <c r="G729" s="23">
        <v>500</v>
      </c>
      <c r="H729" s="19">
        <v>45502</v>
      </c>
      <c r="I729" s="23" t="s">
        <v>186</v>
      </c>
      <c r="J729" s="23" t="s">
        <v>187</v>
      </c>
      <c r="K729" s="22">
        <v>352403278</v>
      </c>
      <c r="L729" s="24" t="s">
        <v>248</v>
      </c>
    </row>
    <row r="730" spans="1:12" s="25" customFormat="1" ht="14.4" x14ac:dyDescent="0.3">
      <c r="A730" s="22" t="s">
        <v>12</v>
      </c>
      <c r="B730" s="22" t="s">
        <v>13</v>
      </c>
      <c r="C730" s="22" t="s">
        <v>14</v>
      </c>
      <c r="D730" s="22" t="s">
        <v>215</v>
      </c>
      <c r="E730" s="22" t="s">
        <v>216</v>
      </c>
      <c r="F730" s="22" t="s">
        <v>33</v>
      </c>
      <c r="G730" s="23">
        <v>500</v>
      </c>
      <c r="H730" s="19">
        <v>45502</v>
      </c>
      <c r="I730" s="23" t="s">
        <v>155</v>
      </c>
      <c r="J730" s="23" t="s">
        <v>156</v>
      </c>
      <c r="K730" s="22">
        <v>352403279</v>
      </c>
      <c r="L730" s="24" t="s">
        <v>248</v>
      </c>
    </row>
    <row r="731" spans="1:12" s="25" customFormat="1" ht="14.4" x14ac:dyDescent="0.3">
      <c r="A731" s="22" t="s">
        <v>12</v>
      </c>
      <c r="B731" s="22" t="s">
        <v>13</v>
      </c>
      <c r="C731" s="22" t="s">
        <v>14</v>
      </c>
      <c r="D731" s="22" t="s">
        <v>173</v>
      </c>
      <c r="E731" s="22" t="s">
        <v>174</v>
      </c>
      <c r="F731" s="22" t="s">
        <v>33</v>
      </c>
      <c r="G731" s="23">
        <v>500</v>
      </c>
      <c r="H731" s="19">
        <v>45502</v>
      </c>
      <c r="I731" s="23" t="s">
        <v>175</v>
      </c>
      <c r="J731" s="23" t="s">
        <v>176</v>
      </c>
      <c r="K731" s="24">
        <v>352403280</v>
      </c>
      <c r="L731" s="24" t="s">
        <v>249</v>
      </c>
    </row>
    <row r="732" spans="1:12" s="25" customFormat="1" ht="14.4" x14ac:dyDescent="0.3">
      <c r="A732" s="22" t="s">
        <v>12</v>
      </c>
      <c r="B732" s="22" t="s">
        <v>13</v>
      </c>
      <c r="C732" s="22" t="s">
        <v>14</v>
      </c>
      <c r="D732" s="22" t="s">
        <v>193</v>
      </c>
      <c r="E732" s="22" t="s">
        <v>194</v>
      </c>
      <c r="F732" s="22" t="s">
        <v>195</v>
      </c>
      <c r="G732" s="23">
        <v>500</v>
      </c>
      <c r="H732" s="19">
        <v>45502</v>
      </c>
      <c r="I732" s="23" t="s">
        <v>125</v>
      </c>
      <c r="J732" s="23" t="s">
        <v>126</v>
      </c>
      <c r="K732" s="24">
        <v>352403284</v>
      </c>
      <c r="L732" s="24" t="s">
        <v>249</v>
      </c>
    </row>
    <row r="733" spans="1:12" s="25" customFormat="1" ht="14.4" x14ac:dyDescent="0.3">
      <c r="A733" s="22" t="s">
        <v>12</v>
      </c>
      <c r="B733" s="22" t="s">
        <v>13</v>
      </c>
      <c r="C733" s="22" t="s">
        <v>14</v>
      </c>
      <c r="D733" s="22" t="s">
        <v>215</v>
      </c>
      <c r="E733" s="22" t="s">
        <v>216</v>
      </c>
      <c r="F733" s="22" t="s">
        <v>33</v>
      </c>
      <c r="G733" s="23">
        <v>500</v>
      </c>
      <c r="H733" s="19">
        <v>45503</v>
      </c>
      <c r="I733" s="23" t="s">
        <v>155</v>
      </c>
      <c r="J733" s="23" t="s">
        <v>156</v>
      </c>
      <c r="K733" s="22">
        <v>352403313</v>
      </c>
      <c r="L733" s="24" t="s">
        <v>251</v>
      </c>
    </row>
    <row r="734" spans="1:12" s="25" customFormat="1" ht="14.4" x14ac:dyDescent="0.3">
      <c r="A734" s="22" t="s">
        <v>12</v>
      </c>
      <c r="B734" s="22" t="s">
        <v>13</v>
      </c>
      <c r="C734" s="22" t="s">
        <v>14</v>
      </c>
      <c r="D734" s="22" t="s">
        <v>215</v>
      </c>
      <c r="E734" s="22" t="s">
        <v>216</v>
      </c>
      <c r="F734" s="22" t="s">
        <v>33</v>
      </c>
      <c r="G734" s="23">
        <v>500</v>
      </c>
      <c r="H734" s="19">
        <v>45503</v>
      </c>
      <c r="I734" s="23" t="s">
        <v>155</v>
      </c>
      <c r="J734" s="23" t="s">
        <v>156</v>
      </c>
      <c r="K734" s="22">
        <v>352403327</v>
      </c>
      <c r="L734" s="24" t="s">
        <v>252</v>
      </c>
    </row>
    <row r="735" spans="1:12" customFormat="1" ht="14.4" x14ac:dyDescent="0.3">
      <c r="A735" s="1" t="s">
        <v>12</v>
      </c>
      <c r="B735" s="1" t="s">
        <v>13</v>
      </c>
      <c r="C735" s="2" t="s">
        <v>14</v>
      </c>
      <c r="D735" s="1" t="s">
        <v>41</v>
      </c>
      <c r="E735" s="1" t="s">
        <v>61</v>
      </c>
      <c r="F735" s="1" t="s">
        <v>62</v>
      </c>
      <c r="G735" s="3">
        <v>4000</v>
      </c>
      <c r="H735" s="19">
        <v>45503</v>
      </c>
      <c r="I735" s="3" t="s">
        <v>85</v>
      </c>
      <c r="J735" s="3" t="s">
        <v>19</v>
      </c>
      <c r="K735" s="1">
        <v>352403344</v>
      </c>
      <c r="L735" s="6" t="s">
        <v>20</v>
      </c>
    </row>
    <row r="736" spans="1:12" customFormat="1" ht="14.4" x14ac:dyDescent="0.3">
      <c r="A736" s="1" t="s">
        <v>12</v>
      </c>
      <c r="B736" s="1" t="s">
        <v>13</v>
      </c>
      <c r="C736" s="2" t="s">
        <v>14</v>
      </c>
      <c r="D736" s="1" t="s">
        <v>41</v>
      </c>
      <c r="E736" s="1" t="s">
        <v>42</v>
      </c>
      <c r="F736" s="1" t="s">
        <v>43</v>
      </c>
      <c r="G736" s="3">
        <v>4000</v>
      </c>
      <c r="H736" s="19">
        <v>45503</v>
      </c>
      <c r="I736" s="3" t="s">
        <v>87</v>
      </c>
      <c r="J736" s="3" t="s">
        <v>45</v>
      </c>
      <c r="K736" s="3">
        <v>352403329</v>
      </c>
      <c r="L736" s="3" t="s">
        <v>20</v>
      </c>
    </row>
    <row r="737" spans="1:12" customFormat="1" ht="14.4" x14ac:dyDescent="0.3">
      <c r="A737" s="1" t="s">
        <v>12</v>
      </c>
      <c r="B737" s="1" t="s">
        <v>13</v>
      </c>
      <c r="C737" s="2" t="s">
        <v>14</v>
      </c>
      <c r="D737" s="1" t="s">
        <v>64</v>
      </c>
      <c r="E737" s="1" t="s">
        <v>65</v>
      </c>
      <c r="F737" s="1" t="s">
        <v>66</v>
      </c>
      <c r="G737" s="3">
        <v>5250</v>
      </c>
      <c r="H737" s="19">
        <v>45503</v>
      </c>
      <c r="I737" s="3" t="s">
        <v>101</v>
      </c>
      <c r="J737" s="3" t="s">
        <v>68</v>
      </c>
      <c r="K737" s="1">
        <v>352403346</v>
      </c>
      <c r="L737" s="6" t="s">
        <v>69</v>
      </c>
    </row>
    <row r="738" spans="1:12" customFormat="1" ht="14.4" x14ac:dyDescent="0.3">
      <c r="A738" s="1" t="s">
        <v>12</v>
      </c>
      <c r="B738" s="1" t="s">
        <v>13</v>
      </c>
      <c r="C738" s="2" t="s">
        <v>14</v>
      </c>
      <c r="D738" s="1" t="s">
        <v>31</v>
      </c>
      <c r="E738" s="1" t="s">
        <v>32</v>
      </c>
      <c r="F738" s="1" t="s">
        <v>33</v>
      </c>
      <c r="G738" s="3">
        <v>7500</v>
      </c>
      <c r="H738" s="19">
        <v>45503</v>
      </c>
      <c r="I738" s="3" t="s">
        <v>78</v>
      </c>
      <c r="J738" s="3" t="s">
        <v>79</v>
      </c>
      <c r="K738" s="1">
        <v>352403338</v>
      </c>
      <c r="L738" s="6" t="s">
        <v>106</v>
      </c>
    </row>
    <row r="739" spans="1:12" customFormat="1" ht="14.4" x14ac:dyDescent="0.3">
      <c r="A739" s="1" t="s">
        <v>12</v>
      </c>
      <c r="B739" s="1" t="s">
        <v>13</v>
      </c>
      <c r="C739" s="2" t="s">
        <v>14</v>
      </c>
      <c r="D739" s="3" t="s">
        <v>149</v>
      </c>
      <c r="E739" s="18">
        <v>50100624324501</v>
      </c>
      <c r="F739" s="3" t="s">
        <v>150</v>
      </c>
      <c r="G739" s="3">
        <v>5250</v>
      </c>
      <c r="H739" s="19">
        <v>45503</v>
      </c>
      <c r="I739" s="3" t="s">
        <v>77</v>
      </c>
      <c r="J739" s="3" t="s">
        <v>29</v>
      </c>
      <c r="K739" s="1">
        <v>352403336</v>
      </c>
      <c r="L739" s="6" t="s">
        <v>69</v>
      </c>
    </row>
    <row r="740" spans="1:12" customFormat="1" ht="14.4" x14ac:dyDescent="0.3">
      <c r="A740" s="1" t="s">
        <v>12</v>
      </c>
      <c r="B740" s="1" t="s">
        <v>13</v>
      </c>
      <c r="C740" s="2" t="s">
        <v>14</v>
      </c>
      <c r="D740" s="1" t="s">
        <v>31</v>
      </c>
      <c r="E740" s="1" t="s">
        <v>32</v>
      </c>
      <c r="F740" s="1" t="s">
        <v>33</v>
      </c>
      <c r="G740" s="3">
        <v>5250</v>
      </c>
      <c r="H740" s="19">
        <v>45503</v>
      </c>
      <c r="I740" s="3" t="s">
        <v>93</v>
      </c>
      <c r="J740" s="3" t="s">
        <v>34</v>
      </c>
      <c r="K740" s="1">
        <v>352403347</v>
      </c>
      <c r="L740" s="6" t="s">
        <v>69</v>
      </c>
    </row>
    <row r="741" spans="1:12" customFormat="1" ht="14.4" x14ac:dyDescent="0.3">
      <c r="A741" s="1" t="s">
        <v>12</v>
      </c>
      <c r="B741" s="1" t="s">
        <v>13</v>
      </c>
      <c r="C741" s="2" t="s">
        <v>14</v>
      </c>
      <c r="D741" s="1" t="s">
        <v>36</v>
      </c>
      <c r="E741" s="1" t="s">
        <v>37</v>
      </c>
      <c r="F741" s="1" t="s">
        <v>38</v>
      </c>
      <c r="G741" s="3">
        <v>7500</v>
      </c>
      <c r="H741" s="19">
        <v>45503</v>
      </c>
      <c r="I741" s="3" t="s">
        <v>92</v>
      </c>
      <c r="J741" s="3" t="s">
        <v>40</v>
      </c>
      <c r="K741" s="1">
        <v>352403331</v>
      </c>
      <c r="L741" s="6" t="s">
        <v>106</v>
      </c>
    </row>
    <row r="742" spans="1:12" customFormat="1" ht="14.4" x14ac:dyDescent="0.3">
      <c r="A742" s="1" t="s">
        <v>12</v>
      </c>
      <c r="B742" s="1" t="s">
        <v>13</v>
      </c>
      <c r="C742" s="2" t="s">
        <v>14</v>
      </c>
      <c r="D742" s="1" t="s">
        <v>70</v>
      </c>
      <c r="E742" s="1" t="s">
        <v>71</v>
      </c>
      <c r="F742" s="1" t="s">
        <v>72</v>
      </c>
      <c r="G742" s="3">
        <v>4750</v>
      </c>
      <c r="H742" s="19">
        <v>45503</v>
      </c>
      <c r="I742" s="3" t="s">
        <v>83</v>
      </c>
      <c r="J742" s="3" t="s">
        <v>84</v>
      </c>
      <c r="K742" s="1">
        <v>352403345</v>
      </c>
      <c r="L742" s="6" t="s">
        <v>24</v>
      </c>
    </row>
    <row r="743" spans="1:12" x14ac:dyDescent="0.25">
      <c r="A743" s="30" t="s">
        <v>12</v>
      </c>
      <c r="B743" s="30" t="s">
        <v>13</v>
      </c>
      <c r="C743" s="30" t="s">
        <v>14</v>
      </c>
      <c r="D743" s="30" t="s">
        <v>144</v>
      </c>
      <c r="E743" s="39">
        <v>42542201947</v>
      </c>
      <c r="F743" s="30" t="s">
        <v>145</v>
      </c>
      <c r="G743" s="32">
        <v>6000</v>
      </c>
      <c r="H743" s="75">
        <v>45503</v>
      </c>
      <c r="I743" s="32" t="s">
        <v>146</v>
      </c>
      <c r="J743" s="32" t="s">
        <v>147</v>
      </c>
      <c r="K743" s="30">
        <v>352403251</v>
      </c>
      <c r="L743" s="35" t="s">
        <v>253</v>
      </c>
    </row>
    <row r="744" spans="1:12" customFormat="1" ht="14.4" x14ac:dyDescent="0.3">
      <c r="A744" s="1" t="s">
        <v>12</v>
      </c>
      <c r="B744" s="1" t="s">
        <v>13</v>
      </c>
      <c r="C744" s="2" t="s">
        <v>14</v>
      </c>
      <c r="D744" s="1" t="s">
        <v>48</v>
      </c>
      <c r="E744" s="1" t="s">
        <v>49</v>
      </c>
      <c r="F744" s="1" t="s">
        <v>50</v>
      </c>
      <c r="G744" s="3">
        <v>5000</v>
      </c>
      <c r="H744" s="19">
        <v>45503</v>
      </c>
      <c r="I744" s="3" t="s">
        <v>117</v>
      </c>
      <c r="J744" s="3" t="s">
        <v>118</v>
      </c>
      <c r="K744" s="1">
        <v>352403326</v>
      </c>
      <c r="L744" s="6" t="s">
        <v>35</v>
      </c>
    </row>
    <row r="745" spans="1:12" x14ac:dyDescent="0.25">
      <c r="A745" s="30" t="s">
        <v>12</v>
      </c>
      <c r="B745" s="30" t="s">
        <v>13</v>
      </c>
      <c r="C745" s="30" t="s">
        <v>14</v>
      </c>
      <c r="D745" s="30" t="s">
        <v>144</v>
      </c>
      <c r="E745" s="39">
        <v>42542201947</v>
      </c>
      <c r="F745" s="30" t="s">
        <v>145</v>
      </c>
      <c r="G745" s="32">
        <v>6000</v>
      </c>
      <c r="H745" s="75">
        <v>45503</v>
      </c>
      <c r="I745" s="32" t="s">
        <v>146</v>
      </c>
      <c r="J745" s="32" t="s">
        <v>147</v>
      </c>
      <c r="K745" s="30">
        <v>352403251</v>
      </c>
      <c r="L745" s="35" t="s">
        <v>30</v>
      </c>
    </row>
    <row r="746" spans="1:12" customFormat="1" ht="14.4" x14ac:dyDescent="0.3">
      <c r="A746" s="1" t="s">
        <v>12</v>
      </c>
      <c r="B746" s="1" t="s">
        <v>13</v>
      </c>
      <c r="C746" s="2" t="s">
        <v>14</v>
      </c>
      <c r="D746" s="1" t="s">
        <v>70</v>
      </c>
      <c r="E746" s="1" t="s">
        <v>71</v>
      </c>
      <c r="F746" s="1" t="s">
        <v>72</v>
      </c>
      <c r="G746" s="3">
        <v>2000</v>
      </c>
      <c r="H746" s="19">
        <v>45503</v>
      </c>
      <c r="I746" s="3" t="s">
        <v>83</v>
      </c>
      <c r="J746" s="3" t="s">
        <v>84</v>
      </c>
      <c r="K746" s="1">
        <v>352403345</v>
      </c>
      <c r="L746" s="6" t="s">
        <v>107</v>
      </c>
    </row>
    <row r="747" spans="1:12" s="25" customFormat="1" ht="14.4" x14ac:dyDescent="0.3">
      <c r="A747" s="22" t="s">
        <v>12</v>
      </c>
      <c r="B747" s="22" t="s">
        <v>13</v>
      </c>
      <c r="C747" s="22" t="s">
        <v>14</v>
      </c>
      <c r="D747" s="22" t="s">
        <v>215</v>
      </c>
      <c r="E747" s="22" t="s">
        <v>216</v>
      </c>
      <c r="F747" s="22" t="s">
        <v>33</v>
      </c>
      <c r="G747" s="23">
        <v>500</v>
      </c>
      <c r="H747" s="19">
        <v>45503</v>
      </c>
      <c r="I747" s="23" t="s">
        <v>155</v>
      </c>
      <c r="J747" s="23" t="s">
        <v>156</v>
      </c>
      <c r="K747" s="22">
        <v>352403351</v>
      </c>
      <c r="L747" s="24" t="s">
        <v>254</v>
      </c>
    </row>
    <row r="748" spans="1:12" customFormat="1" ht="14.4" x14ac:dyDescent="0.3">
      <c r="A748" s="1" t="s">
        <v>12</v>
      </c>
      <c r="B748" s="1" t="s">
        <v>13</v>
      </c>
      <c r="C748" s="2" t="s">
        <v>14</v>
      </c>
      <c r="D748" s="1" t="s">
        <v>41</v>
      </c>
      <c r="E748" s="1" t="s">
        <v>42</v>
      </c>
      <c r="F748" s="1" t="s">
        <v>43</v>
      </c>
      <c r="G748" s="3">
        <v>2000</v>
      </c>
      <c r="H748" s="19">
        <v>45504</v>
      </c>
      <c r="I748" s="3" t="s">
        <v>87</v>
      </c>
      <c r="J748" s="3" t="s">
        <v>45</v>
      </c>
      <c r="K748" s="3">
        <v>352403353</v>
      </c>
      <c r="L748" s="3" t="s">
        <v>46</v>
      </c>
    </row>
    <row r="749" spans="1:12" s="25" customFormat="1" ht="14.4" x14ac:dyDescent="0.3">
      <c r="A749" s="22" t="s">
        <v>12</v>
      </c>
      <c r="B749" s="22" t="s">
        <v>13</v>
      </c>
      <c r="C749" s="22" t="s">
        <v>14</v>
      </c>
      <c r="D749" s="22" t="s">
        <v>215</v>
      </c>
      <c r="E749" s="22" t="s">
        <v>216</v>
      </c>
      <c r="F749" s="22" t="s">
        <v>33</v>
      </c>
      <c r="G749" s="23">
        <v>500</v>
      </c>
      <c r="H749" s="19">
        <v>45504</v>
      </c>
      <c r="I749" s="23" t="s">
        <v>155</v>
      </c>
      <c r="J749" s="23" t="s">
        <v>156</v>
      </c>
      <c r="K749" s="22">
        <v>352403361</v>
      </c>
      <c r="L749" s="24" t="s">
        <v>255</v>
      </c>
    </row>
    <row r="750" spans="1:12" customFormat="1" ht="14.4" x14ac:dyDescent="0.3">
      <c r="A750" s="1" t="s">
        <v>12</v>
      </c>
      <c r="B750" s="1" t="s">
        <v>13</v>
      </c>
      <c r="C750" s="2" t="s">
        <v>14</v>
      </c>
      <c r="D750" s="1" t="s">
        <v>31</v>
      </c>
      <c r="E750" s="1" t="s">
        <v>32</v>
      </c>
      <c r="F750" s="1" t="s">
        <v>33</v>
      </c>
      <c r="G750" s="3">
        <v>5250</v>
      </c>
      <c r="H750" s="19">
        <v>45504</v>
      </c>
      <c r="I750" s="3" t="s">
        <v>78</v>
      </c>
      <c r="J750" s="3" t="s">
        <v>79</v>
      </c>
      <c r="K750" s="1">
        <v>352403363</v>
      </c>
      <c r="L750" s="6" t="s">
        <v>69</v>
      </c>
    </row>
    <row r="751" spans="1:12" customFormat="1" ht="14.4" x14ac:dyDescent="0.3">
      <c r="A751" s="1" t="s">
        <v>12</v>
      </c>
      <c r="B751" s="1" t="s">
        <v>13</v>
      </c>
      <c r="C751" s="2" t="s">
        <v>14</v>
      </c>
      <c r="D751" s="3" t="s">
        <v>149</v>
      </c>
      <c r="E751" s="18">
        <v>50100624324501</v>
      </c>
      <c r="F751" s="3" t="s">
        <v>150</v>
      </c>
      <c r="G751" s="3">
        <v>7500</v>
      </c>
      <c r="H751" s="19">
        <v>45504</v>
      </c>
      <c r="I751" s="3" t="s">
        <v>77</v>
      </c>
      <c r="J751" s="3" t="s">
        <v>29</v>
      </c>
      <c r="K751" s="1">
        <v>352403369</v>
      </c>
      <c r="L751" s="6" t="s">
        <v>106</v>
      </c>
    </row>
    <row r="752" spans="1:12" customFormat="1" ht="14.4" x14ac:dyDescent="0.3">
      <c r="A752" s="1" t="s">
        <v>12</v>
      </c>
      <c r="B752" s="1" t="s">
        <v>13</v>
      </c>
      <c r="C752" s="2" t="s">
        <v>14</v>
      </c>
      <c r="D752" s="1" t="s">
        <v>31</v>
      </c>
      <c r="E752" s="1" t="s">
        <v>32</v>
      </c>
      <c r="F752" s="1" t="s">
        <v>33</v>
      </c>
      <c r="G752" s="3">
        <v>5250</v>
      </c>
      <c r="H752" s="19">
        <v>45504</v>
      </c>
      <c r="I752" s="3" t="s">
        <v>93</v>
      </c>
      <c r="J752" s="3" t="s">
        <v>34</v>
      </c>
      <c r="K752" s="1">
        <v>352403371</v>
      </c>
      <c r="L752" s="6" t="s">
        <v>69</v>
      </c>
    </row>
    <row r="753" spans="1:12" customFormat="1" ht="14.4" x14ac:dyDescent="0.3">
      <c r="A753" s="1" t="s">
        <v>12</v>
      </c>
      <c r="B753" s="1" t="s">
        <v>13</v>
      </c>
      <c r="C753" s="2" t="s">
        <v>14</v>
      </c>
      <c r="D753" s="1" t="s">
        <v>36</v>
      </c>
      <c r="E753" s="1" t="s">
        <v>37</v>
      </c>
      <c r="F753" s="1" t="s">
        <v>38</v>
      </c>
      <c r="G753" s="3">
        <v>5250</v>
      </c>
      <c r="H753" s="19">
        <v>45504</v>
      </c>
      <c r="I753" s="3" t="s">
        <v>92</v>
      </c>
      <c r="J753" s="3" t="s">
        <v>40</v>
      </c>
      <c r="K753" s="1">
        <v>352403365</v>
      </c>
      <c r="L753" s="6" t="s">
        <v>69</v>
      </c>
    </row>
    <row r="754" spans="1:12" customFormat="1" ht="14.4" x14ac:dyDescent="0.3">
      <c r="A754" s="1" t="s">
        <v>12</v>
      </c>
      <c r="B754" s="1" t="s">
        <v>13</v>
      </c>
      <c r="C754" s="2" t="s">
        <v>14</v>
      </c>
      <c r="D754" s="1" t="s">
        <v>70</v>
      </c>
      <c r="E754" s="1" t="s">
        <v>71</v>
      </c>
      <c r="F754" s="1" t="s">
        <v>72</v>
      </c>
      <c r="G754" s="3">
        <v>5250</v>
      </c>
      <c r="H754" s="19">
        <v>45504</v>
      </c>
      <c r="I754" s="3" t="s">
        <v>83</v>
      </c>
      <c r="J754" s="3" t="s">
        <v>84</v>
      </c>
      <c r="K754" s="1">
        <v>352403364</v>
      </c>
      <c r="L754" s="6" t="s">
        <v>69</v>
      </c>
    </row>
    <row r="755" spans="1:12" s="25" customFormat="1" ht="14.4" x14ac:dyDescent="0.3">
      <c r="A755" s="22" t="s">
        <v>12</v>
      </c>
      <c r="B755" s="22" t="s">
        <v>13</v>
      </c>
      <c r="C755" s="22" t="s">
        <v>14</v>
      </c>
      <c r="D755" s="22" t="s">
        <v>215</v>
      </c>
      <c r="E755" s="22" t="s">
        <v>216</v>
      </c>
      <c r="F755" s="22" t="s">
        <v>33</v>
      </c>
      <c r="G755" s="23">
        <v>500</v>
      </c>
      <c r="H755" s="19">
        <v>45504</v>
      </c>
      <c r="I755" s="23" t="s">
        <v>155</v>
      </c>
      <c r="J755" s="23" t="s">
        <v>156</v>
      </c>
      <c r="K755" s="22">
        <v>352403390</v>
      </c>
      <c r="L755" s="24" t="s">
        <v>256</v>
      </c>
    </row>
    <row r="756" spans="1:12" customFormat="1" ht="14.4" x14ac:dyDescent="0.3">
      <c r="A756" s="1" t="s">
        <v>12</v>
      </c>
      <c r="B756" s="1" t="s">
        <v>13</v>
      </c>
      <c r="C756" s="2" t="s">
        <v>14</v>
      </c>
      <c r="D756" s="1" t="s">
        <v>41</v>
      </c>
      <c r="E756" s="1" t="s">
        <v>61</v>
      </c>
      <c r="F756" s="1" t="s">
        <v>62</v>
      </c>
      <c r="G756" s="3">
        <v>4000</v>
      </c>
      <c r="H756" s="19">
        <v>45504</v>
      </c>
      <c r="I756" s="3" t="s">
        <v>85</v>
      </c>
      <c r="J756" s="3" t="s">
        <v>19</v>
      </c>
      <c r="K756" s="1">
        <v>352403344</v>
      </c>
      <c r="L756" s="6" t="s">
        <v>20</v>
      </c>
    </row>
    <row r="757" spans="1:12" customFormat="1" ht="14.4" x14ac:dyDescent="0.3">
      <c r="A757" s="1" t="s">
        <v>12</v>
      </c>
      <c r="B757" s="1" t="s">
        <v>13</v>
      </c>
      <c r="C757" s="2" t="s">
        <v>14</v>
      </c>
      <c r="D757" s="1" t="s">
        <v>41</v>
      </c>
      <c r="E757" s="1" t="s">
        <v>42</v>
      </c>
      <c r="F757" s="1" t="s">
        <v>43</v>
      </c>
      <c r="G757" s="3">
        <v>4000</v>
      </c>
      <c r="H757" s="19">
        <v>45504</v>
      </c>
      <c r="I757" s="3" t="s">
        <v>87</v>
      </c>
      <c r="J757" s="3" t="s">
        <v>45</v>
      </c>
      <c r="K757" s="3">
        <v>352403353</v>
      </c>
      <c r="L757" s="3" t="s">
        <v>20</v>
      </c>
    </row>
    <row r="758" spans="1:12" x14ac:dyDescent="0.25">
      <c r="A758" s="30" t="s">
        <v>12</v>
      </c>
      <c r="B758" s="30" t="s">
        <v>13</v>
      </c>
      <c r="C758" s="30" t="s">
        <v>14</v>
      </c>
      <c r="D758" s="30" t="s">
        <v>144</v>
      </c>
      <c r="E758" s="39">
        <v>42542201947</v>
      </c>
      <c r="F758" s="30" t="s">
        <v>145</v>
      </c>
      <c r="G758" s="32">
        <v>5000</v>
      </c>
      <c r="H758" s="75">
        <v>45504</v>
      </c>
      <c r="I758" s="32" t="s">
        <v>146</v>
      </c>
      <c r="J758" s="32" t="s">
        <v>147</v>
      </c>
      <c r="K758" s="30">
        <v>352403378</v>
      </c>
      <c r="L758" s="35" t="s">
        <v>131</v>
      </c>
    </row>
    <row r="759" spans="1:12" customFormat="1" ht="14.4" x14ac:dyDescent="0.3">
      <c r="A759" s="1" t="s">
        <v>12</v>
      </c>
      <c r="B759" s="1" t="s">
        <v>13</v>
      </c>
      <c r="C759" s="2" t="s">
        <v>14</v>
      </c>
      <c r="D759" s="1" t="s">
        <v>64</v>
      </c>
      <c r="E759" s="1" t="s">
        <v>65</v>
      </c>
      <c r="F759" s="1" t="s">
        <v>66</v>
      </c>
      <c r="G759" s="3">
        <v>4750</v>
      </c>
      <c r="H759" s="19">
        <v>45504</v>
      </c>
      <c r="I759" s="3" t="s">
        <v>101</v>
      </c>
      <c r="J759" s="3" t="s">
        <v>68</v>
      </c>
      <c r="K759" s="1">
        <v>352403376</v>
      </c>
      <c r="L759" s="6" t="s">
        <v>139</v>
      </c>
    </row>
    <row r="760" spans="1:12" customFormat="1" ht="14.4" x14ac:dyDescent="0.3">
      <c r="A760" s="1" t="s">
        <v>12</v>
      </c>
      <c r="B760" s="1" t="s">
        <v>13</v>
      </c>
      <c r="C760" s="2" t="s">
        <v>14</v>
      </c>
      <c r="D760" s="1" t="s">
        <v>48</v>
      </c>
      <c r="E760" s="1" t="s">
        <v>49</v>
      </c>
      <c r="F760" s="1" t="s">
        <v>50</v>
      </c>
      <c r="G760" s="3">
        <v>5500</v>
      </c>
      <c r="H760" s="19">
        <v>45504</v>
      </c>
      <c r="I760" s="3" t="s">
        <v>117</v>
      </c>
      <c r="J760" s="3" t="s">
        <v>118</v>
      </c>
      <c r="K760" s="1">
        <v>352403384</v>
      </c>
      <c r="L760" s="6" t="s">
        <v>107</v>
      </c>
    </row>
    <row r="761" spans="1:12" customFormat="1" ht="14.4" x14ac:dyDescent="0.3">
      <c r="A761" s="1" t="s">
        <v>12</v>
      </c>
      <c r="B761" s="1" t="s">
        <v>13</v>
      </c>
      <c r="C761" s="2" t="s">
        <v>14</v>
      </c>
      <c r="D761" s="1" t="s">
        <v>257</v>
      </c>
      <c r="E761" s="7" t="s">
        <v>258</v>
      </c>
      <c r="F761" s="7" t="s">
        <v>33</v>
      </c>
      <c r="G761" s="3">
        <v>500</v>
      </c>
      <c r="H761" s="19">
        <v>45504</v>
      </c>
      <c r="I761" s="3" t="s">
        <v>88</v>
      </c>
      <c r="J761" s="3" t="s">
        <v>59</v>
      </c>
      <c r="K761" s="6">
        <v>352403178</v>
      </c>
      <c r="L761" s="6" t="s">
        <v>69</v>
      </c>
    </row>
    <row r="762" spans="1:12" s="25" customFormat="1" ht="14.4" x14ac:dyDescent="0.3">
      <c r="A762" s="22" t="s">
        <v>12</v>
      </c>
      <c r="B762" s="22" t="s">
        <v>13</v>
      </c>
      <c r="C762" s="22" t="s">
        <v>14</v>
      </c>
      <c r="D762" s="22" t="s">
        <v>183</v>
      </c>
      <c r="E762" s="22" t="s">
        <v>184</v>
      </c>
      <c r="F762" s="22" t="s">
        <v>185</v>
      </c>
      <c r="G762" s="23">
        <v>500</v>
      </c>
      <c r="H762" s="19">
        <v>45505</v>
      </c>
      <c r="I762" s="23" t="s">
        <v>186</v>
      </c>
      <c r="J762" s="23" t="s">
        <v>187</v>
      </c>
      <c r="K762" s="22">
        <v>352403400</v>
      </c>
      <c r="L762" s="24" t="s">
        <v>259</v>
      </c>
    </row>
    <row r="763" spans="1:12" s="25" customFormat="1" ht="14.4" x14ac:dyDescent="0.3">
      <c r="A763" s="22" t="s">
        <v>12</v>
      </c>
      <c r="B763" s="22" t="s">
        <v>13</v>
      </c>
      <c r="C763" s="22" t="s">
        <v>14</v>
      </c>
      <c r="D763" s="22" t="s">
        <v>215</v>
      </c>
      <c r="E763" s="22" t="s">
        <v>216</v>
      </c>
      <c r="F763" s="22" t="s">
        <v>33</v>
      </c>
      <c r="G763" s="23">
        <v>500</v>
      </c>
      <c r="H763" s="19">
        <v>45505</v>
      </c>
      <c r="I763" s="23" t="s">
        <v>155</v>
      </c>
      <c r="J763" s="23" t="s">
        <v>156</v>
      </c>
      <c r="K763" s="22">
        <v>352403403</v>
      </c>
      <c r="L763" s="24" t="s">
        <v>259</v>
      </c>
    </row>
    <row r="764" spans="1:12" customFormat="1" ht="14.4" x14ac:dyDescent="0.3">
      <c r="A764" s="1" t="s">
        <v>12</v>
      </c>
      <c r="B764" s="1" t="s">
        <v>13</v>
      </c>
      <c r="C764" s="2" t="s">
        <v>14</v>
      </c>
      <c r="D764" s="1" t="s">
        <v>41</v>
      </c>
      <c r="E764" s="1" t="s">
        <v>61</v>
      </c>
      <c r="F764" s="1" t="s">
        <v>62</v>
      </c>
      <c r="G764" s="3">
        <v>900</v>
      </c>
      <c r="H764" s="19">
        <v>45505</v>
      </c>
      <c r="I764" s="3" t="s">
        <v>85</v>
      </c>
      <c r="J764" s="3" t="s">
        <v>19</v>
      </c>
      <c r="K764" s="1">
        <v>352403315</v>
      </c>
      <c r="L764" s="6" t="s">
        <v>260</v>
      </c>
    </row>
    <row r="765" spans="1:12" customFormat="1" ht="14.4" x14ac:dyDescent="0.3">
      <c r="A765" s="1" t="s">
        <v>12</v>
      </c>
      <c r="B765" s="1" t="s">
        <v>13</v>
      </c>
      <c r="C765" s="2" t="s">
        <v>14</v>
      </c>
      <c r="D765" s="1" t="s">
        <v>31</v>
      </c>
      <c r="E765" s="1" t="s">
        <v>32</v>
      </c>
      <c r="F765" s="1" t="s">
        <v>33</v>
      </c>
      <c r="G765" s="3">
        <v>5250</v>
      </c>
      <c r="H765" s="19">
        <v>45505</v>
      </c>
      <c r="I765" s="3" t="s">
        <v>78</v>
      </c>
      <c r="J765" s="3" t="s">
        <v>79</v>
      </c>
      <c r="K765" s="1">
        <v>352403409</v>
      </c>
      <c r="L765" s="6" t="s">
        <v>69</v>
      </c>
    </row>
    <row r="766" spans="1:12" customFormat="1" ht="14.4" x14ac:dyDescent="0.3">
      <c r="A766" s="1" t="s">
        <v>12</v>
      </c>
      <c r="B766" s="1" t="s">
        <v>13</v>
      </c>
      <c r="C766" s="2" t="s">
        <v>14</v>
      </c>
      <c r="D766" s="1" t="s">
        <v>257</v>
      </c>
      <c r="E766" s="7" t="s">
        <v>258</v>
      </c>
      <c r="F766" s="7" t="s">
        <v>33</v>
      </c>
      <c r="G766" s="3">
        <v>5250</v>
      </c>
      <c r="H766" s="19">
        <v>45505</v>
      </c>
      <c r="I766" s="3" t="s">
        <v>88</v>
      </c>
      <c r="J766" s="3" t="s">
        <v>59</v>
      </c>
      <c r="K766" s="1">
        <v>352403419</v>
      </c>
      <c r="L766" s="6" t="s">
        <v>69</v>
      </c>
    </row>
    <row r="767" spans="1:12" customFormat="1" ht="14.4" x14ac:dyDescent="0.3">
      <c r="A767" s="1" t="s">
        <v>12</v>
      </c>
      <c r="B767" s="1" t="s">
        <v>13</v>
      </c>
      <c r="C767" s="2" t="s">
        <v>14</v>
      </c>
      <c r="D767" s="3" t="s">
        <v>149</v>
      </c>
      <c r="E767" s="18">
        <v>50100624324501</v>
      </c>
      <c r="F767" s="3" t="s">
        <v>150</v>
      </c>
      <c r="G767" s="3">
        <v>5250</v>
      </c>
      <c r="H767" s="19">
        <v>45505</v>
      </c>
      <c r="I767" s="3" t="s">
        <v>77</v>
      </c>
      <c r="J767" s="3" t="s">
        <v>29</v>
      </c>
      <c r="K767" s="1">
        <v>352403413</v>
      </c>
      <c r="L767" s="6" t="s">
        <v>69</v>
      </c>
    </row>
    <row r="768" spans="1:12" customFormat="1" ht="14.4" x14ac:dyDescent="0.3">
      <c r="A768" s="1" t="s">
        <v>12</v>
      </c>
      <c r="B768" s="1" t="s">
        <v>13</v>
      </c>
      <c r="C768" s="2" t="s">
        <v>14</v>
      </c>
      <c r="D768" s="1" t="s">
        <v>31</v>
      </c>
      <c r="E768" s="1" t="s">
        <v>32</v>
      </c>
      <c r="F768" s="1" t="s">
        <v>33</v>
      </c>
      <c r="G768" s="3">
        <v>5250</v>
      </c>
      <c r="H768" s="19">
        <v>45505</v>
      </c>
      <c r="I768" s="3" t="s">
        <v>93</v>
      </c>
      <c r="J768" s="3" t="s">
        <v>34</v>
      </c>
      <c r="K768" s="1">
        <v>352403411</v>
      </c>
      <c r="L768" s="6" t="s">
        <v>69</v>
      </c>
    </row>
    <row r="769" spans="1:12" customFormat="1" ht="14.4" x14ac:dyDescent="0.3">
      <c r="A769" s="1" t="s">
        <v>12</v>
      </c>
      <c r="B769" s="1" t="s">
        <v>13</v>
      </c>
      <c r="C769" s="2" t="s">
        <v>14</v>
      </c>
      <c r="D769" s="1" t="s">
        <v>36</v>
      </c>
      <c r="E769" s="1" t="s">
        <v>37</v>
      </c>
      <c r="F769" s="1" t="s">
        <v>38</v>
      </c>
      <c r="G769" s="3">
        <v>5250</v>
      </c>
      <c r="H769" s="19">
        <v>45505</v>
      </c>
      <c r="I769" s="3" t="s">
        <v>92</v>
      </c>
      <c r="J769" s="3" t="s">
        <v>40</v>
      </c>
      <c r="K769" s="1">
        <v>352403407</v>
      </c>
      <c r="L769" s="6" t="s">
        <v>69</v>
      </c>
    </row>
    <row r="770" spans="1:12" x14ac:dyDescent="0.25">
      <c r="A770" s="30" t="s">
        <v>12</v>
      </c>
      <c r="B770" s="30" t="s">
        <v>13</v>
      </c>
      <c r="C770" s="30" t="s">
        <v>14</v>
      </c>
      <c r="D770" s="30" t="s">
        <v>144</v>
      </c>
      <c r="E770" s="39">
        <v>42542201947</v>
      </c>
      <c r="F770" s="30" t="s">
        <v>145</v>
      </c>
      <c r="G770" s="32">
        <v>5000</v>
      </c>
      <c r="H770" s="75">
        <v>45505</v>
      </c>
      <c r="I770" s="32" t="s">
        <v>146</v>
      </c>
      <c r="J770" s="32" t="s">
        <v>147</v>
      </c>
      <c r="K770" s="32">
        <v>352403412</v>
      </c>
      <c r="L770" s="32" t="s">
        <v>35</v>
      </c>
    </row>
    <row r="771" spans="1:12" s="25" customFormat="1" ht="14.4" x14ac:dyDescent="0.3">
      <c r="A771" s="22" t="s">
        <v>12</v>
      </c>
      <c r="B771" s="22" t="s">
        <v>13</v>
      </c>
      <c r="C771" s="22" t="s">
        <v>14</v>
      </c>
      <c r="D771" s="22" t="s">
        <v>215</v>
      </c>
      <c r="E771" s="22" t="s">
        <v>216</v>
      </c>
      <c r="F771" s="22" t="s">
        <v>33</v>
      </c>
      <c r="G771" s="23">
        <v>500</v>
      </c>
      <c r="H771" s="19">
        <v>45505</v>
      </c>
      <c r="I771" s="23" t="s">
        <v>155</v>
      </c>
      <c r="J771" s="23" t="s">
        <v>156</v>
      </c>
      <c r="K771" s="22">
        <v>352403424</v>
      </c>
      <c r="L771" s="24" t="s">
        <v>261</v>
      </c>
    </row>
    <row r="772" spans="1:12" s="25" customFormat="1" ht="14.4" x14ac:dyDescent="0.3">
      <c r="A772" s="22" t="s">
        <v>12</v>
      </c>
      <c r="B772" s="22" t="s">
        <v>13</v>
      </c>
      <c r="C772" s="22" t="s">
        <v>14</v>
      </c>
      <c r="D772" s="22" t="s">
        <v>215</v>
      </c>
      <c r="E772" s="22" t="s">
        <v>216</v>
      </c>
      <c r="F772" s="22" t="s">
        <v>33</v>
      </c>
      <c r="G772" s="23">
        <v>500</v>
      </c>
      <c r="H772" s="19">
        <v>45506</v>
      </c>
      <c r="I772" s="23" t="s">
        <v>155</v>
      </c>
      <c r="J772" s="23" t="s">
        <v>156</v>
      </c>
      <c r="K772" s="22">
        <v>352403446</v>
      </c>
      <c r="L772" s="24" t="s">
        <v>262</v>
      </c>
    </row>
    <row r="773" spans="1:12" customFormat="1" ht="14.4" x14ac:dyDescent="0.3">
      <c r="A773" s="1" t="s">
        <v>12</v>
      </c>
      <c r="B773" s="1" t="s">
        <v>13</v>
      </c>
      <c r="C773" s="2" t="s">
        <v>14</v>
      </c>
      <c r="D773" s="1" t="s">
        <v>41</v>
      </c>
      <c r="E773" s="1" t="s">
        <v>61</v>
      </c>
      <c r="F773" s="1" t="s">
        <v>62</v>
      </c>
      <c r="G773" s="3">
        <v>1200</v>
      </c>
      <c r="H773" s="19">
        <v>45506</v>
      </c>
      <c r="I773" s="3" t="s">
        <v>204</v>
      </c>
      <c r="J773" s="3" t="s">
        <v>205</v>
      </c>
      <c r="K773" s="1">
        <v>352403458</v>
      </c>
      <c r="L773" s="6" t="s">
        <v>263</v>
      </c>
    </row>
    <row r="774" spans="1:12" customFormat="1" ht="14.4" x14ac:dyDescent="0.3">
      <c r="A774" s="1" t="s">
        <v>12</v>
      </c>
      <c r="B774" s="1" t="s">
        <v>13</v>
      </c>
      <c r="C774" s="2" t="s">
        <v>14</v>
      </c>
      <c r="D774" s="1" t="s">
        <v>41</v>
      </c>
      <c r="E774" s="1" t="s">
        <v>42</v>
      </c>
      <c r="F774" s="1" t="s">
        <v>43</v>
      </c>
      <c r="G774" s="3">
        <v>4000</v>
      </c>
      <c r="H774" s="19">
        <v>45506</v>
      </c>
      <c r="I774" s="3" t="s">
        <v>87</v>
      </c>
      <c r="J774" s="3" t="s">
        <v>45</v>
      </c>
      <c r="K774" s="3">
        <v>352403459</v>
      </c>
      <c r="L774" s="3" t="s">
        <v>60</v>
      </c>
    </row>
    <row r="775" spans="1:12" customFormat="1" ht="14.4" x14ac:dyDescent="0.3">
      <c r="A775" s="1" t="s">
        <v>12</v>
      </c>
      <c r="B775" s="1" t="s">
        <v>13</v>
      </c>
      <c r="C775" s="2" t="s">
        <v>14</v>
      </c>
      <c r="D775" s="1" t="s">
        <v>70</v>
      </c>
      <c r="E775" s="1" t="s">
        <v>71</v>
      </c>
      <c r="F775" s="1" t="s">
        <v>72</v>
      </c>
      <c r="G775" s="3">
        <v>5250</v>
      </c>
      <c r="H775" s="19">
        <v>45506</v>
      </c>
      <c r="I775" s="3" t="s">
        <v>83</v>
      </c>
      <c r="J775" s="3" t="s">
        <v>84</v>
      </c>
      <c r="K775" s="1">
        <v>352403408</v>
      </c>
      <c r="L775" s="6" t="s">
        <v>69</v>
      </c>
    </row>
    <row r="776" spans="1:12" customFormat="1" ht="14.4" x14ac:dyDescent="0.3">
      <c r="A776" s="1" t="s">
        <v>12</v>
      </c>
      <c r="B776" s="1" t="s">
        <v>13</v>
      </c>
      <c r="C776" s="2" t="s">
        <v>14</v>
      </c>
      <c r="D776" s="1" t="s">
        <v>15</v>
      </c>
      <c r="E776" s="1" t="s">
        <v>16</v>
      </c>
      <c r="F776" s="1" t="s">
        <v>17</v>
      </c>
      <c r="G776" s="3">
        <v>2000</v>
      </c>
      <c r="H776" s="19">
        <v>45507</v>
      </c>
      <c r="I776" s="3" t="s">
        <v>85</v>
      </c>
      <c r="J776" s="3" t="s">
        <v>19</v>
      </c>
      <c r="K776" s="1">
        <v>352403470</v>
      </c>
      <c r="L776" s="6" t="s">
        <v>166</v>
      </c>
    </row>
    <row r="777" spans="1:12" customFormat="1" ht="14.4" x14ac:dyDescent="0.3">
      <c r="A777" s="1" t="s">
        <v>12</v>
      </c>
      <c r="B777" s="1" t="s">
        <v>13</v>
      </c>
      <c r="C777" s="2" t="s">
        <v>14</v>
      </c>
      <c r="D777" s="1" t="s">
        <v>41</v>
      </c>
      <c r="E777" s="1" t="s">
        <v>42</v>
      </c>
      <c r="F777" s="1" t="s">
        <v>43</v>
      </c>
      <c r="G777" s="3">
        <v>4000</v>
      </c>
      <c r="H777" s="19">
        <v>45507</v>
      </c>
      <c r="I777" s="3" t="s">
        <v>87</v>
      </c>
      <c r="J777" s="3" t="s">
        <v>45</v>
      </c>
      <c r="K777" s="1">
        <v>352403385</v>
      </c>
      <c r="L777" s="6" t="s">
        <v>60</v>
      </c>
    </row>
    <row r="778" spans="1:12" s="25" customFormat="1" ht="14.4" x14ac:dyDescent="0.3">
      <c r="A778" s="22" t="s">
        <v>12</v>
      </c>
      <c r="B778" s="22" t="s">
        <v>13</v>
      </c>
      <c r="C778" s="22" t="s">
        <v>14</v>
      </c>
      <c r="D778" s="22" t="s">
        <v>173</v>
      </c>
      <c r="E778" s="22" t="s">
        <v>174</v>
      </c>
      <c r="F778" s="22" t="s">
        <v>33</v>
      </c>
      <c r="G778" s="23">
        <v>500</v>
      </c>
      <c r="H778" s="19">
        <v>45507</v>
      </c>
      <c r="I778" s="23" t="s">
        <v>175</v>
      </c>
      <c r="J778" s="23" t="s">
        <v>176</v>
      </c>
      <c r="K778" s="24">
        <v>352403472</v>
      </c>
      <c r="L778" s="24" t="s">
        <v>264</v>
      </c>
    </row>
    <row r="779" spans="1:12" customFormat="1" ht="14.4" x14ac:dyDescent="0.3">
      <c r="A779" s="1" t="s">
        <v>12</v>
      </c>
      <c r="B779" s="1" t="s">
        <v>13</v>
      </c>
      <c r="C779" s="2" t="s">
        <v>14</v>
      </c>
      <c r="D779" s="1" t="s">
        <v>31</v>
      </c>
      <c r="E779" s="1" t="s">
        <v>32</v>
      </c>
      <c r="F779" s="1" t="s">
        <v>33</v>
      </c>
      <c r="G779" s="3">
        <v>2000</v>
      </c>
      <c r="H779" s="19">
        <v>45507</v>
      </c>
      <c r="I779" s="3" t="s">
        <v>93</v>
      </c>
      <c r="J779" s="3" t="s">
        <v>34</v>
      </c>
      <c r="K779" s="1">
        <v>352403493</v>
      </c>
      <c r="L779" s="6" t="s">
        <v>265</v>
      </c>
    </row>
    <row r="780" spans="1:12" customFormat="1" ht="14.4" x14ac:dyDescent="0.3">
      <c r="A780" s="1" t="s">
        <v>12</v>
      </c>
      <c r="B780" s="1" t="s">
        <v>13</v>
      </c>
      <c r="C780" s="2" t="s">
        <v>14</v>
      </c>
      <c r="D780" s="1" t="s">
        <v>64</v>
      </c>
      <c r="E780" s="1" t="s">
        <v>65</v>
      </c>
      <c r="F780" s="1" t="s">
        <v>66</v>
      </c>
      <c r="G780" s="3">
        <v>3750</v>
      </c>
      <c r="H780" s="19">
        <v>45507</v>
      </c>
      <c r="I780" s="3" t="s">
        <v>101</v>
      </c>
      <c r="J780" s="3" t="s">
        <v>68</v>
      </c>
      <c r="K780" s="1">
        <v>352403486</v>
      </c>
      <c r="L780" s="6" t="s">
        <v>69</v>
      </c>
    </row>
    <row r="781" spans="1:12" customFormat="1" ht="14.4" x14ac:dyDescent="0.3">
      <c r="A781" s="1" t="s">
        <v>12</v>
      </c>
      <c r="B781" s="1" t="s">
        <v>13</v>
      </c>
      <c r="C781" s="2" t="s">
        <v>14</v>
      </c>
      <c r="D781" s="1" t="s">
        <v>48</v>
      </c>
      <c r="E781" s="1" t="s">
        <v>49</v>
      </c>
      <c r="F781" s="1" t="s">
        <v>50</v>
      </c>
      <c r="G781" s="3">
        <v>5250</v>
      </c>
      <c r="H781" s="19">
        <v>45507</v>
      </c>
      <c r="I781" s="3" t="s">
        <v>117</v>
      </c>
      <c r="J781" s="3" t="s">
        <v>118</v>
      </c>
      <c r="K781" s="1">
        <v>352403440</v>
      </c>
      <c r="L781" s="6" t="s">
        <v>69</v>
      </c>
    </row>
    <row r="782" spans="1:12" customFormat="1" ht="14.4" x14ac:dyDescent="0.3">
      <c r="A782" s="1" t="s">
        <v>12</v>
      </c>
      <c r="B782" s="1" t="s">
        <v>13</v>
      </c>
      <c r="C782" s="2" t="s">
        <v>14</v>
      </c>
      <c r="D782" s="1" t="s">
        <v>31</v>
      </c>
      <c r="E782" s="1" t="s">
        <v>32</v>
      </c>
      <c r="F782" s="1" t="s">
        <v>33</v>
      </c>
      <c r="G782" s="3">
        <v>5250</v>
      </c>
      <c r="H782" s="19">
        <v>45507</v>
      </c>
      <c r="I782" s="3" t="s">
        <v>78</v>
      </c>
      <c r="J782" s="3" t="s">
        <v>79</v>
      </c>
      <c r="K782" s="1">
        <v>352403442</v>
      </c>
      <c r="L782" s="6" t="s">
        <v>69</v>
      </c>
    </row>
    <row r="783" spans="1:12" customFormat="1" ht="14.4" x14ac:dyDescent="0.3">
      <c r="A783" s="1" t="s">
        <v>12</v>
      </c>
      <c r="B783" s="1" t="s">
        <v>13</v>
      </c>
      <c r="C783" s="2" t="s">
        <v>14</v>
      </c>
      <c r="D783" s="1" t="s">
        <v>36</v>
      </c>
      <c r="E783" s="1" t="s">
        <v>37</v>
      </c>
      <c r="F783" s="1" t="s">
        <v>38</v>
      </c>
      <c r="G783" s="3">
        <v>5250</v>
      </c>
      <c r="H783" s="19">
        <v>45507</v>
      </c>
      <c r="I783" s="3" t="s">
        <v>92</v>
      </c>
      <c r="J783" s="3" t="s">
        <v>40</v>
      </c>
      <c r="K783" s="1">
        <v>352403441</v>
      </c>
      <c r="L783" s="6" t="s">
        <v>69</v>
      </c>
    </row>
    <row r="784" spans="1:12" customFormat="1" ht="14.4" x14ac:dyDescent="0.3">
      <c r="A784" s="10" t="s">
        <v>12</v>
      </c>
      <c r="B784" s="10" t="s">
        <v>13</v>
      </c>
      <c r="C784" s="10" t="s">
        <v>14</v>
      </c>
      <c r="D784" s="10" t="s">
        <v>73</v>
      </c>
      <c r="E784" s="10" t="s">
        <v>89</v>
      </c>
      <c r="F784" s="10" t="s">
        <v>74</v>
      </c>
      <c r="G784" s="13">
        <v>6000</v>
      </c>
      <c r="H784" s="21">
        <v>45507</v>
      </c>
      <c r="I784" s="13" t="s">
        <v>90</v>
      </c>
      <c r="J784" s="13" t="s">
        <v>76</v>
      </c>
      <c r="K784" s="10">
        <v>352403463</v>
      </c>
      <c r="L784" s="14" t="s">
        <v>266</v>
      </c>
    </row>
    <row r="785" spans="1:12" x14ac:dyDescent="0.25">
      <c r="A785" s="30" t="s">
        <v>12</v>
      </c>
      <c r="B785" s="30" t="s">
        <v>13</v>
      </c>
      <c r="C785" s="30" t="s">
        <v>14</v>
      </c>
      <c r="D785" s="30" t="s">
        <v>144</v>
      </c>
      <c r="E785" s="39">
        <v>42542201947</v>
      </c>
      <c r="F785" s="30" t="s">
        <v>145</v>
      </c>
      <c r="G785" s="32">
        <v>3750</v>
      </c>
      <c r="H785" s="75">
        <v>45508</v>
      </c>
      <c r="I785" s="32" t="s">
        <v>146</v>
      </c>
      <c r="J785" s="32" t="s">
        <v>147</v>
      </c>
      <c r="K785" s="32">
        <v>352403506</v>
      </c>
      <c r="L785" s="32" t="s">
        <v>69</v>
      </c>
    </row>
    <row r="786" spans="1:12" s="25" customFormat="1" ht="14.4" x14ac:dyDescent="0.3">
      <c r="A786" s="22" t="s">
        <v>12</v>
      </c>
      <c r="B786" s="22" t="s">
        <v>13</v>
      </c>
      <c r="C786" s="22" t="s">
        <v>14</v>
      </c>
      <c r="D786" s="22" t="s">
        <v>193</v>
      </c>
      <c r="E786" s="22" t="s">
        <v>194</v>
      </c>
      <c r="F786" s="22" t="s">
        <v>195</v>
      </c>
      <c r="G786" s="23">
        <v>500</v>
      </c>
      <c r="H786" s="19">
        <v>45508</v>
      </c>
      <c r="I786" s="23" t="s">
        <v>125</v>
      </c>
      <c r="J786" s="23" t="s">
        <v>126</v>
      </c>
      <c r="K786" s="24">
        <v>352403507</v>
      </c>
      <c r="L786" s="24" t="s">
        <v>267</v>
      </c>
    </row>
    <row r="787" spans="1:12" s="25" customFormat="1" ht="14.4" x14ac:dyDescent="0.3">
      <c r="A787" s="22" t="s">
        <v>12</v>
      </c>
      <c r="B787" s="22" t="s">
        <v>13</v>
      </c>
      <c r="C787" s="22" t="s">
        <v>14</v>
      </c>
      <c r="D787" s="22" t="s">
        <v>193</v>
      </c>
      <c r="E787" s="22" t="s">
        <v>194</v>
      </c>
      <c r="F787" s="22" t="s">
        <v>195</v>
      </c>
      <c r="G787" s="23">
        <v>500</v>
      </c>
      <c r="H787" s="19">
        <v>45508</v>
      </c>
      <c r="I787" s="23" t="s">
        <v>125</v>
      </c>
      <c r="J787" s="23" t="s">
        <v>126</v>
      </c>
      <c r="K787" s="24">
        <v>352403508</v>
      </c>
      <c r="L787" s="24" t="s">
        <v>267</v>
      </c>
    </row>
    <row r="788" spans="1:12" s="25" customFormat="1" ht="14.4" x14ac:dyDescent="0.3">
      <c r="A788" s="22" t="s">
        <v>12</v>
      </c>
      <c r="B788" s="22" t="s">
        <v>13</v>
      </c>
      <c r="C788" s="22" t="s">
        <v>14</v>
      </c>
      <c r="D788" s="22" t="s">
        <v>173</v>
      </c>
      <c r="E788" s="22" t="s">
        <v>174</v>
      </c>
      <c r="F788" s="22" t="s">
        <v>33</v>
      </c>
      <c r="G788" s="23">
        <v>500</v>
      </c>
      <c r="H788" s="19">
        <v>45508</v>
      </c>
      <c r="I788" s="23" t="s">
        <v>175</v>
      </c>
      <c r="J788" s="23" t="s">
        <v>176</v>
      </c>
      <c r="K788" s="24">
        <v>352403509</v>
      </c>
      <c r="L788" s="24" t="s">
        <v>267</v>
      </c>
    </row>
    <row r="789" spans="1:12" s="25" customFormat="1" ht="14.4" x14ac:dyDescent="0.3">
      <c r="A789" s="22" t="s">
        <v>12</v>
      </c>
      <c r="B789" s="22" t="s">
        <v>13</v>
      </c>
      <c r="C789" s="22" t="s">
        <v>14</v>
      </c>
      <c r="D789" s="22" t="s">
        <v>173</v>
      </c>
      <c r="E789" s="22" t="s">
        <v>174</v>
      </c>
      <c r="F789" s="22" t="s">
        <v>33</v>
      </c>
      <c r="G789" s="23">
        <v>500</v>
      </c>
      <c r="H789" s="19">
        <v>45508</v>
      </c>
      <c r="I789" s="23" t="s">
        <v>175</v>
      </c>
      <c r="J789" s="23" t="s">
        <v>176</v>
      </c>
      <c r="K789" s="24">
        <v>352403510</v>
      </c>
      <c r="L789" s="24" t="s">
        <v>267</v>
      </c>
    </row>
    <row r="790" spans="1:12" customFormat="1" ht="14.4" x14ac:dyDescent="0.3">
      <c r="A790" s="1" t="s">
        <v>12</v>
      </c>
      <c r="B790" s="1" t="s">
        <v>13</v>
      </c>
      <c r="C790" s="2" t="s">
        <v>14</v>
      </c>
      <c r="D790" s="1" t="s">
        <v>41</v>
      </c>
      <c r="E790" s="1" t="s">
        <v>61</v>
      </c>
      <c r="F790" s="1" t="s">
        <v>62</v>
      </c>
      <c r="G790" s="3">
        <v>1200</v>
      </c>
      <c r="H790" s="19">
        <v>45508</v>
      </c>
      <c r="I790" s="3" t="s">
        <v>204</v>
      </c>
      <c r="J790" s="3" t="s">
        <v>205</v>
      </c>
      <c r="K790" s="1">
        <v>352403511</v>
      </c>
      <c r="L790" s="6" t="s">
        <v>268</v>
      </c>
    </row>
    <row r="791" spans="1:12" customFormat="1" ht="14.4" x14ac:dyDescent="0.3">
      <c r="A791" s="1" t="s">
        <v>12</v>
      </c>
      <c r="B791" s="1" t="s">
        <v>13</v>
      </c>
      <c r="C791" s="2" t="s">
        <v>14</v>
      </c>
      <c r="D791" s="1" t="s">
        <v>41</v>
      </c>
      <c r="E791" s="1" t="s">
        <v>61</v>
      </c>
      <c r="F791" s="1" t="s">
        <v>62</v>
      </c>
      <c r="G791" s="3">
        <v>1200</v>
      </c>
      <c r="H791" s="19">
        <v>45508</v>
      </c>
      <c r="I791" s="3" t="s">
        <v>204</v>
      </c>
      <c r="J791" s="3" t="s">
        <v>205</v>
      </c>
      <c r="K791" s="1">
        <v>352403512</v>
      </c>
      <c r="L791" s="6" t="s">
        <v>268</v>
      </c>
    </row>
    <row r="792" spans="1:12" s="25" customFormat="1" ht="14.4" x14ac:dyDescent="0.3">
      <c r="A792" s="22" t="s">
        <v>12</v>
      </c>
      <c r="B792" s="22" t="s">
        <v>13</v>
      </c>
      <c r="C792" s="22" t="s">
        <v>14</v>
      </c>
      <c r="D792" s="22" t="s">
        <v>215</v>
      </c>
      <c r="E792" s="22" t="s">
        <v>216</v>
      </c>
      <c r="F792" s="22" t="s">
        <v>33</v>
      </c>
      <c r="G792" s="23">
        <v>500</v>
      </c>
      <c r="H792" s="19">
        <v>45508</v>
      </c>
      <c r="I792" s="23" t="s">
        <v>155</v>
      </c>
      <c r="J792" s="23" t="s">
        <v>156</v>
      </c>
      <c r="K792" s="22">
        <v>352403515</v>
      </c>
      <c r="L792" s="24" t="s">
        <v>269</v>
      </c>
    </row>
    <row r="793" spans="1:12" customFormat="1" ht="14.4" x14ac:dyDescent="0.3">
      <c r="A793" s="1" t="s">
        <v>12</v>
      </c>
      <c r="B793" s="1" t="s">
        <v>13</v>
      </c>
      <c r="C793" s="2" t="s">
        <v>14</v>
      </c>
      <c r="D793" s="1" t="s">
        <v>41</v>
      </c>
      <c r="E793" s="1" t="s">
        <v>42</v>
      </c>
      <c r="F793" s="1" t="s">
        <v>43</v>
      </c>
      <c r="G793" s="3">
        <v>4000</v>
      </c>
      <c r="H793" s="19">
        <v>45509</v>
      </c>
      <c r="I793" s="3" t="s">
        <v>87</v>
      </c>
      <c r="J793" s="3" t="s">
        <v>45</v>
      </c>
      <c r="K793" s="1">
        <v>352403514</v>
      </c>
      <c r="L793" s="6" t="s">
        <v>20</v>
      </c>
    </row>
    <row r="794" spans="1:12" customFormat="1" ht="14.4" x14ac:dyDescent="0.3">
      <c r="A794" s="1" t="s">
        <v>12</v>
      </c>
      <c r="B794" s="1" t="s">
        <v>13</v>
      </c>
      <c r="C794" s="2" t="s">
        <v>14</v>
      </c>
      <c r="D794" s="1" t="s">
        <v>64</v>
      </c>
      <c r="E794" s="1" t="s">
        <v>65</v>
      </c>
      <c r="F794" s="1" t="s">
        <v>66</v>
      </c>
      <c r="G794" s="3">
        <v>2750</v>
      </c>
      <c r="H794" s="19">
        <v>45509</v>
      </c>
      <c r="I794" s="3" t="s">
        <v>101</v>
      </c>
      <c r="J794" s="3" t="s">
        <v>68</v>
      </c>
      <c r="K794" s="1">
        <v>352403486</v>
      </c>
      <c r="L794" s="6" t="s">
        <v>270</v>
      </c>
    </row>
    <row r="795" spans="1:12" customFormat="1" ht="14.4" x14ac:dyDescent="0.3">
      <c r="A795" s="1" t="s">
        <v>12</v>
      </c>
      <c r="B795" s="1" t="s">
        <v>13</v>
      </c>
      <c r="C795" s="2" t="s">
        <v>14</v>
      </c>
      <c r="D795" s="1" t="s">
        <v>48</v>
      </c>
      <c r="E795" s="1" t="s">
        <v>49</v>
      </c>
      <c r="F795" s="1" t="s">
        <v>50</v>
      </c>
      <c r="G795" s="3">
        <v>4750</v>
      </c>
      <c r="H795" s="19">
        <v>45509</v>
      </c>
      <c r="I795" s="3" t="s">
        <v>117</v>
      </c>
      <c r="J795" s="3" t="s">
        <v>118</v>
      </c>
      <c r="K795" s="1">
        <v>352403528</v>
      </c>
      <c r="L795" s="6" t="s">
        <v>24</v>
      </c>
    </row>
    <row r="796" spans="1:12" customFormat="1" ht="14.4" x14ac:dyDescent="0.3">
      <c r="A796" s="1" t="s">
        <v>12</v>
      </c>
      <c r="B796" s="1" t="s">
        <v>13</v>
      </c>
      <c r="C796" s="2" t="s">
        <v>14</v>
      </c>
      <c r="D796" s="1" t="s">
        <v>257</v>
      </c>
      <c r="E796" s="7" t="s">
        <v>258</v>
      </c>
      <c r="F796" s="7" t="s">
        <v>33</v>
      </c>
      <c r="G796" s="3">
        <v>7500</v>
      </c>
      <c r="H796" s="19">
        <v>45509</v>
      </c>
      <c r="I796" s="3" t="s">
        <v>88</v>
      </c>
      <c r="J796" s="3" t="s">
        <v>59</v>
      </c>
      <c r="K796" s="1">
        <v>352403445</v>
      </c>
      <c r="L796" s="6" t="s">
        <v>106</v>
      </c>
    </row>
    <row r="797" spans="1:12" customFormat="1" ht="14.4" x14ac:dyDescent="0.3">
      <c r="A797" s="1" t="s">
        <v>12</v>
      </c>
      <c r="B797" s="1" t="s">
        <v>13</v>
      </c>
      <c r="C797" s="2" t="s">
        <v>14</v>
      </c>
      <c r="D797" s="3" t="s">
        <v>149</v>
      </c>
      <c r="E797" s="18">
        <v>50100624324501</v>
      </c>
      <c r="F797" s="3" t="s">
        <v>150</v>
      </c>
      <c r="G797" s="3">
        <v>7500</v>
      </c>
      <c r="H797" s="19">
        <v>45509</v>
      </c>
      <c r="I797" s="3" t="s">
        <v>77</v>
      </c>
      <c r="J797" s="3" t="s">
        <v>29</v>
      </c>
      <c r="K797" s="1">
        <v>352403443</v>
      </c>
      <c r="L797" s="6" t="s">
        <v>106</v>
      </c>
    </row>
    <row r="798" spans="1:12" customFormat="1" ht="14.4" x14ac:dyDescent="0.3">
      <c r="A798" s="1" t="s">
        <v>12</v>
      </c>
      <c r="B798" s="1" t="s">
        <v>13</v>
      </c>
      <c r="C798" s="2" t="s">
        <v>14</v>
      </c>
      <c r="D798" s="1" t="s">
        <v>36</v>
      </c>
      <c r="E798" s="1" t="s">
        <v>37</v>
      </c>
      <c r="F798" s="1" t="s">
        <v>38</v>
      </c>
      <c r="G798" s="3">
        <v>7500</v>
      </c>
      <c r="H798" s="19">
        <v>45509</v>
      </c>
      <c r="I798" s="3" t="s">
        <v>92</v>
      </c>
      <c r="J798" s="3" t="s">
        <v>40</v>
      </c>
      <c r="K798" s="1">
        <v>352403441</v>
      </c>
      <c r="L798" s="6" t="s">
        <v>106</v>
      </c>
    </row>
    <row r="799" spans="1:12" customFormat="1" ht="14.4" x14ac:dyDescent="0.3">
      <c r="A799" s="1" t="s">
        <v>12</v>
      </c>
      <c r="B799" s="1" t="s">
        <v>13</v>
      </c>
      <c r="C799" s="2" t="s">
        <v>14</v>
      </c>
      <c r="D799" s="1" t="s">
        <v>70</v>
      </c>
      <c r="E799" s="1" t="s">
        <v>71</v>
      </c>
      <c r="F799" s="1" t="s">
        <v>72</v>
      </c>
      <c r="G799" s="3">
        <v>7500</v>
      </c>
      <c r="H799" s="19">
        <v>45509</v>
      </c>
      <c r="I799" s="3" t="s">
        <v>83</v>
      </c>
      <c r="J799" s="3" t="s">
        <v>84</v>
      </c>
      <c r="K799" s="1">
        <v>352403527</v>
      </c>
      <c r="L799" s="6" t="s">
        <v>106</v>
      </c>
    </row>
    <row r="800" spans="1:12" x14ac:dyDescent="0.25">
      <c r="A800" s="30" t="s">
        <v>12</v>
      </c>
      <c r="B800" s="30" t="s">
        <v>13</v>
      </c>
      <c r="C800" s="30" t="s">
        <v>14</v>
      </c>
      <c r="D800" s="30" t="s">
        <v>144</v>
      </c>
      <c r="E800" s="39">
        <v>42542201947</v>
      </c>
      <c r="F800" s="30" t="s">
        <v>145</v>
      </c>
      <c r="G800" s="32">
        <v>7500</v>
      </c>
      <c r="H800" s="75">
        <v>45509</v>
      </c>
      <c r="I800" s="32" t="s">
        <v>146</v>
      </c>
      <c r="J800" s="32" t="s">
        <v>147</v>
      </c>
      <c r="K800" s="32">
        <v>352403506</v>
      </c>
      <c r="L800" s="32" t="s">
        <v>106</v>
      </c>
    </row>
    <row r="801" spans="1:12" customFormat="1" ht="14.4" x14ac:dyDescent="0.3">
      <c r="A801" s="1" t="s">
        <v>12</v>
      </c>
      <c r="B801" s="1" t="s">
        <v>13</v>
      </c>
      <c r="C801" s="2" t="s">
        <v>14</v>
      </c>
      <c r="D801" s="1" t="s">
        <v>31</v>
      </c>
      <c r="E801" s="1" t="s">
        <v>32</v>
      </c>
      <c r="F801" s="1" t="s">
        <v>33</v>
      </c>
      <c r="G801" s="3">
        <v>5000</v>
      </c>
      <c r="H801" s="19">
        <v>45509</v>
      </c>
      <c r="I801" s="3" t="s">
        <v>78</v>
      </c>
      <c r="J801" s="3" t="s">
        <v>79</v>
      </c>
      <c r="K801" s="1">
        <v>352403530</v>
      </c>
      <c r="L801" s="6" t="s">
        <v>35</v>
      </c>
    </row>
    <row r="802" spans="1:12" customFormat="1" ht="14.4" x14ac:dyDescent="0.3">
      <c r="A802" s="1" t="s">
        <v>12</v>
      </c>
      <c r="B802" s="1" t="s">
        <v>13</v>
      </c>
      <c r="C802" s="2" t="s">
        <v>14</v>
      </c>
      <c r="D802" s="1" t="s">
        <v>15</v>
      </c>
      <c r="E802" s="1" t="s">
        <v>16</v>
      </c>
      <c r="F802" s="1" t="s">
        <v>17</v>
      </c>
      <c r="G802" s="3">
        <v>4000</v>
      </c>
      <c r="H802" s="19">
        <v>45509</v>
      </c>
      <c r="I802" s="3" t="s">
        <v>85</v>
      </c>
      <c r="J802" s="3" t="s">
        <v>19</v>
      </c>
      <c r="K802" s="1">
        <v>352403513</v>
      </c>
      <c r="L802" s="6" t="s">
        <v>271</v>
      </c>
    </row>
    <row r="803" spans="1:12" customFormat="1" ht="14.4" x14ac:dyDescent="0.3">
      <c r="A803" s="1" t="s">
        <v>12</v>
      </c>
      <c r="B803" s="1" t="s">
        <v>13</v>
      </c>
      <c r="C803" s="2" t="s">
        <v>14</v>
      </c>
      <c r="D803" s="1" t="s">
        <v>64</v>
      </c>
      <c r="E803" s="1" t="s">
        <v>65</v>
      </c>
      <c r="F803" s="1" t="s">
        <v>66</v>
      </c>
      <c r="G803" s="3">
        <v>7500</v>
      </c>
      <c r="H803" s="19">
        <v>45510</v>
      </c>
      <c r="I803" s="3" t="s">
        <v>101</v>
      </c>
      <c r="J803" s="3" t="s">
        <v>68</v>
      </c>
      <c r="K803" s="1">
        <v>352403546</v>
      </c>
      <c r="L803" s="6" t="s">
        <v>106</v>
      </c>
    </row>
    <row r="804" spans="1:12" customFormat="1" ht="14.4" x14ac:dyDescent="0.3">
      <c r="A804" s="1" t="s">
        <v>12</v>
      </c>
      <c r="B804" s="1" t="s">
        <v>13</v>
      </c>
      <c r="C804" s="2" t="s">
        <v>14</v>
      </c>
      <c r="D804" s="1" t="s">
        <v>113</v>
      </c>
      <c r="E804" s="1" t="s">
        <v>114</v>
      </c>
      <c r="F804" s="1" t="s">
        <v>66</v>
      </c>
      <c r="G804" s="3">
        <v>5500</v>
      </c>
      <c r="H804" s="19">
        <v>45510</v>
      </c>
      <c r="I804" s="3" t="s">
        <v>91</v>
      </c>
      <c r="J804" s="3" t="s">
        <v>22</v>
      </c>
      <c r="K804" s="1">
        <v>352403072</v>
      </c>
      <c r="L804" s="6" t="s">
        <v>107</v>
      </c>
    </row>
    <row r="805" spans="1:12" customFormat="1" ht="14.4" x14ac:dyDescent="0.3">
      <c r="A805" s="1" t="s">
        <v>12</v>
      </c>
      <c r="B805" s="1" t="s">
        <v>13</v>
      </c>
      <c r="C805" s="2" t="s">
        <v>14</v>
      </c>
      <c r="D805" s="1" t="s">
        <v>41</v>
      </c>
      <c r="E805" s="1" t="s">
        <v>42</v>
      </c>
      <c r="F805" s="1" t="s">
        <v>43</v>
      </c>
      <c r="G805" s="3">
        <v>4000</v>
      </c>
      <c r="H805" s="19">
        <v>45510</v>
      </c>
      <c r="I805" s="3" t="s">
        <v>87</v>
      </c>
      <c r="J805" s="3" t="s">
        <v>45</v>
      </c>
      <c r="K805" s="1">
        <v>352403545</v>
      </c>
      <c r="L805" s="6" t="s">
        <v>60</v>
      </c>
    </row>
    <row r="806" spans="1:12" customFormat="1" ht="14.4" x14ac:dyDescent="0.3">
      <c r="A806" s="1" t="s">
        <v>12</v>
      </c>
      <c r="B806" s="1" t="s">
        <v>13</v>
      </c>
      <c r="C806" s="2" t="s">
        <v>14</v>
      </c>
      <c r="D806" s="1" t="s">
        <v>41</v>
      </c>
      <c r="E806" s="1" t="s">
        <v>61</v>
      </c>
      <c r="F806" s="1" t="s">
        <v>62</v>
      </c>
      <c r="G806" s="3">
        <v>1300</v>
      </c>
      <c r="H806" s="19">
        <v>45510</v>
      </c>
      <c r="I806" s="3" t="s">
        <v>204</v>
      </c>
      <c r="J806" s="3" t="s">
        <v>205</v>
      </c>
      <c r="K806" s="1">
        <v>352403568</v>
      </c>
      <c r="L806" s="6" t="s">
        <v>272</v>
      </c>
    </row>
    <row r="807" spans="1:12" customFormat="1" ht="14.4" x14ac:dyDescent="0.3">
      <c r="A807" s="1" t="s">
        <v>12</v>
      </c>
      <c r="B807" s="1" t="s">
        <v>13</v>
      </c>
      <c r="C807" s="2" t="s">
        <v>14</v>
      </c>
      <c r="D807" s="1" t="s">
        <v>41</v>
      </c>
      <c r="E807" s="1" t="s">
        <v>61</v>
      </c>
      <c r="F807" s="1" t="s">
        <v>62</v>
      </c>
      <c r="G807" s="3">
        <v>1300</v>
      </c>
      <c r="H807" s="19">
        <v>45510</v>
      </c>
      <c r="I807" s="3" t="s">
        <v>204</v>
      </c>
      <c r="J807" s="3" t="s">
        <v>205</v>
      </c>
      <c r="K807" s="1">
        <v>352403569</v>
      </c>
      <c r="L807" s="6" t="s">
        <v>272</v>
      </c>
    </row>
    <row r="808" spans="1:12" s="25" customFormat="1" ht="14.4" x14ac:dyDescent="0.3">
      <c r="A808" s="22" t="s">
        <v>12</v>
      </c>
      <c r="B808" s="22" t="s">
        <v>13</v>
      </c>
      <c r="C808" s="22" t="s">
        <v>14</v>
      </c>
      <c r="D808" s="22" t="s">
        <v>215</v>
      </c>
      <c r="E808" s="22" t="s">
        <v>216</v>
      </c>
      <c r="F808" s="22" t="s">
        <v>33</v>
      </c>
      <c r="G808" s="23">
        <v>500</v>
      </c>
      <c r="H808" s="19">
        <v>45510</v>
      </c>
      <c r="I808" s="23" t="s">
        <v>155</v>
      </c>
      <c r="J808" s="23" t="s">
        <v>156</v>
      </c>
      <c r="K808" s="22">
        <v>352403565</v>
      </c>
      <c r="L808" s="24" t="s">
        <v>273</v>
      </c>
    </row>
    <row r="809" spans="1:12" customFormat="1" ht="14.4" x14ac:dyDescent="0.3">
      <c r="A809" s="1" t="s">
        <v>12</v>
      </c>
      <c r="B809" s="1" t="s">
        <v>13</v>
      </c>
      <c r="C809" s="2" t="s">
        <v>14</v>
      </c>
      <c r="D809" s="1" t="s">
        <v>15</v>
      </c>
      <c r="E809" s="1" t="s">
        <v>16</v>
      </c>
      <c r="F809" s="1" t="s">
        <v>17</v>
      </c>
      <c r="G809" s="3">
        <v>4000</v>
      </c>
      <c r="H809" s="19">
        <v>45511</v>
      </c>
      <c r="I809" s="3" t="s">
        <v>85</v>
      </c>
      <c r="J809" s="3" t="s">
        <v>19</v>
      </c>
      <c r="K809" s="1">
        <v>352403587</v>
      </c>
      <c r="L809" s="6" t="s">
        <v>20</v>
      </c>
    </row>
    <row r="810" spans="1:12" customFormat="1" ht="14.4" x14ac:dyDescent="0.3">
      <c r="A810" s="1" t="s">
        <v>12</v>
      </c>
      <c r="B810" s="1" t="s">
        <v>13</v>
      </c>
      <c r="C810" s="2" t="s">
        <v>14</v>
      </c>
      <c r="D810" s="1" t="s">
        <v>48</v>
      </c>
      <c r="E810" s="1" t="s">
        <v>49</v>
      </c>
      <c r="F810" s="1" t="s">
        <v>50</v>
      </c>
      <c r="G810" s="3">
        <v>5500</v>
      </c>
      <c r="H810" s="19">
        <v>45511</v>
      </c>
      <c r="I810" s="3" t="s">
        <v>117</v>
      </c>
      <c r="J810" s="3" t="s">
        <v>118</v>
      </c>
      <c r="K810" s="1">
        <v>352403542</v>
      </c>
      <c r="L810" s="6" t="s">
        <v>107</v>
      </c>
    </row>
    <row r="811" spans="1:12" customFormat="1" ht="14.4" x14ac:dyDescent="0.3">
      <c r="A811" s="1" t="s">
        <v>12</v>
      </c>
      <c r="B811" s="1" t="s">
        <v>13</v>
      </c>
      <c r="C811" s="2" t="s">
        <v>14</v>
      </c>
      <c r="D811" s="1" t="s">
        <v>257</v>
      </c>
      <c r="E811" s="7" t="s">
        <v>258</v>
      </c>
      <c r="F811" s="7" t="s">
        <v>33</v>
      </c>
      <c r="G811" s="3">
        <v>5250</v>
      </c>
      <c r="H811" s="19">
        <v>45511</v>
      </c>
      <c r="I811" s="3" t="s">
        <v>88</v>
      </c>
      <c r="J811" s="3" t="s">
        <v>59</v>
      </c>
      <c r="K811" s="1">
        <v>352403551</v>
      </c>
      <c r="L811" s="6" t="s">
        <v>69</v>
      </c>
    </row>
    <row r="812" spans="1:12" customFormat="1" ht="14.4" x14ac:dyDescent="0.3">
      <c r="A812" s="1" t="s">
        <v>12</v>
      </c>
      <c r="B812" s="1" t="s">
        <v>13</v>
      </c>
      <c r="C812" s="2" t="s">
        <v>14</v>
      </c>
      <c r="D812" s="3" t="s">
        <v>149</v>
      </c>
      <c r="E812" s="18">
        <v>50100624324501</v>
      </c>
      <c r="F812" s="3" t="s">
        <v>150</v>
      </c>
      <c r="G812" s="3">
        <v>5250</v>
      </c>
      <c r="H812" s="19">
        <v>45511</v>
      </c>
      <c r="I812" s="3" t="s">
        <v>77</v>
      </c>
      <c r="J812" s="3" t="s">
        <v>29</v>
      </c>
      <c r="K812" s="1">
        <v>352403549</v>
      </c>
      <c r="L812" s="6" t="s">
        <v>69</v>
      </c>
    </row>
    <row r="813" spans="1:12" customFormat="1" ht="14.4" x14ac:dyDescent="0.3">
      <c r="A813" s="1" t="s">
        <v>12</v>
      </c>
      <c r="B813" s="1" t="s">
        <v>13</v>
      </c>
      <c r="C813" s="2" t="s">
        <v>14</v>
      </c>
      <c r="D813" s="1" t="s">
        <v>274</v>
      </c>
      <c r="E813" s="1" t="s">
        <v>275</v>
      </c>
      <c r="F813" s="1" t="s">
        <v>33</v>
      </c>
      <c r="G813" s="3">
        <v>6000</v>
      </c>
      <c r="H813" s="19">
        <v>45511</v>
      </c>
      <c r="I813" s="3" t="s">
        <v>206</v>
      </c>
      <c r="J813" s="3" t="s">
        <v>52</v>
      </c>
      <c r="K813" s="1">
        <v>352403578</v>
      </c>
      <c r="L813" s="6" t="s">
        <v>199</v>
      </c>
    </row>
    <row r="814" spans="1:12" x14ac:dyDescent="0.25">
      <c r="A814" s="30" t="s">
        <v>12</v>
      </c>
      <c r="B814" s="30" t="s">
        <v>13</v>
      </c>
      <c r="C814" s="30" t="s">
        <v>14</v>
      </c>
      <c r="D814" s="30" t="s">
        <v>144</v>
      </c>
      <c r="E814" s="39">
        <v>42542201947</v>
      </c>
      <c r="F814" s="30" t="s">
        <v>145</v>
      </c>
      <c r="G814" s="44">
        <v>7500</v>
      </c>
      <c r="H814" s="76">
        <v>45511</v>
      </c>
      <c r="I814" s="44" t="s">
        <v>146</v>
      </c>
      <c r="J814" s="44" t="s">
        <v>147</v>
      </c>
      <c r="K814" s="43">
        <v>352403554</v>
      </c>
      <c r="L814" s="46" t="s">
        <v>69</v>
      </c>
    </row>
    <row r="815" spans="1:12" customFormat="1" ht="14.4" x14ac:dyDescent="0.3">
      <c r="A815" s="1" t="s">
        <v>12</v>
      </c>
      <c r="B815" s="1" t="s">
        <v>13</v>
      </c>
      <c r="C815" s="2" t="s">
        <v>14</v>
      </c>
      <c r="D815" s="1" t="s">
        <v>41</v>
      </c>
      <c r="E815" s="1" t="s">
        <v>42</v>
      </c>
      <c r="F815" s="1" t="s">
        <v>43</v>
      </c>
      <c r="G815" s="3">
        <v>4000</v>
      </c>
      <c r="H815" s="19">
        <v>45511</v>
      </c>
      <c r="I815" s="3" t="s">
        <v>87</v>
      </c>
      <c r="J815" s="3" t="s">
        <v>45</v>
      </c>
      <c r="K815" s="1">
        <v>352403598</v>
      </c>
      <c r="L815" s="6" t="s">
        <v>20</v>
      </c>
    </row>
    <row r="816" spans="1:12" customFormat="1" ht="14.4" x14ac:dyDescent="0.3">
      <c r="A816" s="1" t="s">
        <v>12</v>
      </c>
      <c r="B816" s="1" t="s">
        <v>13</v>
      </c>
      <c r="C816" s="2" t="s">
        <v>14</v>
      </c>
      <c r="D816" s="1" t="s">
        <v>41</v>
      </c>
      <c r="E816" s="1" t="s">
        <v>61</v>
      </c>
      <c r="F816" s="1" t="s">
        <v>62</v>
      </c>
      <c r="G816" s="3">
        <v>1300</v>
      </c>
      <c r="H816" s="19">
        <v>45511</v>
      </c>
      <c r="I816" s="3" t="s">
        <v>204</v>
      </c>
      <c r="J816" s="3" t="s">
        <v>205</v>
      </c>
      <c r="K816" s="1">
        <v>352403605</v>
      </c>
      <c r="L816" s="6" t="s">
        <v>276</v>
      </c>
    </row>
    <row r="817" spans="1:12" customFormat="1" ht="14.4" x14ac:dyDescent="0.3">
      <c r="A817" s="1" t="s">
        <v>12</v>
      </c>
      <c r="B817" s="1" t="s">
        <v>13</v>
      </c>
      <c r="C817" s="2" t="s">
        <v>14</v>
      </c>
      <c r="D817" s="1" t="s">
        <v>41</v>
      </c>
      <c r="E817" s="1" t="s">
        <v>61</v>
      </c>
      <c r="F817" s="1" t="s">
        <v>62</v>
      </c>
      <c r="G817" s="3">
        <v>1300</v>
      </c>
      <c r="H817" s="19">
        <v>45511</v>
      </c>
      <c r="I817" s="3" t="s">
        <v>204</v>
      </c>
      <c r="J817" s="3" t="s">
        <v>205</v>
      </c>
      <c r="K817" s="1">
        <v>352403606</v>
      </c>
      <c r="L817" s="6" t="s">
        <v>276</v>
      </c>
    </row>
    <row r="818" spans="1:12" s="25" customFormat="1" ht="14.4" x14ac:dyDescent="0.3">
      <c r="A818" s="22" t="s">
        <v>12</v>
      </c>
      <c r="B818" s="22" t="s">
        <v>13</v>
      </c>
      <c r="C818" s="22" t="s">
        <v>14</v>
      </c>
      <c r="D818" s="22" t="s">
        <v>215</v>
      </c>
      <c r="E818" s="22" t="s">
        <v>216</v>
      </c>
      <c r="F818" s="22" t="s">
        <v>33</v>
      </c>
      <c r="G818" s="23">
        <v>500</v>
      </c>
      <c r="H818" s="19">
        <v>45511</v>
      </c>
      <c r="I818" s="23" t="s">
        <v>155</v>
      </c>
      <c r="J818" s="23" t="s">
        <v>156</v>
      </c>
      <c r="K818" s="22">
        <v>352403594</v>
      </c>
      <c r="L818" s="24" t="s">
        <v>277</v>
      </c>
    </row>
    <row r="819" spans="1:12" s="25" customFormat="1" ht="14.4" x14ac:dyDescent="0.3">
      <c r="A819" s="22" t="s">
        <v>12</v>
      </c>
      <c r="B819" s="22" t="s">
        <v>13</v>
      </c>
      <c r="C819" s="22" t="s">
        <v>14</v>
      </c>
      <c r="D819" s="22" t="s">
        <v>215</v>
      </c>
      <c r="E819" s="22" t="s">
        <v>216</v>
      </c>
      <c r="F819" s="22" t="s">
        <v>33</v>
      </c>
      <c r="G819" s="23">
        <v>500</v>
      </c>
      <c r="H819" s="19">
        <v>45512</v>
      </c>
      <c r="I819" s="23" t="s">
        <v>155</v>
      </c>
      <c r="J819" s="23" t="s">
        <v>156</v>
      </c>
      <c r="K819" s="22">
        <v>352403613</v>
      </c>
      <c r="L819" s="24" t="s">
        <v>278</v>
      </c>
    </row>
    <row r="820" spans="1:12" s="25" customFormat="1" ht="14.4" x14ac:dyDescent="0.3">
      <c r="A820" s="22" t="s">
        <v>12</v>
      </c>
      <c r="B820" s="22" t="s">
        <v>13</v>
      </c>
      <c r="C820" s="22" t="s">
        <v>14</v>
      </c>
      <c r="D820" s="22" t="s">
        <v>215</v>
      </c>
      <c r="E820" s="22" t="s">
        <v>216</v>
      </c>
      <c r="F820" s="22" t="s">
        <v>33</v>
      </c>
      <c r="G820" s="23">
        <v>500</v>
      </c>
      <c r="H820" s="19">
        <v>45512</v>
      </c>
      <c r="I820" s="23" t="s">
        <v>155</v>
      </c>
      <c r="J820" s="23" t="s">
        <v>156</v>
      </c>
      <c r="K820" s="22">
        <v>352403633</v>
      </c>
      <c r="L820" s="24" t="s">
        <v>279</v>
      </c>
    </row>
    <row r="821" spans="1:12" customFormat="1" ht="14.4" x14ac:dyDescent="0.3">
      <c r="A821" s="1" t="s">
        <v>12</v>
      </c>
      <c r="B821" s="1" t="s">
        <v>13</v>
      </c>
      <c r="C821" s="2" t="s">
        <v>14</v>
      </c>
      <c r="D821" s="1" t="s">
        <v>31</v>
      </c>
      <c r="E821" s="1" t="s">
        <v>32</v>
      </c>
      <c r="F821" s="1" t="s">
        <v>33</v>
      </c>
      <c r="G821" s="3">
        <v>6200</v>
      </c>
      <c r="H821" s="19">
        <v>45512</v>
      </c>
      <c r="I821" s="3" t="s">
        <v>78</v>
      </c>
      <c r="J821" s="3" t="s">
        <v>79</v>
      </c>
      <c r="K821" s="1">
        <v>352403543</v>
      </c>
      <c r="L821" s="6" t="s">
        <v>199</v>
      </c>
    </row>
    <row r="822" spans="1:12" customFormat="1" ht="14.4" x14ac:dyDescent="0.3">
      <c r="A822" s="1" t="s">
        <v>12</v>
      </c>
      <c r="B822" s="1" t="s">
        <v>13</v>
      </c>
      <c r="C822" s="2" t="s">
        <v>14</v>
      </c>
      <c r="D822" s="1" t="s">
        <v>113</v>
      </c>
      <c r="E822" s="1" t="s">
        <v>114</v>
      </c>
      <c r="F822" s="1" t="s">
        <v>66</v>
      </c>
      <c r="G822" s="3">
        <v>5000</v>
      </c>
      <c r="H822" s="19">
        <v>45512</v>
      </c>
      <c r="I822" s="3" t="s">
        <v>91</v>
      </c>
      <c r="J822" s="3" t="s">
        <v>22</v>
      </c>
      <c r="K822" s="1">
        <v>352403590</v>
      </c>
      <c r="L822" s="6" t="s">
        <v>35</v>
      </c>
    </row>
    <row r="823" spans="1:12" customFormat="1" ht="14.4" x14ac:dyDescent="0.3">
      <c r="A823" s="1" t="s">
        <v>12</v>
      </c>
      <c r="B823" s="1" t="s">
        <v>13</v>
      </c>
      <c r="C823" s="2" t="s">
        <v>14</v>
      </c>
      <c r="D823" s="1" t="s">
        <v>36</v>
      </c>
      <c r="E823" s="1" t="s">
        <v>37</v>
      </c>
      <c r="F823" s="1" t="s">
        <v>38</v>
      </c>
      <c r="G823" s="3">
        <v>4750</v>
      </c>
      <c r="H823" s="19">
        <v>45512</v>
      </c>
      <c r="I823" s="3" t="s">
        <v>92</v>
      </c>
      <c r="J823" s="3" t="s">
        <v>40</v>
      </c>
      <c r="K823" s="1">
        <v>352403556</v>
      </c>
      <c r="L823" s="6" t="s">
        <v>24</v>
      </c>
    </row>
    <row r="824" spans="1:12" s="25" customFormat="1" ht="14.4" x14ac:dyDescent="0.3">
      <c r="A824" s="22" t="s">
        <v>12</v>
      </c>
      <c r="B824" s="22" t="s">
        <v>13</v>
      </c>
      <c r="C824" s="22" t="s">
        <v>14</v>
      </c>
      <c r="D824" s="22" t="s">
        <v>73</v>
      </c>
      <c r="E824" s="22" t="s">
        <v>89</v>
      </c>
      <c r="F824" s="22" t="s">
        <v>74</v>
      </c>
      <c r="G824" s="23">
        <v>7500</v>
      </c>
      <c r="H824" s="19">
        <v>45512</v>
      </c>
      <c r="I824" s="23" t="s">
        <v>90</v>
      </c>
      <c r="J824" s="23" t="s">
        <v>76</v>
      </c>
      <c r="K824" s="22">
        <v>352403586</v>
      </c>
      <c r="L824" s="24" t="s">
        <v>106</v>
      </c>
    </row>
    <row r="825" spans="1:12" customFormat="1" ht="14.4" x14ac:dyDescent="0.3">
      <c r="A825" s="1" t="s">
        <v>12</v>
      </c>
      <c r="B825" s="1" t="s">
        <v>13</v>
      </c>
      <c r="C825" s="2" t="s">
        <v>14</v>
      </c>
      <c r="D825" s="1" t="s">
        <v>15</v>
      </c>
      <c r="E825" s="1" t="s">
        <v>16</v>
      </c>
      <c r="F825" s="1" t="s">
        <v>17</v>
      </c>
      <c r="G825" s="3">
        <v>4000</v>
      </c>
      <c r="H825" s="19">
        <v>45512</v>
      </c>
      <c r="I825" s="3" t="s">
        <v>85</v>
      </c>
      <c r="J825" s="3" t="s">
        <v>19</v>
      </c>
      <c r="K825" s="1">
        <v>352403612</v>
      </c>
      <c r="L825" s="6" t="s">
        <v>20</v>
      </c>
    </row>
    <row r="826" spans="1:12" customFormat="1" ht="14.4" x14ac:dyDescent="0.3">
      <c r="A826" s="1" t="s">
        <v>12</v>
      </c>
      <c r="B826" s="1" t="s">
        <v>13</v>
      </c>
      <c r="C826" s="2" t="s">
        <v>14</v>
      </c>
      <c r="D826" s="1" t="s">
        <v>41</v>
      </c>
      <c r="E826" s="1" t="s">
        <v>42</v>
      </c>
      <c r="F826" s="1" t="s">
        <v>43</v>
      </c>
      <c r="G826" s="3">
        <v>4000</v>
      </c>
      <c r="H826" s="19">
        <v>45512</v>
      </c>
      <c r="I826" s="3" t="s">
        <v>87</v>
      </c>
      <c r="J826" s="3" t="s">
        <v>45</v>
      </c>
      <c r="K826" s="1">
        <v>352403631</v>
      </c>
      <c r="L826" s="6" t="s">
        <v>20</v>
      </c>
    </row>
    <row r="827" spans="1:12" customFormat="1" ht="14.4" x14ac:dyDescent="0.3">
      <c r="A827" s="1" t="s">
        <v>12</v>
      </c>
      <c r="B827" s="1" t="s">
        <v>13</v>
      </c>
      <c r="C827" s="2" t="s">
        <v>14</v>
      </c>
      <c r="D827" s="1" t="s">
        <v>41</v>
      </c>
      <c r="E827" s="1" t="s">
        <v>61</v>
      </c>
      <c r="F827" s="1" t="s">
        <v>62</v>
      </c>
      <c r="G827" s="3">
        <v>1300</v>
      </c>
      <c r="H827" s="19">
        <v>45512</v>
      </c>
      <c r="I827" s="3" t="s">
        <v>204</v>
      </c>
      <c r="J827" s="3" t="s">
        <v>205</v>
      </c>
      <c r="K827" s="1">
        <v>352403637</v>
      </c>
      <c r="L827" s="6" t="s">
        <v>280</v>
      </c>
    </row>
    <row r="828" spans="1:12" customFormat="1" ht="14.4" x14ac:dyDescent="0.3">
      <c r="A828" s="1" t="s">
        <v>12</v>
      </c>
      <c r="B828" s="1" t="s">
        <v>13</v>
      </c>
      <c r="C828" s="2" t="s">
        <v>14</v>
      </c>
      <c r="D828" s="1" t="s">
        <v>41</v>
      </c>
      <c r="E828" s="1" t="s">
        <v>61</v>
      </c>
      <c r="F828" s="1" t="s">
        <v>62</v>
      </c>
      <c r="G828" s="3">
        <v>1300</v>
      </c>
      <c r="H828" s="19">
        <v>45512</v>
      </c>
      <c r="I828" s="3" t="s">
        <v>204</v>
      </c>
      <c r="J828" s="3" t="s">
        <v>205</v>
      </c>
      <c r="K828" s="1">
        <v>352403638</v>
      </c>
      <c r="L828" s="6" t="s">
        <v>280</v>
      </c>
    </row>
    <row r="829" spans="1:12" s="25" customFormat="1" ht="14.4" x14ac:dyDescent="0.3">
      <c r="A829" s="22" t="s">
        <v>12</v>
      </c>
      <c r="B829" s="22" t="s">
        <v>13</v>
      </c>
      <c r="C829" s="22" t="s">
        <v>14</v>
      </c>
      <c r="D829" s="22" t="s">
        <v>215</v>
      </c>
      <c r="E829" s="22" t="s">
        <v>216</v>
      </c>
      <c r="F829" s="22" t="s">
        <v>33</v>
      </c>
      <c r="G829" s="23">
        <v>500</v>
      </c>
      <c r="H829" s="19">
        <v>45513</v>
      </c>
      <c r="I829" s="23" t="s">
        <v>155</v>
      </c>
      <c r="J829" s="23" t="s">
        <v>156</v>
      </c>
      <c r="K829" s="22">
        <v>352403653</v>
      </c>
      <c r="L829" s="24" t="s">
        <v>281</v>
      </c>
    </row>
    <row r="830" spans="1:12" s="25" customFormat="1" ht="14.4" x14ac:dyDescent="0.3">
      <c r="A830" s="22" t="s">
        <v>12</v>
      </c>
      <c r="B830" s="22" t="s">
        <v>13</v>
      </c>
      <c r="C830" s="22" t="s">
        <v>14</v>
      </c>
      <c r="D830" s="22" t="s">
        <v>215</v>
      </c>
      <c r="E830" s="22" t="s">
        <v>216</v>
      </c>
      <c r="F830" s="22" t="s">
        <v>33</v>
      </c>
      <c r="G830" s="23">
        <v>500</v>
      </c>
      <c r="H830" s="19">
        <v>45513</v>
      </c>
      <c r="I830" s="23" t="s">
        <v>155</v>
      </c>
      <c r="J830" s="23" t="s">
        <v>156</v>
      </c>
      <c r="K830" s="22">
        <v>352403662</v>
      </c>
      <c r="L830" s="24" t="s">
        <v>281</v>
      </c>
    </row>
    <row r="831" spans="1:12" s="25" customFormat="1" ht="14.4" x14ac:dyDescent="0.3">
      <c r="A831" s="22" t="s">
        <v>12</v>
      </c>
      <c r="B831" s="22" t="s">
        <v>13</v>
      </c>
      <c r="C831" s="22" t="s">
        <v>14</v>
      </c>
      <c r="D831" s="22" t="s">
        <v>215</v>
      </c>
      <c r="E831" s="22" t="s">
        <v>216</v>
      </c>
      <c r="F831" s="22" t="s">
        <v>33</v>
      </c>
      <c r="G831" s="23">
        <v>500</v>
      </c>
      <c r="H831" s="19">
        <v>45513</v>
      </c>
      <c r="I831" s="23" t="s">
        <v>155</v>
      </c>
      <c r="J831" s="23" t="s">
        <v>156</v>
      </c>
      <c r="K831" s="22">
        <v>352403664</v>
      </c>
      <c r="L831" s="24" t="s">
        <v>282</v>
      </c>
    </row>
    <row r="832" spans="1:12" customFormat="1" ht="14.4" x14ac:dyDescent="0.3">
      <c r="A832" s="1" t="s">
        <v>12</v>
      </c>
      <c r="B832" s="1" t="s">
        <v>13</v>
      </c>
      <c r="C832" s="2" t="s">
        <v>14</v>
      </c>
      <c r="D832" s="1" t="s">
        <v>41</v>
      </c>
      <c r="E832" s="1" t="s">
        <v>61</v>
      </c>
      <c r="F832" s="1" t="s">
        <v>62</v>
      </c>
      <c r="G832" s="3">
        <v>1300</v>
      </c>
      <c r="H832" s="19">
        <v>45513</v>
      </c>
      <c r="I832" s="3" t="s">
        <v>204</v>
      </c>
      <c r="J832" s="3" t="s">
        <v>205</v>
      </c>
      <c r="K832" s="1">
        <v>352403663</v>
      </c>
      <c r="L832" s="6" t="s">
        <v>280</v>
      </c>
    </row>
    <row r="833" spans="1:12" customFormat="1" ht="14.4" x14ac:dyDescent="0.3">
      <c r="A833" s="1" t="s">
        <v>12</v>
      </c>
      <c r="B833" s="1" t="s">
        <v>13</v>
      </c>
      <c r="C833" s="2" t="s">
        <v>14</v>
      </c>
      <c r="D833" s="1" t="s">
        <v>41</v>
      </c>
      <c r="E833" s="1" t="s">
        <v>61</v>
      </c>
      <c r="F833" s="1" t="s">
        <v>62</v>
      </c>
      <c r="G833" s="3">
        <v>1300</v>
      </c>
      <c r="H833" s="19">
        <v>45513</v>
      </c>
      <c r="I833" s="3" t="s">
        <v>204</v>
      </c>
      <c r="J833" s="3" t="s">
        <v>205</v>
      </c>
      <c r="K833" s="1">
        <v>352403667</v>
      </c>
      <c r="L833" s="6" t="s">
        <v>280</v>
      </c>
    </row>
    <row r="834" spans="1:12" customFormat="1" ht="14.4" x14ac:dyDescent="0.3">
      <c r="A834" s="1" t="s">
        <v>12</v>
      </c>
      <c r="B834" s="1" t="s">
        <v>13</v>
      </c>
      <c r="C834" s="2" t="s">
        <v>14</v>
      </c>
      <c r="D834" s="1" t="s">
        <v>15</v>
      </c>
      <c r="E834" s="1" t="s">
        <v>16</v>
      </c>
      <c r="F834" s="1" t="s">
        <v>17</v>
      </c>
      <c r="G834" s="3">
        <v>4000</v>
      </c>
      <c r="H834" s="19">
        <v>45513</v>
      </c>
      <c r="I834" s="3" t="s">
        <v>85</v>
      </c>
      <c r="J834" s="3" t="s">
        <v>19</v>
      </c>
      <c r="K834" s="1">
        <v>352403654</v>
      </c>
      <c r="L834" s="6" t="s">
        <v>20</v>
      </c>
    </row>
    <row r="835" spans="1:12" customFormat="1" ht="14.4" x14ac:dyDescent="0.3">
      <c r="A835" s="1" t="s">
        <v>12</v>
      </c>
      <c r="B835" s="1" t="s">
        <v>13</v>
      </c>
      <c r="C835" s="2" t="s">
        <v>14</v>
      </c>
      <c r="D835" s="1" t="s">
        <v>41</v>
      </c>
      <c r="E835" s="1" t="s">
        <v>42</v>
      </c>
      <c r="F835" s="1" t="s">
        <v>43</v>
      </c>
      <c r="G835" s="3">
        <v>4000</v>
      </c>
      <c r="H835" s="19">
        <v>45513</v>
      </c>
      <c r="I835" s="3" t="s">
        <v>87</v>
      </c>
      <c r="J835" s="3" t="s">
        <v>45</v>
      </c>
      <c r="K835" s="1">
        <v>352403660</v>
      </c>
      <c r="L835" s="6" t="s">
        <v>20</v>
      </c>
    </row>
    <row r="836" spans="1:12" customFormat="1" ht="14.4" x14ac:dyDescent="0.3">
      <c r="A836" s="1" t="s">
        <v>12</v>
      </c>
      <c r="B836" s="1" t="s">
        <v>13</v>
      </c>
      <c r="C836" s="2" t="s">
        <v>14</v>
      </c>
      <c r="D836" s="1" t="s">
        <v>64</v>
      </c>
      <c r="E836" s="1" t="s">
        <v>65</v>
      </c>
      <c r="F836" s="1" t="s">
        <v>66</v>
      </c>
      <c r="G836" s="3">
        <v>5250</v>
      </c>
      <c r="H836" s="19">
        <v>45513</v>
      </c>
      <c r="I836" s="3" t="s">
        <v>101</v>
      </c>
      <c r="J836" s="3" t="s">
        <v>68</v>
      </c>
      <c r="K836" s="1">
        <v>352403659</v>
      </c>
      <c r="L836" s="6" t="s">
        <v>69</v>
      </c>
    </row>
    <row r="837" spans="1:12" customFormat="1" ht="14.4" x14ac:dyDescent="0.3">
      <c r="A837" s="1" t="s">
        <v>12</v>
      </c>
      <c r="B837" s="1" t="s">
        <v>13</v>
      </c>
      <c r="C837" s="2" t="s">
        <v>14</v>
      </c>
      <c r="D837" s="1" t="s">
        <v>48</v>
      </c>
      <c r="E837" s="1" t="s">
        <v>49</v>
      </c>
      <c r="F837" s="1" t="s">
        <v>50</v>
      </c>
      <c r="G837" s="3">
        <v>5250</v>
      </c>
      <c r="H837" s="19">
        <v>45513</v>
      </c>
      <c r="I837" s="3" t="s">
        <v>117</v>
      </c>
      <c r="J837" s="3" t="s">
        <v>118</v>
      </c>
      <c r="K837" s="1">
        <v>352403614</v>
      </c>
      <c r="L837" s="6" t="s">
        <v>69</v>
      </c>
    </row>
    <row r="838" spans="1:12" customFormat="1" ht="14.4" x14ac:dyDescent="0.3">
      <c r="A838" s="1" t="s">
        <v>12</v>
      </c>
      <c r="B838" s="1" t="s">
        <v>13</v>
      </c>
      <c r="C838" s="2" t="s">
        <v>14</v>
      </c>
      <c r="D838" s="1" t="s">
        <v>31</v>
      </c>
      <c r="E838" s="1" t="s">
        <v>32</v>
      </c>
      <c r="F838" s="1" t="s">
        <v>33</v>
      </c>
      <c r="G838" s="3">
        <v>5250</v>
      </c>
      <c r="H838" s="19">
        <v>45513</v>
      </c>
      <c r="I838" s="3" t="s">
        <v>78</v>
      </c>
      <c r="J838" s="3" t="s">
        <v>79</v>
      </c>
      <c r="K838" s="1">
        <v>352403636</v>
      </c>
      <c r="L838" s="6" t="s">
        <v>69</v>
      </c>
    </row>
    <row r="839" spans="1:12" customFormat="1" ht="14.4" x14ac:dyDescent="0.3">
      <c r="A839" s="1" t="s">
        <v>12</v>
      </c>
      <c r="B839" s="1" t="s">
        <v>13</v>
      </c>
      <c r="C839" s="2" t="s">
        <v>14</v>
      </c>
      <c r="D839" s="1" t="s">
        <v>257</v>
      </c>
      <c r="E839" s="7" t="s">
        <v>258</v>
      </c>
      <c r="F839" s="7" t="s">
        <v>33</v>
      </c>
      <c r="G839" s="3">
        <v>5250</v>
      </c>
      <c r="H839" s="19">
        <v>45513</v>
      </c>
      <c r="I839" s="3" t="s">
        <v>88</v>
      </c>
      <c r="J839" s="3" t="s">
        <v>59</v>
      </c>
      <c r="K839" s="1">
        <v>352403617</v>
      </c>
      <c r="L839" s="6" t="s">
        <v>69</v>
      </c>
    </row>
    <row r="840" spans="1:12" customFormat="1" ht="14.4" x14ac:dyDescent="0.3">
      <c r="A840" s="1" t="s">
        <v>12</v>
      </c>
      <c r="B840" s="1" t="s">
        <v>13</v>
      </c>
      <c r="C840" s="2" t="s">
        <v>14</v>
      </c>
      <c r="D840" s="3" t="s">
        <v>149</v>
      </c>
      <c r="E840" s="18">
        <v>50100624324501</v>
      </c>
      <c r="F840" s="3" t="s">
        <v>150</v>
      </c>
      <c r="G840" s="3">
        <v>5250</v>
      </c>
      <c r="H840" s="19">
        <v>45513</v>
      </c>
      <c r="I840" s="3" t="s">
        <v>77</v>
      </c>
      <c r="J840" s="3" t="s">
        <v>29</v>
      </c>
      <c r="K840" s="1">
        <v>352403615</v>
      </c>
      <c r="L840" s="6" t="s">
        <v>69</v>
      </c>
    </row>
    <row r="841" spans="1:12" customFormat="1" ht="14.4" x14ac:dyDescent="0.3">
      <c r="A841" s="1" t="s">
        <v>12</v>
      </c>
      <c r="B841" s="1" t="s">
        <v>13</v>
      </c>
      <c r="C841" s="2" t="s">
        <v>14</v>
      </c>
      <c r="D841" s="1" t="s">
        <v>36</v>
      </c>
      <c r="E841" s="1" t="s">
        <v>37</v>
      </c>
      <c r="F841" s="1" t="s">
        <v>38</v>
      </c>
      <c r="G841" s="3">
        <v>3950</v>
      </c>
      <c r="H841" s="19">
        <v>45513</v>
      </c>
      <c r="I841" s="3" t="s">
        <v>92</v>
      </c>
      <c r="J841" s="3" t="s">
        <v>40</v>
      </c>
      <c r="K841" s="1">
        <v>352403642</v>
      </c>
      <c r="L841" s="6" t="s">
        <v>170</v>
      </c>
    </row>
    <row r="842" spans="1:12" x14ac:dyDescent="0.25">
      <c r="A842" s="30" t="s">
        <v>12</v>
      </c>
      <c r="B842" s="30" t="s">
        <v>13</v>
      </c>
      <c r="C842" s="30" t="s">
        <v>14</v>
      </c>
      <c r="D842" s="30" t="s">
        <v>144</v>
      </c>
      <c r="E842" s="39">
        <v>42542201947</v>
      </c>
      <c r="F842" s="30" t="s">
        <v>145</v>
      </c>
      <c r="G842" s="32">
        <v>5250</v>
      </c>
      <c r="H842" s="75">
        <v>45513</v>
      </c>
      <c r="I842" s="32" t="s">
        <v>146</v>
      </c>
      <c r="J842" s="32" t="s">
        <v>147</v>
      </c>
      <c r="K842" s="30">
        <v>352403619</v>
      </c>
      <c r="L842" s="35" t="s">
        <v>69</v>
      </c>
    </row>
    <row r="843" spans="1:12" s="25" customFormat="1" ht="14.4" x14ac:dyDescent="0.3">
      <c r="A843" s="22" t="s">
        <v>12</v>
      </c>
      <c r="B843" s="22" t="s">
        <v>13</v>
      </c>
      <c r="C843" s="22" t="s">
        <v>14</v>
      </c>
      <c r="D843" s="22" t="s">
        <v>215</v>
      </c>
      <c r="E843" s="22" t="s">
        <v>216</v>
      </c>
      <c r="F843" s="22" t="s">
        <v>33</v>
      </c>
      <c r="G843" s="23">
        <v>500</v>
      </c>
      <c r="H843" s="19">
        <v>45514</v>
      </c>
      <c r="I843" s="23" t="s">
        <v>155</v>
      </c>
      <c r="J843" s="23" t="s">
        <v>156</v>
      </c>
      <c r="K843" s="22">
        <v>352403679</v>
      </c>
      <c r="L843" s="24" t="s">
        <v>283</v>
      </c>
    </row>
    <row r="844" spans="1:12" customFormat="1" ht="14.4" x14ac:dyDescent="0.3">
      <c r="A844" s="1" t="s">
        <v>12</v>
      </c>
      <c r="B844" s="1" t="s">
        <v>13</v>
      </c>
      <c r="C844" s="2" t="s">
        <v>14</v>
      </c>
      <c r="D844" s="1" t="s">
        <v>15</v>
      </c>
      <c r="E844" s="1" t="s">
        <v>16</v>
      </c>
      <c r="F844" s="1" t="s">
        <v>17</v>
      </c>
      <c r="G844" s="3">
        <v>900</v>
      </c>
      <c r="H844" s="19">
        <v>45514</v>
      </c>
      <c r="I844" s="3" t="s">
        <v>85</v>
      </c>
      <c r="J844" s="3" t="s">
        <v>19</v>
      </c>
      <c r="K844" s="1">
        <v>352403686</v>
      </c>
      <c r="L844" s="6" t="s">
        <v>260</v>
      </c>
    </row>
    <row r="845" spans="1:12" customFormat="1" ht="14.4" x14ac:dyDescent="0.3">
      <c r="A845" s="1" t="s">
        <v>12</v>
      </c>
      <c r="B845" s="1" t="s">
        <v>13</v>
      </c>
      <c r="C845" s="2" t="s">
        <v>14</v>
      </c>
      <c r="D845" s="1" t="s">
        <v>113</v>
      </c>
      <c r="E845" s="1" t="s">
        <v>114</v>
      </c>
      <c r="F845" s="1" t="s">
        <v>66</v>
      </c>
      <c r="G845" s="3">
        <v>5000</v>
      </c>
      <c r="H845" s="19">
        <v>45514</v>
      </c>
      <c r="I845" s="3" t="s">
        <v>91</v>
      </c>
      <c r="J845" s="3" t="s">
        <v>22</v>
      </c>
      <c r="K845" s="1">
        <v>352403652</v>
      </c>
      <c r="L845" s="6" t="s">
        <v>35</v>
      </c>
    </row>
    <row r="846" spans="1:12" customFormat="1" ht="14.4" x14ac:dyDescent="0.3">
      <c r="A846" s="1" t="s">
        <v>12</v>
      </c>
      <c r="B846" s="1" t="s">
        <v>13</v>
      </c>
      <c r="C846" s="2" t="s">
        <v>14</v>
      </c>
      <c r="D846" s="1" t="s">
        <v>70</v>
      </c>
      <c r="E846" s="1" t="s">
        <v>71</v>
      </c>
      <c r="F846" s="1" t="s">
        <v>72</v>
      </c>
      <c r="G846" s="3">
        <v>7500</v>
      </c>
      <c r="H846" s="19">
        <v>45514</v>
      </c>
      <c r="I846" s="3" t="s">
        <v>83</v>
      </c>
      <c r="J846" s="3" t="s">
        <v>84</v>
      </c>
      <c r="K846" s="1">
        <v>352403555</v>
      </c>
      <c r="L846" s="6" t="s">
        <v>106</v>
      </c>
    </row>
    <row r="847" spans="1:12" customFormat="1" ht="14.4" x14ac:dyDescent="0.3">
      <c r="A847" s="1" t="s">
        <v>12</v>
      </c>
      <c r="B847" s="1" t="s">
        <v>13</v>
      </c>
      <c r="C847" s="2" t="s">
        <v>14</v>
      </c>
      <c r="D847" s="1" t="s">
        <v>70</v>
      </c>
      <c r="E847" s="1" t="s">
        <v>71</v>
      </c>
      <c r="F847" s="1" t="s">
        <v>72</v>
      </c>
      <c r="G847" s="3">
        <v>4750</v>
      </c>
      <c r="H847" s="19">
        <v>45515</v>
      </c>
      <c r="I847" s="3" t="s">
        <v>83</v>
      </c>
      <c r="J847" s="3" t="s">
        <v>84</v>
      </c>
      <c r="K847" s="1">
        <v>352403705</v>
      </c>
      <c r="L847" s="6" t="s">
        <v>24</v>
      </c>
    </row>
    <row r="848" spans="1:12" s="25" customFormat="1" ht="14.4" x14ac:dyDescent="0.3">
      <c r="A848" s="22" t="s">
        <v>12</v>
      </c>
      <c r="B848" s="22" t="s">
        <v>13</v>
      </c>
      <c r="C848" s="22" t="s">
        <v>14</v>
      </c>
      <c r="D848" s="22" t="s">
        <v>183</v>
      </c>
      <c r="E848" s="22" t="s">
        <v>184</v>
      </c>
      <c r="F848" s="22" t="s">
        <v>185</v>
      </c>
      <c r="G848" s="23">
        <v>500</v>
      </c>
      <c r="H848" s="19">
        <v>45515</v>
      </c>
      <c r="I848" s="23" t="s">
        <v>186</v>
      </c>
      <c r="J848" s="23" t="s">
        <v>187</v>
      </c>
      <c r="K848" s="22">
        <v>352403706</v>
      </c>
      <c r="L848" s="24" t="s">
        <v>284</v>
      </c>
    </row>
    <row r="849" spans="1:12" s="25" customFormat="1" ht="14.4" x14ac:dyDescent="0.3">
      <c r="A849" s="22" t="s">
        <v>12</v>
      </c>
      <c r="B849" s="22" t="s">
        <v>13</v>
      </c>
      <c r="C849" s="22" t="s">
        <v>14</v>
      </c>
      <c r="D849" s="22" t="s">
        <v>215</v>
      </c>
      <c r="E849" s="22" t="s">
        <v>216</v>
      </c>
      <c r="F849" s="22" t="s">
        <v>33</v>
      </c>
      <c r="G849" s="23">
        <v>500</v>
      </c>
      <c r="H849" s="19">
        <v>45515</v>
      </c>
      <c r="I849" s="23" t="s">
        <v>155</v>
      </c>
      <c r="J849" s="23" t="s">
        <v>156</v>
      </c>
      <c r="K849" s="22">
        <v>352403707</v>
      </c>
      <c r="L849" s="24" t="s">
        <v>285</v>
      </c>
    </row>
    <row r="850" spans="1:12" customFormat="1" ht="14.4" x14ac:dyDescent="0.3">
      <c r="A850" s="1" t="s">
        <v>12</v>
      </c>
      <c r="B850" s="1" t="s">
        <v>13</v>
      </c>
      <c r="C850" s="2" t="s">
        <v>14</v>
      </c>
      <c r="D850" s="1" t="s">
        <v>64</v>
      </c>
      <c r="E850" s="1" t="s">
        <v>65</v>
      </c>
      <c r="F850" s="1" t="s">
        <v>66</v>
      </c>
      <c r="G850" s="3">
        <v>5250</v>
      </c>
      <c r="H850" s="19">
        <v>45516</v>
      </c>
      <c r="I850" s="3" t="s">
        <v>101</v>
      </c>
      <c r="J850" s="3" t="s">
        <v>68</v>
      </c>
      <c r="K850" s="1">
        <v>352403715</v>
      </c>
      <c r="L850" s="6" t="s">
        <v>69</v>
      </c>
    </row>
    <row r="851" spans="1:12" customFormat="1" ht="14.4" x14ac:dyDescent="0.3">
      <c r="A851" s="1" t="s">
        <v>12</v>
      </c>
      <c r="B851" s="1" t="s">
        <v>13</v>
      </c>
      <c r="C851" s="2" t="s">
        <v>14</v>
      </c>
      <c r="D851" s="1" t="s">
        <v>274</v>
      </c>
      <c r="E851" s="1" t="s">
        <v>275</v>
      </c>
      <c r="F851" s="1" t="s">
        <v>33</v>
      </c>
      <c r="G851" s="3">
        <v>5250</v>
      </c>
      <c r="H851" s="19">
        <v>45516</v>
      </c>
      <c r="I851" s="3" t="s">
        <v>117</v>
      </c>
      <c r="J851" s="3" t="s">
        <v>118</v>
      </c>
      <c r="K851" s="1">
        <v>352403716</v>
      </c>
      <c r="L851" s="6" t="s">
        <v>69</v>
      </c>
    </row>
    <row r="852" spans="1:12" customFormat="1" ht="14.4" x14ac:dyDescent="0.3">
      <c r="A852" s="1" t="s">
        <v>12</v>
      </c>
      <c r="B852" s="1" t="s">
        <v>13</v>
      </c>
      <c r="C852" s="2" t="s">
        <v>14</v>
      </c>
      <c r="D852" s="1" t="s">
        <v>113</v>
      </c>
      <c r="E852" s="1" t="s">
        <v>114</v>
      </c>
      <c r="F852" s="1" t="s">
        <v>66</v>
      </c>
      <c r="G852" s="3">
        <v>4750</v>
      </c>
      <c r="H852" s="19">
        <v>45516</v>
      </c>
      <c r="I852" s="3" t="s">
        <v>91</v>
      </c>
      <c r="J852" s="3" t="s">
        <v>22</v>
      </c>
      <c r="K852" s="1">
        <v>352403708</v>
      </c>
      <c r="L852" s="6" t="s">
        <v>24</v>
      </c>
    </row>
    <row r="853" spans="1:12" customFormat="1" ht="14.4" x14ac:dyDescent="0.3">
      <c r="A853" s="1" t="s">
        <v>12</v>
      </c>
      <c r="B853" s="1" t="s">
        <v>13</v>
      </c>
      <c r="C853" s="2" t="s">
        <v>14</v>
      </c>
      <c r="D853" s="1" t="s">
        <v>36</v>
      </c>
      <c r="E853" s="1" t="s">
        <v>37</v>
      </c>
      <c r="F853" s="1" t="s">
        <v>38</v>
      </c>
      <c r="G853" s="3">
        <v>5250</v>
      </c>
      <c r="H853" s="19">
        <v>45516</v>
      </c>
      <c r="I853" s="3" t="s">
        <v>92</v>
      </c>
      <c r="J853" s="3" t="s">
        <v>40</v>
      </c>
      <c r="K853" s="1">
        <v>352403713</v>
      </c>
      <c r="L853" s="6" t="s">
        <v>69</v>
      </c>
    </row>
    <row r="854" spans="1:12" s="25" customFormat="1" ht="14.4" x14ac:dyDescent="0.3">
      <c r="A854" s="22" t="s">
        <v>12</v>
      </c>
      <c r="B854" s="22" t="s">
        <v>13</v>
      </c>
      <c r="C854" s="22" t="s">
        <v>14</v>
      </c>
      <c r="D854" s="22" t="s">
        <v>73</v>
      </c>
      <c r="E854" s="22" t="s">
        <v>89</v>
      </c>
      <c r="F854" s="22" t="s">
        <v>74</v>
      </c>
      <c r="G854" s="3">
        <v>5250</v>
      </c>
      <c r="H854" s="19">
        <v>45516</v>
      </c>
      <c r="I854" s="23" t="s">
        <v>90</v>
      </c>
      <c r="J854" s="23" t="s">
        <v>76</v>
      </c>
      <c r="K854" s="1">
        <v>352403724</v>
      </c>
      <c r="L854" s="6" t="s">
        <v>69</v>
      </c>
    </row>
    <row r="855" spans="1:12" customFormat="1" ht="14.4" x14ac:dyDescent="0.3">
      <c r="A855" s="10" t="s">
        <v>12</v>
      </c>
      <c r="B855" s="10" t="s">
        <v>13</v>
      </c>
      <c r="C855" s="10" t="s">
        <v>14</v>
      </c>
      <c r="D855" s="10" t="s">
        <v>15</v>
      </c>
      <c r="E855" s="10" t="s">
        <v>16</v>
      </c>
      <c r="F855" s="10" t="s">
        <v>17</v>
      </c>
      <c r="G855" s="13">
        <v>4000</v>
      </c>
      <c r="H855" s="21">
        <v>45516</v>
      </c>
      <c r="I855" s="13" t="s">
        <v>85</v>
      </c>
      <c r="J855" s="13" t="s">
        <v>19</v>
      </c>
      <c r="K855" s="10">
        <v>352403687</v>
      </c>
      <c r="L855" s="14" t="s">
        <v>20</v>
      </c>
    </row>
    <row r="856" spans="1:12" customFormat="1" ht="14.4" x14ac:dyDescent="0.3">
      <c r="A856" s="10" t="s">
        <v>12</v>
      </c>
      <c r="B856" s="10" t="s">
        <v>13</v>
      </c>
      <c r="C856" s="10" t="s">
        <v>14</v>
      </c>
      <c r="D856" s="10" t="s">
        <v>41</v>
      </c>
      <c r="E856" s="10" t="s">
        <v>42</v>
      </c>
      <c r="F856" s="10" t="s">
        <v>43</v>
      </c>
      <c r="G856" s="13">
        <v>4000</v>
      </c>
      <c r="H856" s="21">
        <v>45516</v>
      </c>
      <c r="I856" s="13" t="s">
        <v>87</v>
      </c>
      <c r="J856" s="13" t="s">
        <v>45</v>
      </c>
      <c r="K856" s="10">
        <v>352403690</v>
      </c>
      <c r="L856" s="14" t="s">
        <v>20</v>
      </c>
    </row>
    <row r="857" spans="1:12" s="25" customFormat="1" ht="14.4" x14ac:dyDescent="0.3">
      <c r="A857" s="22" t="s">
        <v>12</v>
      </c>
      <c r="B857" s="22" t="s">
        <v>13</v>
      </c>
      <c r="C857" s="22" t="s">
        <v>14</v>
      </c>
      <c r="D857" s="22" t="s">
        <v>215</v>
      </c>
      <c r="E857" s="22" t="s">
        <v>216</v>
      </c>
      <c r="F857" s="22" t="s">
        <v>33</v>
      </c>
      <c r="G857" s="23">
        <v>500</v>
      </c>
      <c r="H857" s="19">
        <v>45516</v>
      </c>
      <c r="I857" s="23" t="s">
        <v>155</v>
      </c>
      <c r="J857" s="23" t="s">
        <v>156</v>
      </c>
      <c r="K857" s="22">
        <v>352403729</v>
      </c>
      <c r="L857" s="24" t="s">
        <v>286</v>
      </c>
    </row>
    <row r="858" spans="1:12" customFormat="1" ht="14.4" x14ac:dyDescent="0.3">
      <c r="A858" s="1" t="s">
        <v>12</v>
      </c>
      <c r="B858" s="1" t="s">
        <v>13</v>
      </c>
      <c r="C858" s="2" t="s">
        <v>14</v>
      </c>
      <c r="D858" s="1" t="s">
        <v>41</v>
      </c>
      <c r="E858" s="1" t="s">
        <v>61</v>
      </c>
      <c r="F858" s="1" t="s">
        <v>62</v>
      </c>
      <c r="G858" s="3">
        <v>1300</v>
      </c>
      <c r="H858" s="19">
        <v>45516</v>
      </c>
      <c r="I858" s="3" t="s">
        <v>204</v>
      </c>
      <c r="J858" s="3" t="s">
        <v>205</v>
      </c>
      <c r="K858" s="1">
        <v>352403732</v>
      </c>
      <c r="L858" s="6" t="s">
        <v>287</v>
      </c>
    </row>
    <row r="859" spans="1:12" customFormat="1" ht="14.4" x14ac:dyDescent="0.3">
      <c r="A859" s="1" t="s">
        <v>12</v>
      </c>
      <c r="B859" s="1" t="s">
        <v>13</v>
      </c>
      <c r="C859" s="2" t="s">
        <v>14</v>
      </c>
      <c r="D859" s="1" t="s">
        <v>41</v>
      </c>
      <c r="E859" s="1" t="s">
        <v>61</v>
      </c>
      <c r="F859" s="1" t="s">
        <v>62</v>
      </c>
      <c r="G859" s="3">
        <v>1300</v>
      </c>
      <c r="H859" s="19">
        <v>45516</v>
      </c>
      <c r="I859" s="3" t="s">
        <v>204</v>
      </c>
      <c r="J859" s="3" t="s">
        <v>205</v>
      </c>
      <c r="K859" s="1">
        <v>352403733</v>
      </c>
      <c r="L859" s="6" t="s">
        <v>287</v>
      </c>
    </row>
    <row r="860" spans="1:12" customFormat="1" ht="14.4" x14ac:dyDescent="0.3">
      <c r="A860" s="1" t="s">
        <v>12</v>
      </c>
      <c r="B860" s="1" t="s">
        <v>13</v>
      </c>
      <c r="C860" s="2" t="s">
        <v>14</v>
      </c>
      <c r="D860" s="1" t="s">
        <v>15</v>
      </c>
      <c r="E860" s="1" t="s">
        <v>16</v>
      </c>
      <c r="F860" s="1" t="s">
        <v>17</v>
      </c>
      <c r="G860" s="3">
        <v>4000</v>
      </c>
      <c r="H860" s="19">
        <v>45517</v>
      </c>
      <c r="I860" s="3" t="s">
        <v>85</v>
      </c>
      <c r="J860" s="3" t="s">
        <v>19</v>
      </c>
      <c r="K860" s="1">
        <v>352403687</v>
      </c>
      <c r="L860" s="6" t="s">
        <v>288</v>
      </c>
    </row>
    <row r="861" spans="1:12" customFormat="1" ht="14.4" x14ac:dyDescent="0.3">
      <c r="A861" s="1" t="s">
        <v>12</v>
      </c>
      <c r="B861" s="1" t="s">
        <v>13</v>
      </c>
      <c r="C861" s="2" t="s">
        <v>14</v>
      </c>
      <c r="D861" s="1" t="s">
        <v>41</v>
      </c>
      <c r="E861" s="1" t="s">
        <v>42</v>
      </c>
      <c r="F861" s="1" t="s">
        <v>43</v>
      </c>
      <c r="G861" s="3">
        <v>4000</v>
      </c>
      <c r="H861" s="19">
        <v>45517</v>
      </c>
      <c r="I861" s="3" t="s">
        <v>87</v>
      </c>
      <c r="J861" s="3" t="s">
        <v>45</v>
      </c>
      <c r="K861" s="1">
        <v>352403690</v>
      </c>
      <c r="L861" s="6" t="s">
        <v>288</v>
      </c>
    </row>
    <row r="862" spans="1:12" customFormat="1" ht="14.4" x14ac:dyDescent="0.3">
      <c r="A862" s="1" t="s">
        <v>12</v>
      </c>
      <c r="B862" s="1" t="s">
        <v>13</v>
      </c>
      <c r="C862" s="2" t="s">
        <v>14</v>
      </c>
      <c r="D862" s="1" t="s">
        <v>257</v>
      </c>
      <c r="E862" s="7" t="s">
        <v>258</v>
      </c>
      <c r="F862" s="7" t="s">
        <v>33</v>
      </c>
      <c r="G862" s="3">
        <v>2000</v>
      </c>
      <c r="H862" s="19">
        <v>45517</v>
      </c>
      <c r="I862" s="3" t="s">
        <v>88</v>
      </c>
      <c r="J862" s="3" t="s">
        <v>59</v>
      </c>
      <c r="K862" s="1">
        <v>352403718</v>
      </c>
      <c r="L862" s="6" t="s">
        <v>289</v>
      </c>
    </row>
    <row r="863" spans="1:12" x14ac:dyDescent="0.25">
      <c r="A863" s="30" t="s">
        <v>12</v>
      </c>
      <c r="B863" s="30" t="s">
        <v>13</v>
      </c>
      <c r="C863" s="30" t="s">
        <v>14</v>
      </c>
      <c r="D863" s="30" t="s">
        <v>144</v>
      </c>
      <c r="E863" s="39">
        <v>42542201947</v>
      </c>
      <c r="F863" s="30" t="s">
        <v>145</v>
      </c>
      <c r="G863" s="32">
        <v>2000</v>
      </c>
      <c r="H863" s="75">
        <v>45517</v>
      </c>
      <c r="I863" s="32" t="s">
        <v>146</v>
      </c>
      <c r="J863" s="32" t="s">
        <v>147</v>
      </c>
      <c r="K863" s="30">
        <v>352403719</v>
      </c>
      <c r="L863" s="35" t="s">
        <v>289</v>
      </c>
    </row>
    <row r="864" spans="1:12" customFormat="1" ht="14.4" x14ac:dyDescent="0.3">
      <c r="A864" s="1" t="s">
        <v>12</v>
      </c>
      <c r="B864" s="1" t="s">
        <v>13</v>
      </c>
      <c r="C864" s="2" t="s">
        <v>14</v>
      </c>
      <c r="D864" s="3" t="s">
        <v>149</v>
      </c>
      <c r="E864" s="18">
        <v>50100624324501</v>
      </c>
      <c r="F864" s="3" t="s">
        <v>150</v>
      </c>
      <c r="G864" s="3">
        <v>5000</v>
      </c>
      <c r="H864" s="19">
        <v>45517</v>
      </c>
      <c r="I864" s="3" t="s">
        <v>77</v>
      </c>
      <c r="J864" s="3" t="s">
        <v>29</v>
      </c>
      <c r="K864" s="1">
        <v>352403717</v>
      </c>
      <c r="L864" s="6" t="s">
        <v>35</v>
      </c>
    </row>
    <row r="865" spans="1:12" customFormat="1" ht="14.4" x14ac:dyDescent="0.3">
      <c r="A865" s="1" t="s">
        <v>12</v>
      </c>
      <c r="B865" s="1" t="s">
        <v>13</v>
      </c>
      <c r="C865" s="2" t="s">
        <v>14</v>
      </c>
      <c r="D865" s="1" t="s">
        <v>15</v>
      </c>
      <c r="E865" s="1" t="s">
        <v>16</v>
      </c>
      <c r="F865" s="1" t="s">
        <v>17</v>
      </c>
      <c r="G865" s="3">
        <v>4000</v>
      </c>
      <c r="H865" s="19">
        <v>45517</v>
      </c>
      <c r="I865" s="3" t="s">
        <v>85</v>
      </c>
      <c r="J865" s="3" t="s">
        <v>19</v>
      </c>
      <c r="K865" s="1">
        <v>352403745</v>
      </c>
      <c r="L865" s="6" t="s">
        <v>20</v>
      </c>
    </row>
    <row r="866" spans="1:12" customFormat="1" ht="14.4" x14ac:dyDescent="0.3">
      <c r="A866" s="1" t="s">
        <v>12</v>
      </c>
      <c r="B866" s="1" t="s">
        <v>13</v>
      </c>
      <c r="C866" s="2" t="s">
        <v>14</v>
      </c>
      <c r="D866" s="1" t="s">
        <v>41</v>
      </c>
      <c r="E866" s="1" t="s">
        <v>42</v>
      </c>
      <c r="F866" s="1" t="s">
        <v>43</v>
      </c>
      <c r="G866" s="3">
        <v>4000</v>
      </c>
      <c r="H866" s="19">
        <v>45517</v>
      </c>
      <c r="I866" s="3" t="s">
        <v>87</v>
      </c>
      <c r="J866" s="3" t="s">
        <v>45</v>
      </c>
      <c r="K866" s="1">
        <v>352403746</v>
      </c>
      <c r="L866" s="6" t="s">
        <v>20</v>
      </c>
    </row>
    <row r="867" spans="1:12" customFormat="1" ht="14.4" x14ac:dyDescent="0.3">
      <c r="A867" s="1" t="s">
        <v>12</v>
      </c>
      <c r="B867" s="1" t="s">
        <v>13</v>
      </c>
      <c r="C867" s="2" t="s">
        <v>14</v>
      </c>
      <c r="D867" s="1" t="s">
        <v>257</v>
      </c>
      <c r="E867" s="7" t="s">
        <v>258</v>
      </c>
      <c r="F867" s="7" t="s">
        <v>33</v>
      </c>
      <c r="G867" s="3">
        <v>3000</v>
      </c>
      <c r="H867" s="19">
        <v>45517</v>
      </c>
      <c r="I867" s="3" t="s">
        <v>88</v>
      </c>
      <c r="J867" s="3" t="s">
        <v>59</v>
      </c>
      <c r="K867" s="1">
        <v>352403718</v>
      </c>
      <c r="L867" s="6" t="s">
        <v>290</v>
      </c>
    </row>
    <row r="868" spans="1:12" customFormat="1" ht="14.4" x14ac:dyDescent="0.3">
      <c r="A868" s="1" t="s">
        <v>12</v>
      </c>
      <c r="B868" s="1" t="s">
        <v>13</v>
      </c>
      <c r="C868" s="2" t="s">
        <v>14</v>
      </c>
      <c r="D868" s="1" t="s">
        <v>113</v>
      </c>
      <c r="E868" s="1" t="s">
        <v>114</v>
      </c>
      <c r="F868" s="1" t="s">
        <v>66</v>
      </c>
      <c r="G868" s="3">
        <v>2500</v>
      </c>
      <c r="H868" s="19">
        <v>45517</v>
      </c>
      <c r="I868" s="3" t="s">
        <v>91</v>
      </c>
      <c r="J868" s="3" t="s">
        <v>22</v>
      </c>
      <c r="K868" s="1">
        <v>352403743</v>
      </c>
      <c r="L868" s="6" t="s">
        <v>291</v>
      </c>
    </row>
    <row r="869" spans="1:12" x14ac:dyDescent="0.25">
      <c r="A869" s="30" t="s">
        <v>12</v>
      </c>
      <c r="B869" s="30" t="s">
        <v>13</v>
      </c>
      <c r="C869" s="30" t="s">
        <v>14</v>
      </c>
      <c r="D869" s="30" t="s">
        <v>144</v>
      </c>
      <c r="E869" s="39">
        <v>42542201947</v>
      </c>
      <c r="F869" s="30" t="s">
        <v>145</v>
      </c>
      <c r="G869" s="32">
        <v>3000</v>
      </c>
      <c r="H869" s="75">
        <v>45517</v>
      </c>
      <c r="I869" s="32" t="s">
        <v>146</v>
      </c>
      <c r="J869" s="32" t="s">
        <v>147</v>
      </c>
      <c r="K869" s="30">
        <v>352403719</v>
      </c>
      <c r="L869" s="35" t="s">
        <v>290</v>
      </c>
    </row>
    <row r="870" spans="1:12" customFormat="1" ht="14.4" x14ac:dyDescent="0.3">
      <c r="A870" s="1" t="s">
        <v>12</v>
      </c>
      <c r="B870" s="1" t="s">
        <v>13</v>
      </c>
      <c r="C870" s="2" t="s">
        <v>14</v>
      </c>
      <c r="D870" s="1" t="s">
        <v>31</v>
      </c>
      <c r="E870" s="1" t="s">
        <v>32</v>
      </c>
      <c r="F870" s="1" t="s">
        <v>33</v>
      </c>
      <c r="G870" s="3">
        <v>5000</v>
      </c>
      <c r="H870" s="19">
        <v>45517</v>
      </c>
      <c r="I870" s="3" t="s">
        <v>78</v>
      </c>
      <c r="J870" s="3" t="s">
        <v>79</v>
      </c>
      <c r="K870" s="1">
        <v>352403714</v>
      </c>
      <c r="L870" s="6" t="s">
        <v>292</v>
      </c>
    </row>
    <row r="871" spans="1:12" s="25" customFormat="1" ht="14.4" x14ac:dyDescent="0.3">
      <c r="A871" s="22" t="s">
        <v>12</v>
      </c>
      <c r="B871" s="22" t="s">
        <v>13</v>
      </c>
      <c r="C871" s="22" t="s">
        <v>14</v>
      </c>
      <c r="D871" s="22" t="s">
        <v>73</v>
      </c>
      <c r="E871" s="22" t="s">
        <v>89</v>
      </c>
      <c r="F871" s="22" t="s">
        <v>74</v>
      </c>
      <c r="G871" s="3">
        <v>5000</v>
      </c>
      <c r="H871" s="19">
        <v>45517</v>
      </c>
      <c r="I871" s="23" t="s">
        <v>90</v>
      </c>
      <c r="J871" s="23" t="s">
        <v>76</v>
      </c>
      <c r="K871" s="1">
        <v>352403747</v>
      </c>
      <c r="L871" s="6" t="s">
        <v>292</v>
      </c>
    </row>
    <row r="872" spans="1:12" customFormat="1" ht="14.4" x14ac:dyDescent="0.3">
      <c r="A872" s="1" t="s">
        <v>12</v>
      </c>
      <c r="B872" s="1" t="s">
        <v>13</v>
      </c>
      <c r="C872" s="2" t="s">
        <v>14</v>
      </c>
      <c r="D872" s="1" t="s">
        <v>36</v>
      </c>
      <c r="E872" s="1" t="s">
        <v>37</v>
      </c>
      <c r="F872" s="1" t="s">
        <v>38</v>
      </c>
      <c r="G872" s="3">
        <v>5000</v>
      </c>
      <c r="H872" s="19">
        <v>45517</v>
      </c>
      <c r="I872" s="3" t="s">
        <v>92</v>
      </c>
      <c r="J872" s="3" t="s">
        <v>40</v>
      </c>
      <c r="K872" s="1">
        <v>352403748</v>
      </c>
      <c r="L872" s="6" t="s">
        <v>292</v>
      </c>
    </row>
    <row r="873" spans="1:12" customFormat="1" ht="14.4" x14ac:dyDescent="0.3">
      <c r="A873" s="1" t="s">
        <v>12</v>
      </c>
      <c r="B873" s="1" t="s">
        <v>13</v>
      </c>
      <c r="C873" s="2" t="s">
        <v>14</v>
      </c>
      <c r="D873" s="1" t="s">
        <v>64</v>
      </c>
      <c r="E873" s="1" t="s">
        <v>65</v>
      </c>
      <c r="F873" s="1" t="s">
        <v>66</v>
      </c>
      <c r="G873" s="3">
        <v>5000</v>
      </c>
      <c r="H873" s="19">
        <v>45517</v>
      </c>
      <c r="I873" s="3" t="s">
        <v>101</v>
      </c>
      <c r="J873" s="3" t="s">
        <v>68</v>
      </c>
      <c r="K873" s="1">
        <v>352403749</v>
      </c>
      <c r="L873" s="6" t="s">
        <v>292</v>
      </c>
    </row>
    <row r="874" spans="1:12" customFormat="1" ht="14.4" x14ac:dyDescent="0.3">
      <c r="A874" s="1" t="s">
        <v>12</v>
      </c>
      <c r="B874" s="1" t="s">
        <v>13</v>
      </c>
      <c r="C874" s="2" t="s">
        <v>14</v>
      </c>
      <c r="D874" s="1" t="s">
        <v>41</v>
      </c>
      <c r="E874" s="1" t="s">
        <v>61</v>
      </c>
      <c r="F874" s="1" t="s">
        <v>62</v>
      </c>
      <c r="G874" s="3">
        <v>1300</v>
      </c>
      <c r="H874" s="19">
        <v>45517</v>
      </c>
      <c r="I874" s="3" t="s">
        <v>204</v>
      </c>
      <c r="J874" s="3" t="s">
        <v>205</v>
      </c>
      <c r="K874" s="1">
        <v>352403761</v>
      </c>
      <c r="L874" s="6" t="s">
        <v>293</v>
      </c>
    </row>
    <row r="875" spans="1:12" customFormat="1" ht="14.4" x14ac:dyDescent="0.3">
      <c r="A875" s="1" t="s">
        <v>12</v>
      </c>
      <c r="B875" s="1" t="s">
        <v>13</v>
      </c>
      <c r="C875" s="2" t="s">
        <v>14</v>
      </c>
      <c r="D875" s="1" t="s">
        <v>41</v>
      </c>
      <c r="E875" s="1" t="s">
        <v>61</v>
      </c>
      <c r="F875" s="1" t="s">
        <v>62</v>
      </c>
      <c r="G875" s="3">
        <v>1300</v>
      </c>
      <c r="H875" s="19">
        <v>45517</v>
      </c>
      <c r="I875" s="3" t="s">
        <v>204</v>
      </c>
      <c r="J875" s="3" t="s">
        <v>205</v>
      </c>
      <c r="K875" s="1">
        <v>352403762</v>
      </c>
      <c r="L875" s="6" t="s">
        <v>293</v>
      </c>
    </row>
    <row r="876" spans="1:12" s="25" customFormat="1" ht="14.4" x14ac:dyDescent="0.3">
      <c r="A876" s="22" t="s">
        <v>12</v>
      </c>
      <c r="B876" s="22" t="s">
        <v>13</v>
      </c>
      <c r="C876" s="22" t="s">
        <v>14</v>
      </c>
      <c r="D876" s="22" t="s">
        <v>215</v>
      </c>
      <c r="E876" s="22" t="s">
        <v>216</v>
      </c>
      <c r="F876" s="22" t="s">
        <v>33</v>
      </c>
      <c r="G876" s="23">
        <v>500</v>
      </c>
      <c r="H876" s="19">
        <v>45518</v>
      </c>
      <c r="I876" s="23" t="s">
        <v>155</v>
      </c>
      <c r="J876" s="23" t="s">
        <v>156</v>
      </c>
      <c r="K876" s="22">
        <v>352403744</v>
      </c>
      <c r="L876" s="24" t="s">
        <v>294</v>
      </c>
    </row>
    <row r="877" spans="1:12" s="25" customFormat="1" ht="14.4" x14ac:dyDescent="0.3">
      <c r="A877" s="22" t="s">
        <v>12</v>
      </c>
      <c r="B877" s="22" t="s">
        <v>13</v>
      </c>
      <c r="C877" s="22" t="s">
        <v>14</v>
      </c>
      <c r="D877" s="22" t="s">
        <v>215</v>
      </c>
      <c r="E877" s="22" t="s">
        <v>216</v>
      </c>
      <c r="F877" s="22" t="s">
        <v>33</v>
      </c>
      <c r="G877" s="23">
        <v>500</v>
      </c>
      <c r="H877" s="19">
        <v>45518</v>
      </c>
      <c r="I877" s="23" t="s">
        <v>155</v>
      </c>
      <c r="J877" s="23" t="s">
        <v>156</v>
      </c>
      <c r="K877" s="22">
        <v>352403780</v>
      </c>
      <c r="L877" s="24" t="s">
        <v>295</v>
      </c>
    </row>
    <row r="878" spans="1:12" customFormat="1" ht="14.4" x14ac:dyDescent="0.3">
      <c r="A878" s="1" t="s">
        <v>12</v>
      </c>
      <c r="B878" s="1" t="s">
        <v>13</v>
      </c>
      <c r="C878" s="2" t="s">
        <v>14</v>
      </c>
      <c r="D878" s="1" t="s">
        <v>15</v>
      </c>
      <c r="E878" s="1" t="s">
        <v>16</v>
      </c>
      <c r="F878" s="1" t="s">
        <v>17</v>
      </c>
      <c r="G878" s="3">
        <v>4000</v>
      </c>
      <c r="H878" s="19">
        <v>45518</v>
      </c>
      <c r="I878" s="3" t="s">
        <v>85</v>
      </c>
      <c r="J878" s="3" t="s">
        <v>19</v>
      </c>
      <c r="K878" s="1">
        <v>352403777</v>
      </c>
      <c r="L878" s="6" t="s">
        <v>20</v>
      </c>
    </row>
    <row r="879" spans="1:12" customFormat="1" ht="14.4" x14ac:dyDescent="0.3">
      <c r="A879" s="1" t="s">
        <v>12</v>
      </c>
      <c r="B879" s="1" t="s">
        <v>13</v>
      </c>
      <c r="C879" s="2" t="s">
        <v>14</v>
      </c>
      <c r="D879" s="1" t="s">
        <v>41</v>
      </c>
      <c r="E879" s="1" t="s">
        <v>42</v>
      </c>
      <c r="F879" s="1" t="s">
        <v>43</v>
      </c>
      <c r="G879" s="3">
        <v>2000</v>
      </c>
      <c r="H879" s="19">
        <v>45518</v>
      </c>
      <c r="I879" s="3" t="s">
        <v>87</v>
      </c>
      <c r="J879" s="3" t="s">
        <v>45</v>
      </c>
      <c r="K879" s="1">
        <v>352403796</v>
      </c>
      <c r="L879" s="6" t="s">
        <v>46</v>
      </c>
    </row>
    <row r="880" spans="1:12" customFormat="1" ht="14.4" x14ac:dyDescent="0.3">
      <c r="A880" s="1" t="s">
        <v>12</v>
      </c>
      <c r="B880" s="1" t="s">
        <v>13</v>
      </c>
      <c r="C880" s="2" t="s">
        <v>14</v>
      </c>
      <c r="D880" s="1" t="s">
        <v>257</v>
      </c>
      <c r="E880" s="7" t="s">
        <v>258</v>
      </c>
      <c r="F880" s="7" t="s">
        <v>33</v>
      </c>
      <c r="G880" s="3">
        <v>3000</v>
      </c>
      <c r="H880" s="19">
        <v>45518</v>
      </c>
      <c r="I880" s="3" t="s">
        <v>88</v>
      </c>
      <c r="J880" s="3" t="s">
        <v>59</v>
      </c>
      <c r="K880" s="1">
        <v>352403718</v>
      </c>
      <c r="L880" s="6" t="s">
        <v>290</v>
      </c>
    </row>
    <row r="881" spans="1:12" customFormat="1" ht="14.4" x14ac:dyDescent="0.3">
      <c r="A881" s="1" t="s">
        <v>12</v>
      </c>
      <c r="B881" s="1" t="s">
        <v>13</v>
      </c>
      <c r="C881" s="2" t="s">
        <v>14</v>
      </c>
      <c r="D881" s="1" t="s">
        <v>113</v>
      </c>
      <c r="E881" s="1" t="s">
        <v>114</v>
      </c>
      <c r="F881" s="1" t="s">
        <v>66</v>
      </c>
      <c r="G881" s="3">
        <v>3000</v>
      </c>
      <c r="H881" s="19">
        <v>45518</v>
      </c>
      <c r="I881" s="3" t="s">
        <v>91</v>
      </c>
      <c r="J881" s="3" t="s">
        <v>22</v>
      </c>
      <c r="K881" s="1">
        <v>352403743</v>
      </c>
      <c r="L881" s="6" t="s">
        <v>290</v>
      </c>
    </row>
    <row r="882" spans="1:12" x14ac:dyDescent="0.25">
      <c r="A882" s="30" t="s">
        <v>12</v>
      </c>
      <c r="B882" s="30" t="s">
        <v>13</v>
      </c>
      <c r="C882" s="30" t="s">
        <v>14</v>
      </c>
      <c r="D882" s="30" t="s">
        <v>144</v>
      </c>
      <c r="E882" s="39">
        <v>42542201947</v>
      </c>
      <c r="F882" s="30" t="s">
        <v>145</v>
      </c>
      <c r="G882" s="32">
        <v>3000</v>
      </c>
      <c r="H882" s="75">
        <v>45518</v>
      </c>
      <c r="I882" s="32" t="s">
        <v>146</v>
      </c>
      <c r="J882" s="32" t="s">
        <v>147</v>
      </c>
      <c r="K882" s="30">
        <v>352403719</v>
      </c>
      <c r="L882" s="35" t="s">
        <v>290</v>
      </c>
    </row>
    <row r="883" spans="1:12" customFormat="1" ht="14.4" x14ac:dyDescent="0.3">
      <c r="A883" s="1" t="s">
        <v>12</v>
      </c>
      <c r="B883" s="1" t="s">
        <v>13</v>
      </c>
      <c r="C883" s="2" t="s">
        <v>14</v>
      </c>
      <c r="D883" s="1" t="s">
        <v>41</v>
      </c>
      <c r="E883" s="1" t="s">
        <v>61</v>
      </c>
      <c r="F883" s="1" t="s">
        <v>62</v>
      </c>
      <c r="G883" s="3">
        <v>1300</v>
      </c>
      <c r="H883" s="19">
        <v>45518</v>
      </c>
      <c r="I883" s="3" t="s">
        <v>204</v>
      </c>
      <c r="J883" s="3" t="s">
        <v>205</v>
      </c>
      <c r="K883" s="1">
        <v>352403797</v>
      </c>
      <c r="L883" s="6" t="s">
        <v>296</v>
      </c>
    </row>
    <row r="884" spans="1:12" customFormat="1" ht="14.4" x14ac:dyDescent="0.3">
      <c r="A884" s="1" t="s">
        <v>12</v>
      </c>
      <c r="B884" s="1" t="s">
        <v>13</v>
      </c>
      <c r="C884" s="2" t="s">
        <v>14</v>
      </c>
      <c r="D884" s="1" t="s">
        <v>41</v>
      </c>
      <c r="E884" s="1" t="s">
        <v>61</v>
      </c>
      <c r="F884" s="1" t="s">
        <v>62</v>
      </c>
      <c r="G884" s="3">
        <v>1300</v>
      </c>
      <c r="H884" s="19">
        <v>45518</v>
      </c>
      <c r="I884" s="3" t="s">
        <v>204</v>
      </c>
      <c r="J884" s="3" t="s">
        <v>205</v>
      </c>
      <c r="K884" s="1">
        <v>352403798</v>
      </c>
      <c r="L884" s="6" t="s">
        <v>296</v>
      </c>
    </row>
    <row r="885" spans="1:12" customFormat="1" ht="14.4" x14ac:dyDescent="0.3">
      <c r="A885" s="1" t="s">
        <v>12</v>
      </c>
      <c r="B885" s="1" t="s">
        <v>13</v>
      </c>
      <c r="C885" s="2" t="s">
        <v>14</v>
      </c>
      <c r="D885" s="1" t="s">
        <v>95</v>
      </c>
      <c r="E885" s="1" t="s">
        <v>96</v>
      </c>
      <c r="F885" s="1" t="s">
        <v>33</v>
      </c>
      <c r="G885" s="1">
        <v>2500</v>
      </c>
      <c r="H885" s="5">
        <v>45519</v>
      </c>
      <c r="I885" s="3" t="s">
        <v>93</v>
      </c>
      <c r="J885" s="3" t="s">
        <v>34</v>
      </c>
      <c r="K885" s="1">
        <v>352403825</v>
      </c>
      <c r="L885" s="6" t="s">
        <v>297</v>
      </c>
    </row>
    <row r="886" spans="1:12" s="25" customFormat="1" ht="14.4" x14ac:dyDescent="0.3">
      <c r="A886" s="22" t="s">
        <v>12</v>
      </c>
      <c r="B886" s="22" t="s">
        <v>13</v>
      </c>
      <c r="C886" s="22" t="s">
        <v>14</v>
      </c>
      <c r="D886" s="22" t="s">
        <v>193</v>
      </c>
      <c r="E886" s="22" t="s">
        <v>194</v>
      </c>
      <c r="F886" s="22" t="s">
        <v>195</v>
      </c>
      <c r="G886" s="23">
        <v>500</v>
      </c>
      <c r="H886" s="5">
        <v>45520</v>
      </c>
      <c r="I886" s="23" t="s">
        <v>125</v>
      </c>
      <c r="J886" s="23" t="s">
        <v>126</v>
      </c>
      <c r="K886" s="24">
        <v>352403840</v>
      </c>
      <c r="L886" s="6" t="s">
        <v>298</v>
      </c>
    </row>
    <row r="887" spans="1:12" customFormat="1" ht="14.4" x14ac:dyDescent="0.3">
      <c r="A887" s="1" t="s">
        <v>12</v>
      </c>
      <c r="B887" s="1" t="s">
        <v>13</v>
      </c>
      <c r="C887" s="2" t="s">
        <v>14</v>
      </c>
      <c r="D887" s="1" t="s">
        <v>15</v>
      </c>
      <c r="E887" s="1" t="s">
        <v>16</v>
      </c>
      <c r="F887" s="1" t="s">
        <v>17</v>
      </c>
      <c r="G887" s="3">
        <v>4000</v>
      </c>
      <c r="H887" s="5">
        <v>45520</v>
      </c>
      <c r="I887" s="3" t="s">
        <v>85</v>
      </c>
      <c r="J887" s="3" t="s">
        <v>19</v>
      </c>
      <c r="K887" s="24">
        <v>352403827</v>
      </c>
      <c r="L887" s="6" t="s">
        <v>20</v>
      </c>
    </row>
    <row r="888" spans="1:12" customFormat="1" ht="14.4" x14ac:dyDescent="0.3">
      <c r="A888" s="1" t="s">
        <v>12</v>
      </c>
      <c r="B888" s="1" t="s">
        <v>13</v>
      </c>
      <c r="C888" s="2" t="s">
        <v>14</v>
      </c>
      <c r="D888" s="1" t="s">
        <v>41</v>
      </c>
      <c r="E888" s="1" t="s">
        <v>42</v>
      </c>
      <c r="F888" s="1" t="s">
        <v>43</v>
      </c>
      <c r="G888" s="3">
        <v>4000</v>
      </c>
      <c r="H888" s="5">
        <v>45520</v>
      </c>
      <c r="I888" s="3" t="s">
        <v>87</v>
      </c>
      <c r="J888" s="3" t="s">
        <v>45</v>
      </c>
      <c r="K888" s="24">
        <v>352403796</v>
      </c>
      <c r="L888" s="6" t="s">
        <v>20</v>
      </c>
    </row>
    <row r="889" spans="1:12" s="25" customFormat="1" ht="14.4" x14ac:dyDescent="0.3">
      <c r="A889" s="22" t="s">
        <v>12</v>
      </c>
      <c r="B889" s="22" t="s">
        <v>13</v>
      </c>
      <c r="C889" s="22" t="s">
        <v>14</v>
      </c>
      <c r="D889" s="22" t="s">
        <v>215</v>
      </c>
      <c r="E889" s="22" t="s">
        <v>216</v>
      </c>
      <c r="F889" s="22" t="s">
        <v>33</v>
      </c>
      <c r="G889" s="23">
        <v>500</v>
      </c>
      <c r="H889" s="5">
        <v>45520</v>
      </c>
      <c r="I889" s="23" t="s">
        <v>155</v>
      </c>
      <c r="J889" s="23" t="s">
        <v>156</v>
      </c>
      <c r="K889" s="22">
        <v>352403842</v>
      </c>
      <c r="L889" s="24" t="s">
        <v>299</v>
      </c>
    </row>
    <row r="890" spans="1:12" customFormat="1" ht="14.4" x14ac:dyDescent="0.3">
      <c r="A890" s="1" t="s">
        <v>12</v>
      </c>
      <c r="B890" s="1" t="s">
        <v>13</v>
      </c>
      <c r="C890" s="2" t="s">
        <v>14</v>
      </c>
      <c r="D890" s="1" t="s">
        <v>274</v>
      </c>
      <c r="E890" s="1" t="s">
        <v>275</v>
      </c>
      <c r="F890" s="1" t="s">
        <v>33</v>
      </c>
      <c r="G890" s="3">
        <v>5250</v>
      </c>
      <c r="H890" s="5">
        <v>45520</v>
      </c>
      <c r="I890" s="3" t="s">
        <v>117</v>
      </c>
      <c r="J890" s="3" t="s">
        <v>118</v>
      </c>
      <c r="K890" s="1">
        <v>352403750</v>
      </c>
      <c r="L890" s="6" t="s">
        <v>69</v>
      </c>
    </row>
    <row r="891" spans="1:12" customFormat="1" ht="14.4" x14ac:dyDescent="0.3">
      <c r="A891" s="1" t="s">
        <v>12</v>
      </c>
      <c r="B891" s="1" t="s">
        <v>13</v>
      </c>
      <c r="C891" s="2" t="s">
        <v>14</v>
      </c>
      <c r="D891" s="1" t="s">
        <v>31</v>
      </c>
      <c r="E891" s="1" t="s">
        <v>32</v>
      </c>
      <c r="F891" s="1" t="s">
        <v>33</v>
      </c>
      <c r="G891" s="3">
        <v>5000</v>
      </c>
      <c r="H891" s="5">
        <v>45520</v>
      </c>
      <c r="I891" s="3" t="s">
        <v>78</v>
      </c>
      <c r="J891" s="3" t="s">
        <v>79</v>
      </c>
      <c r="K891" s="1">
        <v>352403818</v>
      </c>
      <c r="L891" s="6" t="s">
        <v>69</v>
      </c>
    </row>
    <row r="892" spans="1:12" customFormat="1" ht="14.4" x14ac:dyDescent="0.3">
      <c r="A892" s="1" t="s">
        <v>12</v>
      </c>
      <c r="B892" s="1" t="s">
        <v>13</v>
      </c>
      <c r="C892" s="2" t="s">
        <v>14</v>
      </c>
      <c r="D892" s="3" t="s">
        <v>149</v>
      </c>
      <c r="E892" s="18">
        <v>50100624324501</v>
      </c>
      <c r="F892" s="3" t="s">
        <v>150</v>
      </c>
      <c r="G892" s="3">
        <v>3750</v>
      </c>
      <c r="H892" s="5">
        <v>45520</v>
      </c>
      <c r="I892" s="3" t="s">
        <v>77</v>
      </c>
      <c r="J892" s="3" t="s">
        <v>29</v>
      </c>
      <c r="K892" s="1">
        <v>352403772</v>
      </c>
      <c r="L892" s="6" t="s">
        <v>69</v>
      </c>
    </row>
    <row r="893" spans="1:12" customFormat="1" ht="14.4" x14ac:dyDescent="0.3">
      <c r="A893" s="1" t="s">
        <v>12</v>
      </c>
      <c r="B893" s="1" t="s">
        <v>13</v>
      </c>
      <c r="C893" s="2" t="s">
        <v>14</v>
      </c>
      <c r="D893" s="1" t="s">
        <v>36</v>
      </c>
      <c r="E893" s="1" t="s">
        <v>37</v>
      </c>
      <c r="F893" s="1" t="s">
        <v>38</v>
      </c>
      <c r="G893" s="3">
        <v>5000</v>
      </c>
      <c r="H893" s="5">
        <v>45520</v>
      </c>
      <c r="I893" s="3" t="s">
        <v>92</v>
      </c>
      <c r="J893" s="3" t="s">
        <v>40</v>
      </c>
      <c r="K893" s="1">
        <v>352403819</v>
      </c>
      <c r="L893" s="6" t="s">
        <v>69</v>
      </c>
    </row>
    <row r="894" spans="1:12" customFormat="1" ht="14.4" x14ac:dyDescent="0.3">
      <c r="A894" s="1" t="s">
        <v>12</v>
      </c>
      <c r="B894" s="1" t="s">
        <v>13</v>
      </c>
      <c r="C894" s="2" t="s">
        <v>14</v>
      </c>
      <c r="D894" s="1" t="s">
        <v>70</v>
      </c>
      <c r="E894" s="1" t="s">
        <v>71</v>
      </c>
      <c r="F894" s="1" t="s">
        <v>72</v>
      </c>
      <c r="G894" s="3">
        <v>5250</v>
      </c>
      <c r="H894" s="5">
        <v>45520</v>
      </c>
      <c r="I894" s="3" t="s">
        <v>83</v>
      </c>
      <c r="J894" s="3" t="s">
        <v>84</v>
      </c>
      <c r="K894" s="1">
        <v>352403781</v>
      </c>
      <c r="L894" s="6" t="s">
        <v>69</v>
      </c>
    </row>
    <row r="895" spans="1:12" s="25" customFormat="1" ht="14.4" x14ac:dyDescent="0.3">
      <c r="A895" s="22" t="s">
        <v>12</v>
      </c>
      <c r="B895" s="22" t="s">
        <v>13</v>
      </c>
      <c r="C895" s="22" t="s">
        <v>14</v>
      </c>
      <c r="D895" s="22" t="s">
        <v>73</v>
      </c>
      <c r="E895" s="22" t="s">
        <v>89</v>
      </c>
      <c r="F895" s="22" t="s">
        <v>74</v>
      </c>
      <c r="G895" s="3">
        <v>3450</v>
      </c>
      <c r="H895" s="5">
        <v>45520</v>
      </c>
      <c r="I895" s="23" t="s">
        <v>90</v>
      </c>
      <c r="J895" s="23" t="s">
        <v>76</v>
      </c>
      <c r="K895" s="1">
        <v>352403817</v>
      </c>
      <c r="L895" s="6" t="s">
        <v>69</v>
      </c>
    </row>
    <row r="896" spans="1:12" customFormat="1" ht="14.4" x14ac:dyDescent="0.3">
      <c r="A896" s="1" t="s">
        <v>12</v>
      </c>
      <c r="B896" s="1" t="s">
        <v>13</v>
      </c>
      <c r="C896" s="2" t="s">
        <v>14</v>
      </c>
      <c r="D896" s="1" t="s">
        <v>41</v>
      </c>
      <c r="E896" s="1" t="s">
        <v>61</v>
      </c>
      <c r="F896" s="1" t="s">
        <v>62</v>
      </c>
      <c r="G896" s="3">
        <v>1300</v>
      </c>
      <c r="H896" s="5">
        <v>45520</v>
      </c>
      <c r="I896" s="3" t="s">
        <v>204</v>
      </c>
      <c r="J896" s="3" t="s">
        <v>205</v>
      </c>
      <c r="K896" s="1">
        <v>352403845</v>
      </c>
      <c r="L896" s="6" t="s">
        <v>300</v>
      </c>
    </row>
    <row r="897" spans="1:12" s="25" customFormat="1" ht="14.4" x14ac:dyDescent="0.3">
      <c r="A897" s="22" t="s">
        <v>12</v>
      </c>
      <c r="B897" s="22" t="s">
        <v>13</v>
      </c>
      <c r="C897" s="22" t="s">
        <v>14</v>
      </c>
      <c r="D897" s="22" t="s">
        <v>215</v>
      </c>
      <c r="E897" s="22" t="s">
        <v>216</v>
      </c>
      <c r="F897" s="22" t="s">
        <v>33</v>
      </c>
      <c r="G897" s="23">
        <v>500</v>
      </c>
      <c r="H897" s="5">
        <v>45521</v>
      </c>
      <c r="I897" s="23" t="s">
        <v>155</v>
      </c>
      <c r="J897" s="23" t="s">
        <v>156</v>
      </c>
      <c r="K897" s="22">
        <v>352403861</v>
      </c>
      <c r="L897" s="24" t="s">
        <v>299</v>
      </c>
    </row>
    <row r="898" spans="1:12" customFormat="1" ht="14.4" x14ac:dyDescent="0.3">
      <c r="A898" s="1" t="s">
        <v>12</v>
      </c>
      <c r="B898" s="1" t="s">
        <v>13</v>
      </c>
      <c r="C898" s="2" t="s">
        <v>14</v>
      </c>
      <c r="D898" s="1" t="s">
        <v>31</v>
      </c>
      <c r="E898" s="1" t="s">
        <v>32</v>
      </c>
      <c r="F898" s="1" t="s">
        <v>33</v>
      </c>
      <c r="G898" s="3">
        <v>6000</v>
      </c>
      <c r="H898" s="5">
        <v>45521</v>
      </c>
      <c r="I898" s="3" t="s">
        <v>97</v>
      </c>
      <c r="J898" s="3" t="s">
        <v>98</v>
      </c>
      <c r="K898" s="1">
        <v>352403863</v>
      </c>
      <c r="L898" s="6" t="s">
        <v>30</v>
      </c>
    </row>
    <row r="899" spans="1:12" customFormat="1" ht="14.4" x14ac:dyDescent="0.3">
      <c r="A899" s="1" t="s">
        <v>12</v>
      </c>
      <c r="B899" s="1" t="s">
        <v>13</v>
      </c>
      <c r="C899" s="2" t="s">
        <v>14</v>
      </c>
      <c r="D899" s="1" t="s">
        <v>64</v>
      </c>
      <c r="E899" s="1" t="s">
        <v>65</v>
      </c>
      <c r="F899" s="1" t="s">
        <v>66</v>
      </c>
      <c r="G899" s="3">
        <v>3450</v>
      </c>
      <c r="H899" s="5">
        <v>45521</v>
      </c>
      <c r="I899" s="3" t="s">
        <v>101</v>
      </c>
      <c r="J899" s="3" t="s">
        <v>68</v>
      </c>
      <c r="K899" s="1">
        <v>352403816</v>
      </c>
      <c r="L899" s="6" t="s">
        <v>69</v>
      </c>
    </row>
    <row r="900" spans="1:12" customFormat="1" ht="14.4" x14ac:dyDescent="0.3">
      <c r="A900" s="1" t="s">
        <v>12</v>
      </c>
      <c r="B900" s="1" t="s">
        <v>13</v>
      </c>
      <c r="C900" s="2" t="s">
        <v>14</v>
      </c>
      <c r="D900" s="1" t="s">
        <v>257</v>
      </c>
      <c r="E900" s="7" t="s">
        <v>258</v>
      </c>
      <c r="F900" s="7" t="s">
        <v>33</v>
      </c>
      <c r="G900" s="3">
        <v>6000</v>
      </c>
      <c r="H900" s="5">
        <v>45521</v>
      </c>
      <c r="I900" s="3" t="s">
        <v>88</v>
      </c>
      <c r="J900" s="3" t="s">
        <v>59</v>
      </c>
      <c r="K900" s="1">
        <v>352403821</v>
      </c>
      <c r="L900" s="6" t="s">
        <v>30</v>
      </c>
    </row>
    <row r="901" spans="1:12" customFormat="1" ht="14.4" x14ac:dyDescent="0.3">
      <c r="A901" s="1" t="s">
        <v>12</v>
      </c>
      <c r="B901" s="1" t="s">
        <v>13</v>
      </c>
      <c r="C901" s="2" t="s">
        <v>14</v>
      </c>
      <c r="D901" s="1" t="s">
        <v>113</v>
      </c>
      <c r="E901" s="1" t="s">
        <v>114</v>
      </c>
      <c r="F901" s="1" t="s">
        <v>66</v>
      </c>
      <c r="G901" s="3">
        <v>5000</v>
      </c>
      <c r="H901" s="5">
        <v>45521</v>
      </c>
      <c r="I901" s="3" t="s">
        <v>91</v>
      </c>
      <c r="J901" s="3" t="s">
        <v>22</v>
      </c>
      <c r="K901" s="1">
        <v>352403820</v>
      </c>
      <c r="L901" s="6" t="s">
        <v>35</v>
      </c>
    </row>
    <row r="902" spans="1:12" x14ac:dyDescent="0.25">
      <c r="A902" s="30" t="s">
        <v>12</v>
      </c>
      <c r="B902" s="30" t="s">
        <v>13</v>
      </c>
      <c r="C902" s="30" t="s">
        <v>14</v>
      </c>
      <c r="D902" s="30" t="s">
        <v>144</v>
      </c>
      <c r="E902" s="39">
        <v>42542201947</v>
      </c>
      <c r="F902" s="30" t="s">
        <v>145</v>
      </c>
      <c r="G902" s="32">
        <v>6000</v>
      </c>
      <c r="H902" s="33">
        <v>45521</v>
      </c>
      <c r="I902" s="32" t="s">
        <v>146</v>
      </c>
      <c r="J902" s="32" t="s">
        <v>147</v>
      </c>
      <c r="K902" s="30">
        <v>352403822</v>
      </c>
      <c r="L902" s="35" t="s">
        <v>30</v>
      </c>
    </row>
    <row r="903" spans="1:12" customFormat="1" ht="14.4" x14ac:dyDescent="0.3">
      <c r="A903" s="1" t="s">
        <v>12</v>
      </c>
      <c r="B903" s="1" t="s">
        <v>13</v>
      </c>
      <c r="C903" s="2" t="s">
        <v>14</v>
      </c>
      <c r="D903" s="1" t="s">
        <v>41</v>
      </c>
      <c r="E903" s="1" t="s">
        <v>61</v>
      </c>
      <c r="F903" s="1" t="s">
        <v>62</v>
      </c>
      <c r="G903" s="3">
        <v>1300</v>
      </c>
      <c r="H903" s="5">
        <v>45521</v>
      </c>
      <c r="I903" s="3" t="s">
        <v>204</v>
      </c>
      <c r="J903" s="3" t="s">
        <v>205</v>
      </c>
      <c r="K903" s="1">
        <v>352403872</v>
      </c>
      <c r="L903" s="6" t="s">
        <v>301</v>
      </c>
    </row>
    <row r="904" spans="1:12" s="25" customFormat="1" ht="14.4" x14ac:dyDescent="0.3">
      <c r="A904" s="22" t="s">
        <v>12</v>
      </c>
      <c r="B904" s="22" t="s">
        <v>13</v>
      </c>
      <c r="C904" s="22" t="s">
        <v>14</v>
      </c>
      <c r="D904" s="22" t="s">
        <v>193</v>
      </c>
      <c r="E904" s="22" t="s">
        <v>194</v>
      </c>
      <c r="F904" s="22" t="s">
        <v>195</v>
      </c>
      <c r="G904" s="23">
        <v>500</v>
      </c>
      <c r="H904" s="5">
        <v>45523</v>
      </c>
      <c r="I904" s="23" t="s">
        <v>125</v>
      </c>
      <c r="J904" s="23" t="s">
        <v>126</v>
      </c>
      <c r="K904" s="24">
        <v>352403899</v>
      </c>
      <c r="L904" s="6" t="s">
        <v>302</v>
      </c>
    </row>
    <row r="905" spans="1:12" s="25" customFormat="1" ht="14.4" x14ac:dyDescent="0.3">
      <c r="A905" s="22" t="s">
        <v>12</v>
      </c>
      <c r="B905" s="22" t="s">
        <v>13</v>
      </c>
      <c r="C905" s="22" t="s">
        <v>14</v>
      </c>
      <c r="D905" s="22" t="s">
        <v>173</v>
      </c>
      <c r="E905" s="22" t="s">
        <v>174</v>
      </c>
      <c r="F905" s="22" t="s">
        <v>33</v>
      </c>
      <c r="G905" s="23">
        <v>500</v>
      </c>
      <c r="H905" s="5">
        <v>45523</v>
      </c>
      <c r="I905" s="23" t="s">
        <v>175</v>
      </c>
      <c r="J905" s="23" t="s">
        <v>176</v>
      </c>
      <c r="K905" s="24">
        <v>392403900</v>
      </c>
      <c r="L905" s="6" t="s">
        <v>302</v>
      </c>
    </row>
    <row r="906" spans="1:12" customFormat="1" ht="14.4" x14ac:dyDescent="0.3">
      <c r="A906" s="1" t="s">
        <v>12</v>
      </c>
      <c r="B906" s="1" t="s">
        <v>13</v>
      </c>
      <c r="C906" s="2" t="s">
        <v>14</v>
      </c>
      <c r="D906" s="1" t="s">
        <v>15</v>
      </c>
      <c r="E906" s="1" t="s">
        <v>16</v>
      </c>
      <c r="F906" s="1" t="s">
        <v>17</v>
      </c>
      <c r="G906" s="3">
        <v>4000</v>
      </c>
      <c r="H906" s="5">
        <v>45523</v>
      </c>
      <c r="I906" s="3" t="s">
        <v>85</v>
      </c>
      <c r="J906" s="3" t="s">
        <v>19</v>
      </c>
      <c r="K906" s="24">
        <v>352403853</v>
      </c>
      <c r="L906" s="6" t="s">
        <v>20</v>
      </c>
    </row>
    <row r="907" spans="1:12" customFormat="1" ht="14.4" x14ac:dyDescent="0.3">
      <c r="A907" s="1" t="s">
        <v>12</v>
      </c>
      <c r="B907" s="1" t="s">
        <v>13</v>
      </c>
      <c r="C907" s="2" t="s">
        <v>14</v>
      </c>
      <c r="D907" s="1" t="s">
        <v>41</v>
      </c>
      <c r="E907" s="1" t="s">
        <v>42</v>
      </c>
      <c r="F907" s="1" t="s">
        <v>43</v>
      </c>
      <c r="G907" s="3">
        <v>4000</v>
      </c>
      <c r="H907" s="5">
        <v>45523</v>
      </c>
      <c r="I907" s="3" t="s">
        <v>87</v>
      </c>
      <c r="J907" s="3" t="s">
        <v>45</v>
      </c>
      <c r="K907" s="24">
        <v>352403854</v>
      </c>
      <c r="L907" s="6" t="s">
        <v>20</v>
      </c>
    </row>
    <row r="908" spans="1:12" customFormat="1" ht="14.4" x14ac:dyDescent="0.3">
      <c r="A908" s="1" t="s">
        <v>12</v>
      </c>
      <c r="B908" s="1" t="s">
        <v>13</v>
      </c>
      <c r="C908" s="2" t="s">
        <v>14</v>
      </c>
      <c r="D908" s="1" t="s">
        <v>64</v>
      </c>
      <c r="E908" s="1" t="s">
        <v>65</v>
      </c>
      <c r="F908" s="1" t="s">
        <v>66</v>
      </c>
      <c r="G908" s="3">
        <v>4750</v>
      </c>
      <c r="H908" s="5">
        <v>45523</v>
      </c>
      <c r="I908" s="3" t="s">
        <v>101</v>
      </c>
      <c r="J908" s="3" t="s">
        <v>68</v>
      </c>
      <c r="K908" s="24">
        <v>352403895</v>
      </c>
      <c r="L908" s="6" t="s">
        <v>24</v>
      </c>
    </row>
    <row r="909" spans="1:12" customFormat="1" ht="14.4" x14ac:dyDescent="0.3">
      <c r="A909" s="1" t="s">
        <v>12</v>
      </c>
      <c r="B909" s="1" t="s">
        <v>13</v>
      </c>
      <c r="C909" s="2" t="s">
        <v>14</v>
      </c>
      <c r="D909" s="1" t="s">
        <v>31</v>
      </c>
      <c r="E909" s="1" t="s">
        <v>32</v>
      </c>
      <c r="F909" s="1" t="s">
        <v>33</v>
      </c>
      <c r="G909" s="3">
        <v>5250</v>
      </c>
      <c r="H909" s="5">
        <v>45523</v>
      </c>
      <c r="I909" s="3" t="s">
        <v>78</v>
      </c>
      <c r="J909" s="3" t="s">
        <v>79</v>
      </c>
      <c r="K909" s="24">
        <v>352403894</v>
      </c>
      <c r="L909" s="6" t="s">
        <v>69</v>
      </c>
    </row>
    <row r="910" spans="1:12" customFormat="1" ht="14.4" x14ac:dyDescent="0.3">
      <c r="A910" s="1" t="s">
        <v>12</v>
      </c>
      <c r="B910" s="1" t="s">
        <v>13</v>
      </c>
      <c r="C910" s="2" t="s">
        <v>14</v>
      </c>
      <c r="D910" s="1" t="s">
        <v>257</v>
      </c>
      <c r="E910" s="7" t="s">
        <v>258</v>
      </c>
      <c r="F910" s="7" t="s">
        <v>33</v>
      </c>
      <c r="G910" s="3">
        <v>5250</v>
      </c>
      <c r="H910" s="5">
        <v>45523</v>
      </c>
      <c r="I910" s="3" t="s">
        <v>88</v>
      </c>
      <c r="J910" s="3" t="s">
        <v>59</v>
      </c>
      <c r="K910" s="24">
        <v>352403877</v>
      </c>
      <c r="L910" s="6" t="s">
        <v>69</v>
      </c>
    </row>
    <row r="911" spans="1:12" customFormat="1" ht="14.4" x14ac:dyDescent="0.3">
      <c r="A911" s="1" t="s">
        <v>12</v>
      </c>
      <c r="B911" s="1" t="s">
        <v>13</v>
      </c>
      <c r="C911" s="2" t="s">
        <v>14</v>
      </c>
      <c r="D911" s="3" t="s">
        <v>149</v>
      </c>
      <c r="E911" s="18">
        <v>50100624324501</v>
      </c>
      <c r="F911" s="3" t="s">
        <v>150</v>
      </c>
      <c r="G911" s="3">
        <v>5250</v>
      </c>
      <c r="H911" s="5">
        <v>45523</v>
      </c>
      <c r="I911" s="3" t="s">
        <v>77</v>
      </c>
      <c r="J911" s="3" t="s">
        <v>29</v>
      </c>
      <c r="K911" s="24">
        <v>352403892</v>
      </c>
      <c r="L911" s="6" t="s">
        <v>69</v>
      </c>
    </row>
    <row r="912" spans="1:12" customFormat="1" ht="14.4" x14ac:dyDescent="0.3">
      <c r="A912" s="1" t="s">
        <v>12</v>
      </c>
      <c r="B912" s="1" t="s">
        <v>13</v>
      </c>
      <c r="C912" s="2" t="s">
        <v>14</v>
      </c>
      <c r="D912" s="1" t="s">
        <v>36</v>
      </c>
      <c r="E912" s="1" t="s">
        <v>37</v>
      </c>
      <c r="F912" s="1" t="s">
        <v>38</v>
      </c>
      <c r="G912" s="3">
        <v>5250</v>
      </c>
      <c r="H912" s="5">
        <v>45523</v>
      </c>
      <c r="I912" s="3" t="s">
        <v>92</v>
      </c>
      <c r="J912" s="3" t="s">
        <v>40</v>
      </c>
      <c r="K912" s="24">
        <v>352403893</v>
      </c>
      <c r="L912" s="6" t="s">
        <v>69</v>
      </c>
    </row>
    <row r="913" spans="1:12" customFormat="1" ht="14.4" x14ac:dyDescent="0.3">
      <c r="A913" s="1" t="s">
        <v>12</v>
      </c>
      <c r="B913" s="1" t="s">
        <v>13</v>
      </c>
      <c r="C913" s="2" t="s">
        <v>14</v>
      </c>
      <c r="D913" s="1" t="s">
        <v>70</v>
      </c>
      <c r="E913" s="1" t="s">
        <v>71</v>
      </c>
      <c r="F913" s="1" t="s">
        <v>72</v>
      </c>
      <c r="G913" s="3">
        <v>5250</v>
      </c>
      <c r="H913" s="5">
        <v>45523</v>
      </c>
      <c r="I913" s="3" t="s">
        <v>83</v>
      </c>
      <c r="J913" s="3" t="s">
        <v>84</v>
      </c>
      <c r="K913" s="24">
        <v>352403890</v>
      </c>
      <c r="L913" s="6" t="s">
        <v>69</v>
      </c>
    </row>
    <row r="914" spans="1:12" x14ac:dyDescent="0.25">
      <c r="A914" s="43" t="s">
        <v>12</v>
      </c>
      <c r="B914" s="43" t="s">
        <v>13</v>
      </c>
      <c r="C914" s="43" t="s">
        <v>14</v>
      </c>
      <c r="D914" s="43" t="s">
        <v>144</v>
      </c>
      <c r="E914" s="47">
        <v>42542201947</v>
      </c>
      <c r="F914" s="43" t="s">
        <v>145</v>
      </c>
      <c r="G914" s="44">
        <v>6200</v>
      </c>
      <c r="H914" s="45">
        <v>45523</v>
      </c>
      <c r="I914" s="44" t="s">
        <v>146</v>
      </c>
      <c r="J914" s="44" t="s">
        <v>147</v>
      </c>
      <c r="K914" s="43">
        <v>352403882</v>
      </c>
      <c r="L914" s="46" t="s">
        <v>30</v>
      </c>
    </row>
    <row r="915" spans="1:12" x14ac:dyDescent="0.25">
      <c r="A915" s="30" t="s">
        <v>12</v>
      </c>
      <c r="B915" s="30" t="s">
        <v>13</v>
      </c>
      <c r="C915" s="30" t="s">
        <v>14</v>
      </c>
      <c r="D915" s="30" t="s">
        <v>144</v>
      </c>
      <c r="E915" s="39">
        <v>42542201947</v>
      </c>
      <c r="F915" s="30" t="s">
        <v>145</v>
      </c>
      <c r="G915" s="32">
        <v>5250</v>
      </c>
      <c r="H915" s="33">
        <v>45523</v>
      </c>
      <c r="I915" s="32" t="s">
        <v>146</v>
      </c>
      <c r="J915" s="32" t="s">
        <v>147</v>
      </c>
      <c r="K915" s="30">
        <v>352403882</v>
      </c>
      <c r="L915" s="35" t="s">
        <v>69</v>
      </c>
    </row>
    <row r="916" spans="1:12" customFormat="1" ht="14.4" x14ac:dyDescent="0.3">
      <c r="A916" s="1" t="s">
        <v>12</v>
      </c>
      <c r="B916" s="1" t="s">
        <v>13</v>
      </c>
      <c r="C916" s="2" t="s">
        <v>14</v>
      </c>
      <c r="D916" s="1" t="s">
        <v>41</v>
      </c>
      <c r="E916" s="1" t="s">
        <v>61</v>
      </c>
      <c r="F916" s="1" t="s">
        <v>62</v>
      </c>
      <c r="G916" s="3">
        <v>1300</v>
      </c>
      <c r="H916" s="5">
        <v>45523</v>
      </c>
      <c r="I916" s="3" t="s">
        <v>204</v>
      </c>
      <c r="J916" s="3" t="s">
        <v>205</v>
      </c>
      <c r="K916" s="1">
        <v>352403848</v>
      </c>
      <c r="L916" s="6" t="s">
        <v>300</v>
      </c>
    </row>
    <row r="917" spans="1:12" customFormat="1" ht="14.4" x14ac:dyDescent="0.3">
      <c r="A917" s="1" t="s">
        <v>12</v>
      </c>
      <c r="B917" s="1" t="s">
        <v>13</v>
      </c>
      <c r="C917" s="2" t="s">
        <v>14</v>
      </c>
      <c r="D917" s="1" t="s">
        <v>41</v>
      </c>
      <c r="E917" s="1" t="s">
        <v>61</v>
      </c>
      <c r="F917" s="1" t="s">
        <v>62</v>
      </c>
      <c r="G917" s="3">
        <v>1300</v>
      </c>
      <c r="H917" s="5">
        <v>45523</v>
      </c>
      <c r="I917" s="3" t="s">
        <v>204</v>
      </c>
      <c r="J917" s="3" t="s">
        <v>205</v>
      </c>
      <c r="K917" s="1">
        <v>352403905</v>
      </c>
      <c r="L917" s="6" t="s">
        <v>303</v>
      </c>
    </row>
    <row r="918" spans="1:12" customFormat="1" ht="14.4" x14ac:dyDescent="0.3">
      <c r="A918" s="1" t="s">
        <v>12</v>
      </c>
      <c r="B918" s="1" t="s">
        <v>13</v>
      </c>
      <c r="C918" s="2" t="s">
        <v>14</v>
      </c>
      <c r="D918" s="1" t="s">
        <v>15</v>
      </c>
      <c r="E918" s="1" t="s">
        <v>16</v>
      </c>
      <c r="F918" s="1" t="s">
        <v>17</v>
      </c>
      <c r="G918" s="3">
        <v>4000</v>
      </c>
      <c r="H918" s="5">
        <v>45524</v>
      </c>
      <c r="I918" s="3" t="s">
        <v>85</v>
      </c>
      <c r="J918" s="3" t="s">
        <v>19</v>
      </c>
      <c r="K918" s="24">
        <v>352403911</v>
      </c>
      <c r="L918" s="6" t="s">
        <v>20</v>
      </c>
    </row>
    <row r="919" spans="1:12" customFormat="1" ht="14.4" x14ac:dyDescent="0.3">
      <c r="A919" s="1" t="s">
        <v>12</v>
      </c>
      <c r="B919" s="1" t="s">
        <v>13</v>
      </c>
      <c r="C919" s="2" t="s">
        <v>14</v>
      </c>
      <c r="D919" s="1" t="s">
        <v>41</v>
      </c>
      <c r="E919" s="1" t="s">
        <v>42</v>
      </c>
      <c r="F919" s="1" t="s">
        <v>43</v>
      </c>
      <c r="G919" s="3">
        <v>4000</v>
      </c>
      <c r="H919" s="5">
        <v>45524</v>
      </c>
      <c r="I919" s="3" t="s">
        <v>87</v>
      </c>
      <c r="J919" s="3" t="s">
        <v>45</v>
      </c>
      <c r="K919" s="24">
        <v>352403912</v>
      </c>
      <c r="L919" s="6" t="s">
        <v>20</v>
      </c>
    </row>
    <row r="920" spans="1:12" customFormat="1" ht="14.4" x14ac:dyDescent="0.3">
      <c r="A920" s="1" t="s">
        <v>12</v>
      </c>
      <c r="B920" s="1" t="s">
        <v>13</v>
      </c>
      <c r="C920" s="2" t="s">
        <v>14</v>
      </c>
      <c r="D920" s="1" t="s">
        <v>64</v>
      </c>
      <c r="E920" s="1" t="s">
        <v>65</v>
      </c>
      <c r="F920" s="1" t="s">
        <v>66</v>
      </c>
      <c r="G920" s="3">
        <v>4750</v>
      </c>
      <c r="H920" s="5">
        <v>45524</v>
      </c>
      <c r="I920" s="3" t="s">
        <v>101</v>
      </c>
      <c r="J920" s="3" t="s">
        <v>68</v>
      </c>
      <c r="K920" s="24">
        <v>352403910</v>
      </c>
      <c r="L920" s="6" t="s">
        <v>24</v>
      </c>
    </row>
    <row r="921" spans="1:12" customFormat="1" ht="14.4" x14ac:dyDescent="0.3">
      <c r="A921" s="1" t="s">
        <v>12</v>
      </c>
      <c r="B921" s="1" t="s">
        <v>13</v>
      </c>
      <c r="C921" s="2" t="s">
        <v>14</v>
      </c>
      <c r="D921" s="1" t="s">
        <v>31</v>
      </c>
      <c r="E921" s="1" t="s">
        <v>32</v>
      </c>
      <c r="F921" s="1" t="s">
        <v>33</v>
      </c>
      <c r="G921" s="3">
        <v>5250</v>
      </c>
      <c r="H921" s="5">
        <v>45524</v>
      </c>
      <c r="I921" s="3" t="s">
        <v>78</v>
      </c>
      <c r="J921" s="3" t="s">
        <v>79</v>
      </c>
      <c r="K921" s="24">
        <v>352403913</v>
      </c>
      <c r="L921" s="6" t="s">
        <v>69</v>
      </c>
    </row>
    <row r="922" spans="1:12" customFormat="1" ht="14.4" x14ac:dyDescent="0.3">
      <c r="A922" s="1" t="s">
        <v>12</v>
      </c>
      <c r="B922" s="1" t="s">
        <v>13</v>
      </c>
      <c r="C922" s="2" t="s">
        <v>14</v>
      </c>
      <c r="D922" s="1" t="s">
        <v>257</v>
      </c>
      <c r="E922" s="7" t="s">
        <v>258</v>
      </c>
      <c r="F922" s="7" t="s">
        <v>33</v>
      </c>
      <c r="G922" s="3">
        <v>5250</v>
      </c>
      <c r="H922" s="5">
        <v>45524</v>
      </c>
      <c r="I922" s="3" t="s">
        <v>88</v>
      </c>
      <c r="J922" s="3" t="s">
        <v>59</v>
      </c>
      <c r="K922" s="24">
        <v>352403914</v>
      </c>
      <c r="L922" s="6" t="s">
        <v>69</v>
      </c>
    </row>
    <row r="923" spans="1:12" customFormat="1" ht="14.4" x14ac:dyDescent="0.3">
      <c r="A923" s="1" t="s">
        <v>12</v>
      </c>
      <c r="B923" s="1" t="s">
        <v>13</v>
      </c>
      <c r="C923" s="2" t="s">
        <v>14</v>
      </c>
      <c r="D923" s="3" t="s">
        <v>149</v>
      </c>
      <c r="E923" s="18">
        <v>50100624324501</v>
      </c>
      <c r="F923" s="3" t="s">
        <v>150</v>
      </c>
      <c r="G923" s="3">
        <v>5250</v>
      </c>
      <c r="H923" s="5">
        <v>45524</v>
      </c>
      <c r="I923" s="3" t="s">
        <v>77</v>
      </c>
      <c r="J923" s="3" t="s">
        <v>29</v>
      </c>
      <c r="K923" s="24">
        <v>352403915</v>
      </c>
      <c r="L923" s="6" t="s">
        <v>69</v>
      </c>
    </row>
    <row r="924" spans="1:12" customFormat="1" ht="14.4" x14ac:dyDescent="0.3">
      <c r="A924" s="1" t="s">
        <v>12</v>
      </c>
      <c r="B924" s="1" t="s">
        <v>13</v>
      </c>
      <c r="C924" s="2" t="s">
        <v>14</v>
      </c>
      <c r="D924" s="1" t="s">
        <v>36</v>
      </c>
      <c r="E924" s="1" t="s">
        <v>37</v>
      </c>
      <c r="F924" s="1" t="s">
        <v>38</v>
      </c>
      <c r="G924" s="3">
        <v>5250</v>
      </c>
      <c r="H924" s="5">
        <v>45524</v>
      </c>
      <c r="I924" s="3" t="s">
        <v>92</v>
      </c>
      <c r="J924" s="3" t="s">
        <v>40</v>
      </c>
      <c r="K924" s="24">
        <v>352403917</v>
      </c>
      <c r="L924" s="6" t="s">
        <v>69</v>
      </c>
    </row>
    <row r="925" spans="1:12" customFormat="1" ht="14.4" x14ac:dyDescent="0.3">
      <c r="A925" s="1" t="s">
        <v>12</v>
      </c>
      <c r="B925" s="1" t="s">
        <v>13</v>
      </c>
      <c r="C925" s="2" t="s">
        <v>14</v>
      </c>
      <c r="D925" s="1" t="s">
        <v>70</v>
      </c>
      <c r="E925" s="1" t="s">
        <v>71</v>
      </c>
      <c r="F925" s="1" t="s">
        <v>72</v>
      </c>
      <c r="G925" s="3">
        <v>5250</v>
      </c>
      <c r="H925" s="5">
        <v>45524</v>
      </c>
      <c r="I925" s="3" t="s">
        <v>83</v>
      </c>
      <c r="J925" s="3" t="s">
        <v>84</v>
      </c>
      <c r="K925" s="24">
        <v>352403916</v>
      </c>
      <c r="L925" s="6" t="s">
        <v>69</v>
      </c>
    </row>
    <row r="926" spans="1:12" customFormat="1" ht="14.4" x14ac:dyDescent="0.3">
      <c r="A926" s="1" t="s">
        <v>12</v>
      </c>
      <c r="B926" s="1" t="s">
        <v>13</v>
      </c>
      <c r="C926" s="2" t="s">
        <v>14</v>
      </c>
      <c r="D926" s="1" t="s">
        <v>48</v>
      </c>
      <c r="E926" s="1" t="s">
        <v>49</v>
      </c>
      <c r="F926" s="1" t="s">
        <v>50</v>
      </c>
      <c r="G926" s="3">
        <v>6000</v>
      </c>
      <c r="H926" s="5">
        <v>45524</v>
      </c>
      <c r="I926" s="3" t="s">
        <v>206</v>
      </c>
      <c r="J926" s="3" t="s">
        <v>52</v>
      </c>
      <c r="K926" s="24">
        <v>352403824</v>
      </c>
      <c r="L926" s="6" t="s">
        <v>30</v>
      </c>
    </row>
    <row r="927" spans="1:12" customFormat="1" ht="14.4" x14ac:dyDescent="0.3">
      <c r="A927" s="1" t="s">
        <v>12</v>
      </c>
      <c r="B927" s="1" t="s">
        <v>13</v>
      </c>
      <c r="C927" s="2" t="s">
        <v>14</v>
      </c>
      <c r="D927" s="1" t="s">
        <v>41</v>
      </c>
      <c r="E927" s="1" t="s">
        <v>61</v>
      </c>
      <c r="F927" s="1" t="s">
        <v>62</v>
      </c>
      <c r="G927" s="3">
        <v>1300</v>
      </c>
      <c r="H927" s="5">
        <v>45524</v>
      </c>
      <c r="I927" s="3" t="s">
        <v>204</v>
      </c>
      <c r="J927" s="3" t="s">
        <v>205</v>
      </c>
      <c r="K927" s="1">
        <v>352403932</v>
      </c>
      <c r="L927" s="6" t="s">
        <v>304</v>
      </c>
    </row>
    <row r="928" spans="1:12" x14ac:dyDescent="0.25">
      <c r="A928" s="30" t="s">
        <v>12</v>
      </c>
      <c r="B928" s="30" t="s">
        <v>13</v>
      </c>
      <c r="C928" s="30" t="s">
        <v>14</v>
      </c>
      <c r="D928" s="30" t="s">
        <v>144</v>
      </c>
      <c r="E928" s="39">
        <v>42542201947</v>
      </c>
      <c r="F928" s="30" t="s">
        <v>145</v>
      </c>
      <c r="G928" s="32">
        <v>4750</v>
      </c>
      <c r="H928" s="33">
        <v>45524</v>
      </c>
      <c r="I928" s="32" t="s">
        <v>146</v>
      </c>
      <c r="J928" s="32" t="s">
        <v>147</v>
      </c>
      <c r="K928" s="30">
        <v>352403918</v>
      </c>
      <c r="L928" s="35" t="s">
        <v>24</v>
      </c>
    </row>
    <row r="929" spans="1:12" s="25" customFormat="1" ht="14.4" x14ac:dyDescent="0.3">
      <c r="A929" s="22" t="s">
        <v>12</v>
      </c>
      <c r="B929" s="22" t="s">
        <v>13</v>
      </c>
      <c r="C929" s="22" t="s">
        <v>14</v>
      </c>
      <c r="D929" s="22" t="s">
        <v>73</v>
      </c>
      <c r="E929" s="22" t="s">
        <v>89</v>
      </c>
      <c r="F929" s="22" t="s">
        <v>74</v>
      </c>
      <c r="G929" s="3">
        <v>5000</v>
      </c>
      <c r="H929" s="5">
        <v>45524</v>
      </c>
      <c r="I929" s="23" t="s">
        <v>90</v>
      </c>
      <c r="J929" s="23" t="s">
        <v>76</v>
      </c>
      <c r="K929" s="1">
        <v>352403929</v>
      </c>
      <c r="L929" s="6" t="s">
        <v>35</v>
      </c>
    </row>
    <row r="930" spans="1:12" s="25" customFormat="1" ht="14.4" x14ac:dyDescent="0.3">
      <c r="A930" s="22" t="s">
        <v>12</v>
      </c>
      <c r="B930" s="22" t="s">
        <v>13</v>
      </c>
      <c r="C930" s="22" t="s">
        <v>14</v>
      </c>
      <c r="D930" s="22" t="s">
        <v>215</v>
      </c>
      <c r="E930" s="22" t="s">
        <v>216</v>
      </c>
      <c r="F930" s="22" t="s">
        <v>33</v>
      </c>
      <c r="G930" s="23">
        <v>500</v>
      </c>
      <c r="H930" s="5">
        <v>45525</v>
      </c>
      <c r="I930" s="23" t="s">
        <v>155</v>
      </c>
      <c r="J930" s="23" t="s">
        <v>156</v>
      </c>
      <c r="K930" s="22">
        <v>352403935</v>
      </c>
      <c r="L930" s="24" t="s">
        <v>305</v>
      </c>
    </row>
    <row r="931" spans="1:12" customFormat="1" ht="14.4" x14ac:dyDescent="0.3">
      <c r="A931" s="1" t="s">
        <v>12</v>
      </c>
      <c r="B931" s="1" t="s">
        <v>13</v>
      </c>
      <c r="C931" s="2" t="s">
        <v>14</v>
      </c>
      <c r="D931" s="1" t="s">
        <v>274</v>
      </c>
      <c r="E931" s="1" t="s">
        <v>275</v>
      </c>
      <c r="F931" s="1" t="s">
        <v>33</v>
      </c>
      <c r="G931" s="3">
        <v>2000</v>
      </c>
      <c r="H931" s="5">
        <v>45525</v>
      </c>
      <c r="I931" s="3" t="s">
        <v>117</v>
      </c>
      <c r="J931" s="3" t="s">
        <v>118</v>
      </c>
      <c r="K931" s="1">
        <v>352403970</v>
      </c>
      <c r="L931" s="6" t="s">
        <v>306</v>
      </c>
    </row>
    <row r="932" spans="1:12" customFormat="1" ht="14.4" x14ac:dyDescent="0.3">
      <c r="A932" s="1" t="s">
        <v>12</v>
      </c>
      <c r="B932" s="1" t="s">
        <v>13</v>
      </c>
      <c r="C932" s="2" t="s">
        <v>14</v>
      </c>
      <c r="D932" s="1" t="s">
        <v>31</v>
      </c>
      <c r="E932" s="1" t="s">
        <v>32</v>
      </c>
      <c r="F932" s="1" t="s">
        <v>33</v>
      </c>
      <c r="G932" s="3">
        <v>7500</v>
      </c>
      <c r="H932" s="5">
        <v>45525</v>
      </c>
      <c r="I932" s="3" t="s">
        <v>78</v>
      </c>
      <c r="J932" s="3" t="s">
        <v>79</v>
      </c>
      <c r="K932" s="24">
        <v>352403951</v>
      </c>
      <c r="L932" s="6" t="s">
        <v>141</v>
      </c>
    </row>
    <row r="933" spans="1:12" customFormat="1" ht="14.4" x14ac:dyDescent="0.3">
      <c r="A933" s="1" t="s">
        <v>12</v>
      </c>
      <c r="B933" s="1" t="s">
        <v>13</v>
      </c>
      <c r="C933" s="2" t="s">
        <v>14</v>
      </c>
      <c r="D933" s="3" t="s">
        <v>149</v>
      </c>
      <c r="E933" s="18">
        <v>50100624324501</v>
      </c>
      <c r="F933" s="3" t="s">
        <v>150</v>
      </c>
      <c r="G933" s="3">
        <v>7500</v>
      </c>
      <c r="H933" s="5">
        <v>45525</v>
      </c>
      <c r="I933" s="3" t="s">
        <v>77</v>
      </c>
      <c r="J933" s="3" t="s">
        <v>29</v>
      </c>
      <c r="K933" s="24">
        <v>352403950</v>
      </c>
      <c r="L933" s="6" t="s">
        <v>141</v>
      </c>
    </row>
    <row r="934" spans="1:12" customFormat="1" ht="14.4" x14ac:dyDescent="0.3">
      <c r="A934" s="1" t="s">
        <v>12</v>
      </c>
      <c r="B934" s="1" t="s">
        <v>13</v>
      </c>
      <c r="C934" s="2" t="s">
        <v>14</v>
      </c>
      <c r="D934" s="1" t="s">
        <v>41</v>
      </c>
      <c r="E934" s="1" t="s">
        <v>61</v>
      </c>
      <c r="F934" s="1" t="s">
        <v>62</v>
      </c>
      <c r="G934" s="3">
        <v>1300</v>
      </c>
      <c r="H934" s="5">
        <v>45525</v>
      </c>
      <c r="I934" s="3" t="s">
        <v>204</v>
      </c>
      <c r="J934" s="3" t="s">
        <v>205</v>
      </c>
      <c r="K934" s="1">
        <v>352403983</v>
      </c>
      <c r="L934" s="6" t="s">
        <v>307</v>
      </c>
    </row>
    <row r="935" spans="1:12" customFormat="1" ht="14.4" x14ac:dyDescent="0.3">
      <c r="A935" s="1" t="s">
        <v>12</v>
      </c>
      <c r="B935" s="1" t="s">
        <v>13</v>
      </c>
      <c r="C935" s="2" t="s">
        <v>14</v>
      </c>
      <c r="D935" s="1" t="s">
        <v>41</v>
      </c>
      <c r="E935" s="1" t="s">
        <v>61</v>
      </c>
      <c r="F935" s="1" t="s">
        <v>62</v>
      </c>
      <c r="G935" s="3">
        <v>1300</v>
      </c>
      <c r="H935" s="5">
        <v>45525</v>
      </c>
      <c r="I935" s="3" t="s">
        <v>204</v>
      </c>
      <c r="J935" s="3" t="s">
        <v>205</v>
      </c>
      <c r="K935" s="1">
        <v>352403984</v>
      </c>
      <c r="L935" s="6" t="s">
        <v>307</v>
      </c>
    </row>
    <row r="936" spans="1:12" customFormat="1" ht="14.4" x14ac:dyDescent="0.3">
      <c r="A936" s="1" t="s">
        <v>12</v>
      </c>
      <c r="B936" s="1" t="s">
        <v>13</v>
      </c>
      <c r="C936" s="2" t="s">
        <v>14</v>
      </c>
      <c r="D936" s="1" t="s">
        <v>15</v>
      </c>
      <c r="E936" s="1" t="s">
        <v>16</v>
      </c>
      <c r="F936" s="1" t="s">
        <v>17</v>
      </c>
      <c r="G936" s="3">
        <v>4000</v>
      </c>
      <c r="H936" s="5">
        <v>45525</v>
      </c>
      <c r="I936" s="3" t="s">
        <v>85</v>
      </c>
      <c r="J936" s="3" t="s">
        <v>19</v>
      </c>
      <c r="K936" s="24">
        <v>352403949</v>
      </c>
      <c r="L936" s="6" t="s">
        <v>20</v>
      </c>
    </row>
    <row r="937" spans="1:12" customFormat="1" ht="14.4" x14ac:dyDescent="0.3">
      <c r="A937" s="1" t="s">
        <v>12</v>
      </c>
      <c r="B937" s="1" t="s">
        <v>13</v>
      </c>
      <c r="C937" s="2" t="s">
        <v>14</v>
      </c>
      <c r="D937" s="1" t="s">
        <v>41</v>
      </c>
      <c r="E937" s="1" t="s">
        <v>42</v>
      </c>
      <c r="F937" s="1" t="s">
        <v>43</v>
      </c>
      <c r="G937" s="3">
        <v>4000</v>
      </c>
      <c r="H937" s="5">
        <v>45525</v>
      </c>
      <c r="I937" s="3" t="s">
        <v>87</v>
      </c>
      <c r="J937" s="3" t="s">
        <v>45</v>
      </c>
      <c r="K937" s="24">
        <v>352403948</v>
      </c>
      <c r="L937" s="6" t="s">
        <v>20</v>
      </c>
    </row>
    <row r="938" spans="1:12" s="25" customFormat="1" ht="14.4" x14ac:dyDescent="0.3">
      <c r="A938" s="22" t="s">
        <v>12</v>
      </c>
      <c r="B938" s="22" t="s">
        <v>13</v>
      </c>
      <c r="C938" s="22" t="s">
        <v>14</v>
      </c>
      <c r="D938" s="22" t="s">
        <v>215</v>
      </c>
      <c r="E938" s="22" t="s">
        <v>216</v>
      </c>
      <c r="F938" s="22" t="s">
        <v>33</v>
      </c>
      <c r="G938" s="23">
        <v>500</v>
      </c>
      <c r="H938" s="5">
        <v>45526</v>
      </c>
      <c r="I938" s="23" t="s">
        <v>155</v>
      </c>
      <c r="J938" s="23" t="s">
        <v>156</v>
      </c>
      <c r="K938" s="22">
        <v>352404008</v>
      </c>
      <c r="L938" s="6" t="s">
        <v>308</v>
      </c>
    </row>
    <row r="939" spans="1:12" s="25" customFormat="1" ht="14.4" x14ac:dyDescent="0.3">
      <c r="A939" s="22" t="s">
        <v>12</v>
      </c>
      <c r="B939" s="22" t="s">
        <v>13</v>
      </c>
      <c r="C939" s="22" t="s">
        <v>14</v>
      </c>
      <c r="D939" s="22" t="s">
        <v>183</v>
      </c>
      <c r="E939" s="22" t="s">
        <v>184</v>
      </c>
      <c r="F939" s="22" t="s">
        <v>185</v>
      </c>
      <c r="G939" s="23">
        <v>500</v>
      </c>
      <c r="H939" s="5">
        <v>45526</v>
      </c>
      <c r="I939" s="23" t="s">
        <v>186</v>
      </c>
      <c r="J939" s="23" t="s">
        <v>187</v>
      </c>
      <c r="K939" s="22">
        <v>352404009</v>
      </c>
      <c r="L939" s="6" t="s">
        <v>308</v>
      </c>
    </row>
    <row r="940" spans="1:12" customFormat="1" ht="14.4" x14ac:dyDescent="0.3">
      <c r="A940" s="1" t="s">
        <v>12</v>
      </c>
      <c r="B940" s="1" t="s">
        <v>13</v>
      </c>
      <c r="C940" s="2" t="s">
        <v>14</v>
      </c>
      <c r="D940" s="1" t="s">
        <v>257</v>
      </c>
      <c r="E940" s="7" t="s">
        <v>258</v>
      </c>
      <c r="F940" s="7" t="s">
        <v>33</v>
      </c>
      <c r="G940" s="3">
        <v>5250</v>
      </c>
      <c r="H940" s="5">
        <v>45526</v>
      </c>
      <c r="I940" s="3" t="s">
        <v>88</v>
      </c>
      <c r="J940" s="3" t="s">
        <v>59</v>
      </c>
      <c r="K940" s="24">
        <v>352403953</v>
      </c>
      <c r="L940" s="6" t="s">
        <v>69</v>
      </c>
    </row>
    <row r="941" spans="1:12" customFormat="1" ht="14.4" x14ac:dyDescent="0.3">
      <c r="A941" s="1" t="s">
        <v>12</v>
      </c>
      <c r="B941" s="1" t="s">
        <v>13</v>
      </c>
      <c r="C941" s="2" t="s">
        <v>14</v>
      </c>
      <c r="D941" s="3" t="s">
        <v>149</v>
      </c>
      <c r="E941" s="18">
        <v>50100624324501</v>
      </c>
      <c r="F941" s="3" t="s">
        <v>150</v>
      </c>
      <c r="G941" s="3">
        <v>5250</v>
      </c>
      <c r="H941" s="5">
        <v>45526</v>
      </c>
      <c r="I941" s="3" t="s">
        <v>77</v>
      </c>
      <c r="J941" s="3" t="s">
        <v>29</v>
      </c>
      <c r="K941" s="24">
        <v>352403986</v>
      </c>
      <c r="L941" s="6" t="s">
        <v>69</v>
      </c>
    </row>
    <row r="942" spans="1:12" customFormat="1" ht="14.4" x14ac:dyDescent="0.3">
      <c r="A942" s="1" t="s">
        <v>12</v>
      </c>
      <c r="B942" s="1" t="s">
        <v>13</v>
      </c>
      <c r="C942" s="2" t="s">
        <v>14</v>
      </c>
      <c r="D942" s="1" t="s">
        <v>36</v>
      </c>
      <c r="E942" s="1" t="s">
        <v>37</v>
      </c>
      <c r="F942" s="1" t="s">
        <v>38</v>
      </c>
      <c r="G942" s="3">
        <v>5250</v>
      </c>
      <c r="H942" s="5">
        <v>45526</v>
      </c>
      <c r="I942" s="3" t="s">
        <v>92</v>
      </c>
      <c r="J942" s="3" t="s">
        <v>40</v>
      </c>
      <c r="K942" s="24">
        <v>352403952</v>
      </c>
      <c r="L942" s="6" t="s">
        <v>69</v>
      </c>
    </row>
    <row r="943" spans="1:12" x14ac:dyDescent="0.25">
      <c r="A943" s="30" t="s">
        <v>12</v>
      </c>
      <c r="B943" s="30" t="s">
        <v>13</v>
      </c>
      <c r="C943" s="30" t="s">
        <v>14</v>
      </c>
      <c r="D943" s="30" t="s">
        <v>144</v>
      </c>
      <c r="E943" s="39">
        <v>42542201947</v>
      </c>
      <c r="F943" s="30" t="s">
        <v>145</v>
      </c>
      <c r="G943" s="32">
        <v>3750</v>
      </c>
      <c r="H943" s="33">
        <v>45526</v>
      </c>
      <c r="I943" s="32" t="s">
        <v>146</v>
      </c>
      <c r="J943" s="32" t="s">
        <v>147</v>
      </c>
      <c r="K943" s="34">
        <v>352403956</v>
      </c>
      <c r="L943" s="35" t="s">
        <v>69</v>
      </c>
    </row>
    <row r="944" spans="1:12" customFormat="1" ht="14.4" x14ac:dyDescent="0.3">
      <c r="A944" s="1" t="s">
        <v>12</v>
      </c>
      <c r="B944" s="1" t="s">
        <v>13</v>
      </c>
      <c r="C944" s="2" t="s">
        <v>14</v>
      </c>
      <c r="D944" s="1" t="s">
        <v>95</v>
      </c>
      <c r="E944" s="1" t="s">
        <v>96</v>
      </c>
      <c r="F944" s="1" t="s">
        <v>33</v>
      </c>
      <c r="G944" s="1">
        <v>2000</v>
      </c>
      <c r="H944" s="5">
        <v>45526</v>
      </c>
      <c r="I944" s="3" t="s">
        <v>93</v>
      </c>
      <c r="J944" s="3" t="s">
        <v>34</v>
      </c>
      <c r="K944" s="1">
        <v>352404010</v>
      </c>
      <c r="L944" s="6" t="s">
        <v>309</v>
      </c>
    </row>
    <row r="945" spans="1:12" s="25" customFormat="1" ht="14.4" x14ac:dyDescent="0.3">
      <c r="A945" s="22" t="s">
        <v>12</v>
      </c>
      <c r="B945" s="22" t="s">
        <v>13</v>
      </c>
      <c r="C945" s="22" t="s">
        <v>14</v>
      </c>
      <c r="D945" s="22" t="s">
        <v>73</v>
      </c>
      <c r="E945" s="22" t="s">
        <v>89</v>
      </c>
      <c r="F945" s="22" t="s">
        <v>74</v>
      </c>
      <c r="G945" s="3">
        <v>5000</v>
      </c>
      <c r="H945" s="5">
        <v>45526</v>
      </c>
      <c r="I945" s="23" t="s">
        <v>90</v>
      </c>
      <c r="J945" s="23" t="s">
        <v>76</v>
      </c>
      <c r="K945" s="1">
        <v>352403976</v>
      </c>
      <c r="L945" s="6" t="s">
        <v>35</v>
      </c>
    </row>
    <row r="946" spans="1:12" customFormat="1" ht="14.4" x14ac:dyDescent="0.3">
      <c r="A946" s="1" t="s">
        <v>12</v>
      </c>
      <c r="B946" s="1" t="s">
        <v>13</v>
      </c>
      <c r="C946" s="2" t="s">
        <v>14</v>
      </c>
      <c r="D946" s="1" t="s">
        <v>64</v>
      </c>
      <c r="E946" s="1" t="s">
        <v>65</v>
      </c>
      <c r="F946" s="1" t="s">
        <v>66</v>
      </c>
      <c r="G946" s="3">
        <v>4750</v>
      </c>
      <c r="H946" s="5">
        <v>45526</v>
      </c>
      <c r="I946" s="3" t="s">
        <v>101</v>
      </c>
      <c r="J946" s="3" t="s">
        <v>68</v>
      </c>
      <c r="K946" s="24">
        <v>352403980</v>
      </c>
      <c r="L946" s="6" t="s">
        <v>24</v>
      </c>
    </row>
    <row r="947" spans="1:12" customFormat="1" ht="14.4" x14ac:dyDescent="0.3">
      <c r="A947" s="1" t="s">
        <v>12</v>
      </c>
      <c r="B947" s="1" t="s">
        <v>13</v>
      </c>
      <c r="C947" s="2" t="s">
        <v>14</v>
      </c>
      <c r="D947" s="1" t="s">
        <v>41</v>
      </c>
      <c r="E947" s="1" t="s">
        <v>61</v>
      </c>
      <c r="F947" s="1" t="s">
        <v>62</v>
      </c>
      <c r="G947" s="3">
        <v>1300</v>
      </c>
      <c r="H947" s="5">
        <v>45526</v>
      </c>
      <c r="I947" s="3" t="s">
        <v>204</v>
      </c>
      <c r="J947" s="3" t="s">
        <v>205</v>
      </c>
      <c r="K947" s="1">
        <v>352404014</v>
      </c>
      <c r="L947" s="6" t="s">
        <v>310</v>
      </c>
    </row>
    <row r="948" spans="1:12" customFormat="1" ht="14.4" x14ac:dyDescent="0.3">
      <c r="A948" s="1" t="s">
        <v>12</v>
      </c>
      <c r="B948" s="1" t="s">
        <v>13</v>
      </c>
      <c r="C948" s="2" t="s">
        <v>14</v>
      </c>
      <c r="D948" s="1" t="s">
        <v>95</v>
      </c>
      <c r="E948" s="1" t="s">
        <v>96</v>
      </c>
      <c r="F948" s="1" t="s">
        <v>33</v>
      </c>
      <c r="G948" s="1">
        <v>400</v>
      </c>
      <c r="H948" s="5">
        <v>45526</v>
      </c>
      <c r="I948" s="3" t="s">
        <v>93</v>
      </c>
      <c r="J948" s="3" t="s">
        <v>34</v>
      </c>
      <c r="K948" s="1">
        <v>352404015</v>
      </c>
      <c r="L948" s="6" t="s">
        <v>311</v>
      </c>
    </row>
    <row r="949" spans="1:12" customFormat="1" ht="14.4" x14ac:dyDescent="0.3">
      <c r="A949" s="1" t="s">
        <v>12</v>
      </c>
      <c r="B949" s="1" t="s">
        <v>13</v>
      </c>
      <c r="C949" s="2" t="s">
        <v>14</v>
      </c>
      <c r="D949" s="1" t="s">
        <v>95</v>
      </c>
      <c r="E949" s="1" t="s">
        <v>96</v>
      </c>
      <c r="F949" s="1" t="s">
        <v>33</v>
      </c>
      <c r="G949" s="1">
        <v>400</v>
      </c>
      <c r="H949" s="5">
        <v>45526</v>
      </c>
      <c r="I949" s="3" t="s">
        <v>93</v>
      </c>
      <c r="J949" s="3" t="s">
        <v>34</v>
      </c>
      <c r="K949" s="1">
        <v>352404016</v>
      </c>
      <c r="L949" s="6" t="s">
        <v>311</v>
      </c>
    </row>
    <row r="950" spans="1:12" customFormat="1" ht="14.4" x14ac:dyDescent="0.3">
      <c r="A950" s="1" t="s">
        <v>12</v>
      </c>
      <c r="B950" s="1" t="s">
        <v>13</v>
      </c>
      <c r="C950" s="2" t="s">
        <v>14</v>
      </c>
      <c r="D950" s="1" t="s">
        <v>95</v>
      </c>
      <c r="E950" s="1" t="s">
        <v>96</v>
      </c>
      <c r="F950" s="1" t="s">
        <v>33</v>
      </c>
      <c r="G950" s="1">
        <v>400</v>
      </c>
      <c r="H950" s="5">
        <v>45526</v>
      </c>
      <c r="I950" s="3" t="s">
        <v>93</v>
      </c>
      <c r="J950" s="3" t="s">
        <v>34</v>
      </c>
      <c r="K950" s="1">
        <v>352404018</v>
      </c>
      <c r="L950" s="6" t="s">
        <v>311</v>
      </c>
    </row>
    <row r="951" spans="1:12" s="25" customFormat="1" ht="14.4" x14ac:dyDescent="0.3">
      <c r="A951" s="22" t="s">
        <v>12</v>
      </c>
      <c r="B951" s="22" t="s">
        <v>13</v>
      </c>
      <c r="C951" s="22" t="s">
        <v>14</v>
      </c>
      <c r="D951" s="22" t="s">
        <v>215</v>
      </c>
      <c r="E951" s="22" t="s">
        <v>216</v>
      </c>
      <c r="F951" s="22" t="s">
        <v>33</v>
      </c>
      <c r="G951" s="23">
        <v>500</v>
      </c>
      <c r="H951" s="5">
        <v>45527</v>
      </c>
      <c r="I951" s="23" t="s">
        <v>155</v>
      </c>
      <c r="J951" s="23" t="s">
        <v>156</v>
      </c>
      <c r="K951" s="22">
        <v>352404039</v>
      </c>
      <c r="L951" s="6" t="s">
        <v>308</v>
      </c>
    </row>
    <row r="952" spans="1:12" customFormat="1" ht="14.4" x14ac:dyDescent="0.3">
      <c r="A952" s="1" t="s">
        <v>12</v>
      </c>
      <c r="B952" s="1" t="s">
        <v>13</v>
      </c>
      <c r="C952" s="2" t="s">
        <v>14</v>
      </c>
      <c r="D952" s="1" t="s">
        <v>15</v>
      </c>
      <c r="E952" s="1" t="s">
        <v>16</v>
      </c>
      <c r="F952" s="1" t="s">
        <v>17</v>
      </c>
      <c r="G952" s="3">
        <v>4000</v>
      </c>
      <c r="H952" s="5">
        <v>45527</v>
      </c>
      <c r="I952" s="3" t="s">
        <v>85</v>
      </c>
      <c r="J952" s="3" t="s">
        <v>19</v>
      </c>
      <c r="K952" s="24">
        <v>352404020</v>
      </c>
      <c r="L952" s="6" t="s">
        <v>20</v>
      </c>
    </row>
    <row r="953" spans="1:12" customFormat="1" ht="14.4" x14ac:dyDescent="0.3">
      <c r="A953" s="1" t="s">
        <v>12</v>
      </c>
      <c r="B953" s="1" t="s">
        <v>13</v>
      </c>
      <c r="C953" s="2" t="s">
        <v>14</v>
      </c>
      <c r="D953" s="1" t="s">
        <v>41</v>
      </c>
      <c r="E953" s="1" t="s">
        <v>42</v>
      </c>
      <c r="F953" s="1" t="s">
        <v>43</v>
      </c>
      <c r="G953" s="3">
        <v>4000</v>
      </c>
      <c r="H953" s="5">
        <v>45527</v>
      </c>
      <c r="I953" s="3" t="s">
        <v>87</v>
      </c>
      <c r="J953" s="3" t="s">
        <v>45</v>
      </c>
      <c r="K953" s="24">
        <v>352404019</v>
      </c>
      <c r="L953" s="6" t="s">
        <v>20</v>
      </c>
    </row>
    <row r="954" spans="1:12" customFormat="1" ht="14.4" x14ac:dyDescent="0.3">
      <c r="A954" s="1" t="s">
        <v>12</v>
      </c>
      <c r="B954" s="1" t="s">
        <v>13</v>
      </c>
      <c r="C954" s="2" t="s">
        <v>14</v>
      </c>
      <c r="D954" s="1" t="s">
        <v>64</v>
      </c>
      <c r="E954" s="1" t="s">
        <v>65</v>
      </c>
      <c r="F954" s="1" t="s">
        <v>66</v>
      </c>
      <c r="G954" s="3">
        <v>4750</v>
      </c>
      <c r="H954" s="5">
        <v>45527</v>
      </c>
      <c r="I954" s="3" t="s">
        <v>101</v>
      </c>
      <c r="J954" s="3" t="s">
        <v>68</v>
      </c>
      <c r="K954" s="24">
        <v>352404030</v>
      </c>
      <c r="L954" s="6" t="s">
        <v>24</v>
      </c>
    </row>
    <row r="955" spans="1:12" customFormat="1" ht="14.4" x14ac:dyDescent="0.3">
      <c r="A955" s="1" t="s">
        <v>12</v>
      </c>
      <c r="B955" s="1" t="s">
        <v>13</v>
      </c>
      <c r="C955" s="2" t="s">
        <v>14</v>
      </c>
      <c r="D955" s="1" t="s">
        <v>41</v>
      </c>
      <c r="E955" s="1" t="s">
        <v>61</v>
      </c>
      <c r="F955" s="1" t="s">
        <v>62</v>
      </c>
      <c r="G955" s="3">
        <v>1300</v>
      </c>
      <c r="H955" s="5">
        <v>45527</v>
      </c>
      <c r="I955" s="3" t="s">
        <v>204</v>
      </c>
      <c r="J955" s="3" t="s">
        <v>205</v>
      </c>
      <c r="K955" s="1">
        <v>352404048</v>
      </c>
      <c r="L955" s="6" t="s">
        <v>312</v>
      </c>
    </row>
    <row r="956" spans="1:12" customFormat="1" ht="14.4" x14ac:dyDescent="0.3">
      <c r="A956" s="1" t="s">
        <v>12</v>
      </c>
      <c r="B956" s="1" t="s">
        <v>13</v>
      </c>
      <c r="C956" s="2" t="s">
        <v>14</v>
      </c>
      <c r="D956" s="1" t="s">
        <v>31</v>
      </c>
      <c r="E956" s="1" t="s">
        <v>32</v>
      </c>
      <c r="F956" s="1" t="s">
        <v>33</v>
      </c>
      <c r="G956" s="3">
        <v>5250</v>
      </c>
      <c r="H956" s="5">
        <v>45527</v>
      </c>
      <c r="I956" s="3" t="s">
        <v>78</v>
      </c>
      <c r="J956" s="3" t="s">
        <v>79</v>
      </c>
      <c r="K956" s="24">
        <v>352403987</v>
      </c>
      <c r="L956" s="6" t="s">
        <v>69</v>
      </c>
    </row>
    <row r="957" spans="1:12" customFormat="1" ht="14.4" x14ac:dyDescent="0.3">
      <c r="A957" s="1" t="s">
        <v>12</v>
      </c>
      <c r="B957" s="1" t="s">
        <v>13</v>
      </c>
      <c r="C957" s="2" t="s">
        <v>14</v>
      </c>
      <c r="D957" s="1" t="s">
        <v>257</v>
      </c>
      <c r="E957" s="7" t="s">
        <v>258</v>
      </c>
      <c r="F957" s="7" t="s">
        <v>33</v>
      </c>
      <c r="G957" s="3">
        <v>5250</v>
      </c>
      <c r="H957" s="5">
        <v>45527</v>
      </c>
      <c r="I957" s="3" t="s">
        <v>88</v>
      </c>
      <c r="J957" s="3" t="s">
        <v>59</v>
      </c>
      <c r="K957" s="24">
        <v>352404032</v>
      </c>
      <c r="L957" s="6" t="s">
        <v>69</v>
      </c>
    </row>
    <row r="958" spans="1:12" customFormat="1" ht="14.4" x14ac:dyDescent="0.3">
      <c r="A958" s="1" t="s">
        <v>12</v>
      </c>
      <c r="B958" s="1" t="s">
        <v>13</v>
      </c>
      <c r="C958" s="2" t="s">
        <v>14</v>
      </c>
      <c r="D958" s="1" t="s">
        <v>113</v>
      </c>
      <c r="E958" s="1" t="s">
        <v>114</v>
      </c>
      <c r="F958" s="1" t="s">
        <v>66</v>
      </c>
      <c r="G958" s="3">
        <v>3750</v>
      </c>
      <c r="H958" s="5">
        <v>45527</v>
      </c>
      <c r="I958" s="3" t="s">
        <v>91</v>
      </c>
      <c r="J958" s="3" t="s">
        <v>22</v>
      </c>
      <c r="K958" s="24">
        <v>352403880</v>
      </c>
      <c r="L958" s="6" t="s">
        <v>69</v>
      </c>
    </row>
    <row r="959" spans="1:12" customFormat="1" ht="14.4" x14ac:dyDescent="0.3">
      <c r="A959" s="1" t="s">
        <v>12</v>
      </c>
      <c r="B959" s="1" t="s">
        <v>13</v>
      </c>
      <c r="C959" s="2" t="s">
        <v>14</v>
      </c>
      <c r="D959" s="1" t="s">
        <v>36</v>
      </c>
      <c r="E959" s="1" t="s">
        <v>37</v>
      </c>
      <c r="F959" s="1" t="s">
        <v>38</v>
      </c>
      <c r="G959" s="3">
        <v>5250</v>
      </c>
      <c r="H959" s="5">
        <v>45527</v>
      </c>
      <c r="I959" s="3" t="s">
        <v>92</v>
      </c>
      <c r="J959" s="3" t="s">
        <v>40</v>
      </c>
      <c r="K959" s="24">
        <v>352404046</v>
      </c>
      <c r="L959" s="6" t="s">
        <v>69</v>
      </c>
    </row>
    <row r="960" spans="1:12" x14ac:dyDescent="0.25">
      <c r="A960" s="30" t="s">
        <v>12</v>
      </c>
      <c r="B960" s="30" t="s">
        <v>13</v>
      </c>
      <c r="C960" s="30" t="s">
        <v>14</v>
      </c>
      <c r="D960" s="30" t="s">
        <v>144</v>
      </c>
      <c r="E960" s="39">
        <v>42542201947</v>
      </c>
      <c r="F960" s="30" t="s">
        <v>145</v>
      </c>
      <c r="G960" s="32">
        <v>5250</v>
      </c>
      <c r="H960" s="33">
        <v>45527</v>
      </c>
      <c r="I960" s="32" t="s">
        <v>146</v>
      </c>
      <c r="J960" s="32" t="s">
        <v>147</v>
      </c>
      <c r="K960" s="34">
        <v>352404031</v>
      </c>
      <c r="L960" s="35" t="s">
        <v>69</v>
      </c>
    </row>
    <row r="961" spans="1:12" s="25" customFormat="1" ht="14.4" x14ac:dyDescent="0.3">
      <c r="A961" s="22" t="s">
        <v>12</v>
      </c>
      <c r="B961" s="22" t="s">
        <v>13</v>
      </c>
      <c r="C961" s="22" t="s">
        <v>14</v>
      </c>
      <c r="D961" s="22" t="s">
        <v>215</v>
      </c>
      <c r="E961" s="22" t="s">
        <v>216</v>
      </c>
      <c r="F961" s="22" t="s">
        <v>33</v>
      </c>
      <c r="G961" s="23">
        <v>500</v>
      </c>
      <c r="H961" s="5">
        <v>45528</v>
      </c>
      <c r="I961" s="23" t="s">
        <v>155</v>
      </c>
      <c r="J961" s="23" t="s">
        <v>156</v>
      </c>
      <c r="K961" s="22">
        <v>352404074</v>
      </c>
      <c r="L961" s="6" t="s">
        <v>313</v>
      </c>
    </row>
    <row r="962" spans="1:12" customFormat="1" ht="14.4" x14ac:dyDescent="0.3">
      <c r="A962" s="1" t="s">
        <v>12</v>
      </c>
      <c r="B962" s="1" t="s">
        <v>13</v>
      </c>
      <c r="C962" s="2" t="s">
        <v>14</v>
      </c>
      <c r="D962" s="1" t="s">
        <v>64</v>
      </c>
      <c r="E962" s="1" t="s">
        <v>65</v>
      </c>
      <c r="F962" s="1" t="s">
        <v>66</v>
      </c>
      <c r="G962" s="3">
        <v>5500</v>
      </c>
      <c r="H962" s="5">
        <v>45528</v>
      </c>
      <c r="I962" s="3" t="s">
        <v>101</v>
      </c>
      <c r="J962" s="3" t="s">
        <v>68</v>
      </c>
      <c r="K962" s="24">
        <v>352404068</v>
      </c>
      <c r="L962" s="6" t="s">
        <v>107</v>
      </c>
    </row>
    <row r="963" spans="1:12" customFormat="1" ht="14.4" x14ac:dyDescent="0.3">
      <c r="A963" s="1" t="s">
        <v>12</v>
      </c>
      <c r="B963" s="1" t="s">
        <v>13</v>
      </c>
      <c r="C963" s="2" t="s">
        <v>14</v>
      </c>
      <c r="D963" s="3" t="s">
        <v>149</v>
      </c>
      <c r="E963" s="18">
        <v>50100624324501</v>
      </c>
      <c r="F963" s="3" t="s">
        <v>150</v>
      </c>
      <c r="G963" s="3">
        <v>5000</v>
      </c>
      <c r="H963" s="5">
        <v>45528</v>
      </c>
      <c r="I963" s="3" t="s">
        <v>77</v>
      </c>
      <c r="J963" s="3" t="s">
        <v>29</v>
      </c>
      <c r="K963" s="24">
        <v>352404033</v>
      </c>
      <c r="L963" s="6" t="s">
        <v>35</v>
      </c>
    </row>
    <row r="964" spans="1:12" customFormat="1" ht="14.4" x14ac:dyDescent="0.3">
      <c r="A964" s="1" t="s">
        <v>12</v>
      </c>
      <c r="B964" s="1" t="s">
        <v>13</v>
      </c>
      <c r="C964" s="2" t="s">
        <v>14</v>
      </c>
      <c r="D964" s="1" t="s">
        <v>41</v>
      </c>
      <c r="E964" s="1" t="s">
        <v>61</v>
      </c>
      <c r="F964" s="1" t="s">
        <v>62</v>
      </c>
      <c r="G964" s="3">
        <v>1300</v>
      </c>
      <c r="H964" s="5">
        <v>45528</v>
      </c>
      <c r="I964" s="3" t="s">
        <v>204</v>
      </c>
      <c r="J964" s="3" t="s">
        <v>205</v>
      </c>
      <c r="K964" s="1">
        <v>352404088</v>
      </c>
      <c r="L964" s="6" t="s">
        <v>314</v>
      </c>
    </row>
    <row r="965" spans="1:12" customFormat="1" ht="14.4" x14ac:dyDescent="0.3">
      <c r="A965" s="1" t="s">
        <v>12</v>
      </c>
      <c r="B965" s="1" t="s">
        <v>13</v>
      </c>
      <c r="C965" s="2" t="s">
        <v>14</v>
      </c>
      <c r="D965" s="1" t="s">
        <v>15</v>
      </c>
      <c r="E965" s="1" t="s">
        <v>16</v>
      </c>
      <c r="F965" s="1" t="s">
        <v>17</v>
      </c>
      <c r="G965" s="3">
        <v>4000</v>
      </c>
      <c r="H965" s="5">
        <v>45528</v>
      </c>
      <c r="I965" s="3" t="s">
        <v>85</v>
      </c>
      <c r="J965" s="3" t="s">
        <v>19</v>
      </c>
      <c r="K965" s="24">
        <v>352404069</v>
      </c>
      <c r="L965" s="6" t="s">
        <v>20</v>
      </c>
    </row>
    <row r="966" spans="1:12" customFormat="1" ht="14.4" x14ac:dyDescent="0.3">
      <c r="A966" s="1" t="s">
        <v>12</v>
      </c>
      <c r="B966" s="1" t="s">
        <v>13</v>
      </c>
      <c r="C966" s="2" t="s">
        <v>14</v>
      </c>
      <c r="D966" s="1" t="s">
        <v>41</v>
      </c>
      <c r="E966" s="1" t="s">
        <v>42</v>
      </c>
      <c r="F966" s="1" t="s">
        <v>43</v>
      </c>
      <c r="G966" s="3">
        <v>4000</v>
      </c>
      <c r="H966" s="5">
        <v>45528</v>
      </c>
      <c r="I966" s="3" t="s">
        <v>87</v>
      </c>
      <c r="J966" s="3" t="s">
        <v>45</v>
      </c>
      <c r="K966" s="24">
        <v>352404070</v>
      </c>
      <c r="L966" s="6" t="s">
        <v>20</v>
      </c>
    </row>
    <row r="967" spans="1:12" s="25" customFormat="1" ht="14.4" x14ac:dyDescent="0.3">
      <c r="A967" s="22" t="s">
        <v>12</v>
      </c>
      <c r="B967" s="22" t="s">
        <v>13</v>
      </c>
      <c r="C967" s="22" t="s">
        <v>14</v>
      </c>
      <c r="D967" s="22" t="s">
        <v>215</v>
      </c>
      <c r="E967" s="22" t="s">
        <v>216</v>
      </c>
      <c r="F967" s="22" t="s">
        <v>33</v>
      </c>
      <c r="G967" s="23">
        <v>500</v>
      </c>
      <c r="H967" s="5">
        <v>45529</v>
      </c>
      <c r="I967" s="23" t="s">
        <v>155</v>
      </c>
      <c r="J967" s="23" t="s">
        <v>156</v>
      </c>
      <c r="K967" s="22">
        <v>352404108</v>
      </c>
      <c r="L967" s="6" t="s">
        <v>315</v>
      </c>
    </row>
    <row r="968" spans="1:12" customFormat="1" ht="14.4" x14ac:dyDescent="0.3">
      <c r="A968" s="1" t="s">
        <v>12</v>
      </c>
      <c r="B968" s="1" t="s">
        <v>13</v>
      </c>
      <c r="C968" s="2" t="s">
        <v>14</v>
      </c>
      <c r="D968" s="1" t="s">
        <v>64</v>
      </c>
      <c r="E968" s="1" t="s">
        <v>65</v>
      </c>
      <c r="F968" s="1" t="s">
        <v>66</v>
      </c>
      <c r="G968" s="3">
        <v>5250</v>
      </c>
      <c r="H968" s="5">
        <v>45530</v>
      </c>
      <c r="I968" s="3" t="s">
        <v>101</v>
      </c>
      <c r="J968" s="3" t="s">
        <v>68</v>
      </c>
      <c r="K968" s="24">
        <v>352404104</v>
      </c>
      <c r="L968" s="6" t="s">
        <v>316</v>
      </c>
    </row>
    <row r="969" spans="1:12" customFormat="1" ht="14.4" x14ac:dyDescent="0.3">
      <c r="A969" s="1" t="s">
        <v>12</v>
      </c>
      <c r="B969" s="1" t="s">
        <v>13</v>
      </c>
      <c r="C969" s="2" t="s">
        <v>14</v>
      </c>
      <c r="D969" s="1" t="s">
        <v>31</v>
      </c>
      <c r="E969" s="1" t="s">
        <v>32</v>
      </c>
      <c r="F969" s="1" t="s">
        <v>33</v>
      </c>
      <c r="G969" s="3">
        <v>7500</v>
      </c>
      <c r="H969" s="5">
        <v>45530</v>
      </c>
      <c r="I969" s="3" t="s">
        <v>78</v>
      </c>
      <c r="J969" s="3" t="s">
        <v>79</v>
      </c>
      <c r="K969" s="24">
        <v>352404094</v>
      </c>
      <c r="L969" s="6" t="s">
        <v>317</v>
      </c>
    </row>
    <row r="970" spans="1:12" customFormat="1" ht="14.4" x14ac:dyDescent="0.3">
      <c r="A970" s="1" t="s">
        <v>12</v>
      </c>
      <c r="B970" s="1" t="s">
        <v>13</v>
      </c>
      <c r="C970" s="2" t="s">
        <v>14</v>
      </c>
      <c r="D970" s="1" t="s">
        <v>257</v>
      </c>
      <c r="E970" s="7" t="s">
        <v>258</v>
      </c>
      <c r="F970" s="7" t="s">
        <v>33</v>
      </c>
      <c r="G970" s="3">
        <v>5250</v>
      </c>
      <c r="H970" s="5">
        <v>45530</v>
      </c>
      <c r="I970" s="3" t="s">
        <v>88</v>
      </c>
      <c r="J970" s="3" t="s">
        <v>59</v>
      </c>
      <c r="K970" s="24">
        <v>352404097</v>
      </c>
      <c r="L970" s="6" t="s">
        <v>316</v>
      </c>
    </row>
    <row r="971" spans="1:12" customFormat="1" ht="14.4" x14ac:dyDescent="0.3">
      <c r="A971" s="1" t="s">
        <v>12</v>
      </c>
      <c r="B971" s="1" t="s">
        <v>13</v>
      </c>
      <c r="C971" s="2" t="s">
        <v>14</v>
      </c>
      <c r="D971" s="1" t="s">
        <v>113</v>
      </c>
      <c r="E971" s="1" t="s">
        <v>114</v>
      </c>
      <c r="F971" s="1" t="s">
        <v>66</v>
      </c>
      <c r="G971" s="3">
        <v>7500</v>
      </c>
      <c r="H971" s="5">
        <v>45530</v>
      </c>
      <c r="I971" s="3" t="s">
        <v>91</v>
      </c>
      <c r="J971" s="3" t="s">
        <v>22</v>
      </c>
      <c r="K971" s="24">
        <v>352404093</v>
      </c>
      <c r="L971" s="6" t="s">
        <v>317</v>
      </c>
    </row>
    <row r="972" spans="1:12" customFormat="1" ht="14.4" x14ac:dyDescent="0.3">
      <c r="A972" s="1" t="s">
        <v>12</v>
      </c>
      <c r="B972" s="1" t="s">
        <v>13</v>
      </c>
      <c r="C972" s="2" t="s">
        <v>14</v>
      </c>
      <c r="D972" s="3" t="s">
        <v>149</v>
      </c>
      <c r="E972" s="18">
        <v>50100624324501</v>
      </c>
      <c r="F972" s="3" t="s">
        <v>150</v>
      </c>
      <c r="G972" s="3">
        <v>5000</v>
      </c>
      <c r="H972" s="5">
        <v>45530</v>
      </c>
      <c r="I972" s="3" t="s">
        <v>77</v>
      </c>
      <c r="J972" s="3" t="s">
        <v>29</v>
      </c>
      <c r="K972" s="24">
        <v>352404114</v>
      </c>
      <c r="L972" s="6" t="s">
        <v>318</v>
      </c>
    </row>
    <row r="973" spans="1:12" customFormat="1" ht="14.4" x14ac:dyDescent="0.3">
      <c r="A973" s="1" t="s">
        <v>12</v>
      </c>
      <c r="B973" s="1" t="s">
        <v>13</v>
      </c>
      <c r="C973" s="2" t="s">
        <v>14</v>
      </c>
      <c r="D973" s="1" t="s">
        <v>31</v>
      </c>
      <c r="E973" s="1" t="s">
        <v>32</v>
      </c>
      <c r="F973" s="1" t="s">
        <v>33</v>
      </c>
      <c r="G973" s="1">
        <v>4750</v>
      </c>
      <c r="H973" s="5">
        <v>45530</v>
      </c>
      <c r="I973" s="3" t="s">
        <v>93</v>
      </c>
      <c r="J973" s="3" t="s">
        <v>34</v>
      </c>
      <c r="K973" s="1">
        <v>352404103</v>
      </c>
      <c r="L973" s="6" t="s">
        <v>316</v>
      </c>
    </row>
    <row r="974" spans="1:12" customFormat="1" ht="14.4" x14ac:dyDescent="0.3">
      <c r="A974" s="1" t="s">
        <v>12</v>
      </c>
      <c r="B974" s="1" t="s">
        <v>13</v>
      </c>
      <c r="C974" s="2" t="s">
        <v>14</v>
      </c>
      <c r="D974" s="1" t="s">
        <v>36</v>
      </c>
      <c r="E974" s="1" t="s">
        <v>37</v>
      </c>
      <c r="F974" s="1" t="s">
        <v>38</v>
      </c>
      <c r="G974" s="3">
        <v>5250</v>
      </c>
      <c r="H974" s="5">
        <v>45530</v>
      </c>
      <c r="I974" s="3" t="s">
        <v>92</v>
      </c>
      <c r="J974" s="3" t="s">
        <v>40</v>
      </c>
      <c r="K974" s="1">
        <v>352404096</v>
      </c>
      <c r="L974" s="6" t="s">
        <v>316</v>
      </c>
    </row>
    <row r="975" spans="1:12" customFormat="1" ht="14.4" x14ac:dyDescent="0.3">
      <c r="A975" s="1" t="s">
        <v>12</v>
      </c>
      <c r="B975" s="1" t="s">
        <v>13</v>
      </c>
      <c r="C975" s="2" t="s">
        <v>14</v>
      </c>
      <c r="D975" s="1" t="s">
        <v>48</v>
      </c>
      <c r="E975" s="1" t="s">
        <v>49</v>
      </c>
      <c r="F975" s="1" t="s">
        <v>50</v>
      </c>
      <c r="G975" s="3">
        <v>5250</v>
      </c>
      <c r="H975" s="5">
        <v>45530</v>
      </c>
      <c r="I975" s="3" t="s">
        <v>206</v>
      </c>
      <c r="J975" s="3" t="s">
        <v>52</v>
      </c>
      <c r="K975" s="1">
        <v>352404102</v>
      </c>
      <c r="L975" s="6" t="s">
        <v>316</v>
      </c>
    </row>
    <row r="976" spans="1:12" x14ac:dyDescent="0.25">
      <c r="A976" s="30" t="s">
        <v>12</v>
      </c>
      <c r="B976" s="30" t="s">
        <v>13</v>
      </c>
      <c r="C976" s="30" t="s">
        <v>14</v>
      </c>
      <c r="D976" s="30" t="s">
        <v>144</v>
      </c>
      <c r="E976" s="39">
        <v>42542201947</v>
      </c>
      <c r="F976" s="30" t="s">
        <v>145</v>
      </c>
      <c r="G976" s="32">
        <v>7500</v>
      </c>
      <c r="H976" s="33">
        <v>45530</v>
      </c>
      <c r="I976" s="32" t="s">
        <v>146</v>
      </c>
      <c r="J976" s="32" t="s">
        <v>147</v>
      </c>
      <c r="K976" s="30">
        <v>352404095</v>
      </c>
      <c r="L976" s="35" t="s">
        <v>317</v>
      </c>
    </row>
    <row r="977" spans="1:12" s="25" customFormat="1" ht="14.4" x14ac:dyDescent="0.3">
      <c r="A977" s="22" t="s">
        <v>12</v>
      </c>
      <c r="B977" s="22" t="s">
        <v>13</v>
      </c>
      <c r="C977" s="22" t="s">
        <v>14</v>
      </c>
      <c r="D977" s="22" t="s">
        <v>73</v>
      </c>
      <c r="E977" s="22" t="s">
        <v>89</v>
      </c>
      <c r="F977" s="22" t="s">
        <v>74</v>
      </c>
      <c r="G977" s="3">
        <v>7000</v>
      </c>
      <c r="H977" s="5">
        <v>45530</v>
      </c>
      <c r="I977" s="23" t="s">
        <v>90</v>
      </c>
      <c r="J977" s="23" t="s">
        <v>76</v>
      </c>
      <c r="K977" s="1">
        <v>352404038</v>
      </c>
      <c r="L977" s="6" t="s">
        <v>106</v>
      </c>
    </row>
    <row r="978" spans="1:12" customFormat="1" ht="14.4" x14ac:dyDescent="0.3">
      <c r="A978" s="1" t="s">
        <v>12</v>
      </c>
      <c r="B978" s="1" t="s">
        <v>13</v>
      </c>
      <c r="C978" s="2" t="s">
        <v>14</v>
      </c>
      <c r="D978" s="1" t="s">
        <v>15</v>
      </c>
      <c r="E978" s="1" t="s">
        <v>16</v>
      </c>
      <c r="F978" s="1" t="s">
        <v>17</v>
      </c>
      <c r="G978" s="3">
        <v>4000</v>
      </c>
      <c r="H978" s="5">
        <v>45530</v>
      </c>
      <c r="I978" s="3" t="s">
        <v>85</v>
      </c>
      <c r="J978" s="3" t="s">
        <v>19</v>
      </c>
      <c r="K978" s="24">
        <v>352404109</v>
      </c>
      <c r="L978" s="6" t="s">
        <v>20</v>
      </c>
    </row>
    <row r="979" spans="1:12" customFormat="1" ht="14.4" x14ac:dyDescent="0.3">
      <c r="A979" s="1" t="s">
        <v>12</v>
      </c>
      <c r="B979" s="1" t="s">
        <v>13</v>
      </c>
      <c r="C979" s="2" t="s">
        <v>14</v>
      </c>
      <c r="D979" s="1" t="s">
        <v>41</v>
      </c>
      <c r="E979" s="1" t="s">
        <v>42</v>
      </c>
      <c r="F979" s="1" t="s">
        <v>43</v>
      </c>
      <c r="G979" s="3">
        <v>4000</v>
      </c>
      <c r="H979" s="5">
        <v>45530</v>
      </c>
      <c r="I979" s="3" t="s">
        <v>87</v>
      </c>
      <c r="J979" s="3" t="s">
        <v>45</v>
      </c>
      <c r="K979" s="24">
        <v>352404110</v>
      </c>
      <c r="L979" s="6" t="s">
        <v>20</v>
      </c>
    </row>
    <row r="980" spans="1:12" customFormat="1" ht="14.4" x14ac:dyDescent="0.3">
      <c r="A980" s="1" t="s">
        <v>12</v>
      </c>
      <c r="B980" s="1" t="s">
        <v>13</v>
      </c>
      <c r="C980" s="2" t="s">
        <v>14</v>
      </c>
      <c r="D980" s="1" t="s">
        <v>41</v>
      </c>
      <c r="E980" s="1" t="s">
        <v>61</v>
      </c>
      <c r="F980" s="1" t="s">
        <v>62</v>
      </c>
      <c r="G980" s="3">
        <v>1300</v>
      </c>
      <c r="H980" s="5">
        <v>45530</v>
      </c>
      <c r="I980" s="3" t="s">
        <v>204</v>
      </c>
      <c r="J980" s="3" t="s">
        <v>205</v>
      </c>
      <c r="K980" s="1">
        <v>352404125</v>
      </c>
      <c r="L980" s="6" t="s">
        <v>319</v>
      </c>
    </row>
    <row r="981" spans="1:12" customFormat="1" ht="14.4" x14ac:dyDescent="0.3">
      <c r="A981" s="1" t="s">
        <v>12</v>
      </c>
      <c r="B981" s="1" t="s">
        <v>13</v>
      </c>
      <c r="C981" s="2" t="s">
        <v>14</v>
      </c>
      <c r="D981" s="1" t="s">
        <v>41</v>
      </c>
      <c r="E981" s="1" t="s">
        <v>61</v>
      </c>
      <c r="F981" s="1" t="s">
        <v>62</v>
      </c>
      <c r="G981" s="3">
        <v>1300</v>
      </c>
      <c r="H981" s="5">
        <v>45530</v>
      </c>
      <c r="I981" s="3" t="s">
        <v>204</v>
      </c>
      <c r="J981" s="3" t="s">
        <v>205</v>
      </c>
      <c r="K981" s="1">
        <v>352404126</v>
      </c>
      <c r="L981" s="6" t="s">
        <v>319</v>
      </c>
    </row>
    <row r="982" spans="1:12" s="25" customFormat="1" ht="14.4" x14ac:dyDescent="0.3">
      <c r="A982" s="22" t="s">
        <v>12</v>
      </c>
      <c r="B982" s="22" t="s">
        <v>13</v>
      </c>
      <c r="C982" s="22" t="s">
        <v>14</v>
      </c>
      <c r="D982" s="22" t="s">
        <v>215</v>
      </c>
      <c r="E982" s="22" t="s">
        <v>216</v>
      </c>
      <c r="F982" s="22" t="s">
        <v>33</v>
      </c>
      <c r="G982" s="23">
        <v>500</v>
      </c>
      <c r="H982" s="5">
        <v>45531</v>
      </c>
      <c r="I982" s="23" t="s">
        <v>155</v>
      </c>
      <c r="J982" s="23" t="s">
        <v>156</v>
      </c>
      <c r="K982" s="22">
        <v>352404156</v>
      </c>
      <c r="L982" s="6" t="s">
        <v>320</v>
      </c>
    </row>
    <row r="983" spans="1:12" customFormat="1" ht="14.4" x14ac:dyDescent="0.3">
      <c r="A983" s="1" t="s">
        <v>12</v>
      </c>
      <c r="B983" s="1" t="s">
        <v>13</v>
      </c>
      <c r="C983" s="2" t="s">
        <v>14</v>
      </c>
      <c r="D983" s="1" t="s">
        <v>257</v>
      </c>
      <c r="E983" s="7" t="s">
        <v>258</v>
      </c>
      <c r="F983" s="7" t="s">
        <v>33</v>
      </c>
      <c r="G983" s="3">
        <v>7500</v>
      </c>
      <c r="H983" s="5">
        <v>45531</v>
      </c>
      <c r="I983" s="3" t="s">
        <v>88</v>
      </c>
      <c r="J983" s="3" t="s">
        <v>59</v>
      </c>
      <c r="K983" s="24">
        <v>352404145</v>
      </c>
      <c r="L983" s="6" t="s">
        <v>317</v>
      </c>
    </row>
    <row r="984" spans="1:12" customFormat="1" ht="14.4" x14ac:dyDescent="0.3">
      <c r="A984" s="1" t="s">
        <v>12</v>
      </c>
      <c r="B984" s="1" t="s">
        <v>13</v>
      </c>
      <c r="C984" s="2" t="s">
        <v>14</v>
      </c>
      <c r="D984" s="1" t="s">
        <v>113</v>
      </c>
      <c r="E984" s="1" t="s">
        <v>114</v>
      </c>
      <c r="F984" s="1" t="s">
        <v>66</v>
      </c>
      <c r="G984" s="3">
        <v>4750</v>
      </c>
      <c r="H984" s="5">
        <v>45531</v>
      </c>
      <c r="I984" s="3" t="s">
        <v>91</v>
      </c>
      <c r="J984" s="3" t="s">
        <v>22</v>
      </c>
      <c r="K984" s="24">
        <v>352404137</v>
      </c>
      <c r="L984" s="6" t="s">
        <v>24</v>
      </c>
    </row>
    <row r="985" spans="1:12" customFormat="1" ht="14.4" x14ac:dyDescent="0.3">
      <c r="A985" s="1" t="s">
        <v>12</v>
      </c>
      <c r="B985" s="1" t="s">
        <v>13</v>
      </c>
      <c r="C985" s="2" t="s">
        <v>14</v>
      </c>
      <c r="D985" s="3" t="s">
        <v>149</v>
      </c>
      <c r="E985" s="18">
        <v>50100624324501</v>
      </c>
      <c r="F985" s="3" t="s">
        <v>150</v>
      </c>
      <c r="G985" s="3">
        <v>6200</v>
      </c>
      <c r="H985" s="5">
        <v>45531</v>
      </c>
      <c r="I985" s="3" t="s">
        <v>77</v>
      </c>
      <c r="J985" s="3" t="s">
        <v>29</v>
      </c>
      <c r="K985" s="24">
        <v>352404155</v>
      </c>
      <c r="L985" s="6" t="s">
        <v>30</v>
      </c>
    </row>
    <row r="986" spans="1:12" customFormat="1" ht="14.4" x14ac:dyDescent="0.3">
      <c r="A986" s="1" t="s">
        <v>12</v>
      </c>
      <c r="B986" s="1" t="s">
        <v>13</v>
      </c>
      <c r="C986" s="2" t="s">
        <v>14</v>
      </c>
      <c r="D986" s="1" t="s">
        <v>31</v>
      </c>
      <c r="E986" s="1" t="s">
        <v>32</v>
      </c>
      <c r="F986" s="1" t="s">
        <v>33</v>
      </c>
      <c r="G986" s="1">
        <v>7500</v>
      </c>
      <c r="H986" s="5">
        <v>45531</v>
      </c>
      <c r="I986" s="3" t="s">
        <v>93</v>
      </c>
      <c r="J986" s="3" t="s">
        <v>34</v>
      </c>
      <c r="K986" s="24">
        <v>352404141</v>
      </c>
      <c r="L986" s="6" t="s">
        <v>317</v>
      </c>
    </row>
    <row r="987" spans="1:12" customFormat="1" ht="14.4" x14ac:dyDescent="0.3">
      <c r="A987" s="1" t="s">
        <v>12</v>
      </c>
      <c r="B987" s="1" t="s">
        <v>13</v>
      </c>
      <c r="C987" s="2" t="s">
        <v>14</v>
      </c>
      <c r="D987" s="1" t="s">
        <v>36</v>
      </c>
      <c r="E987" s="1" t="s">
        <v>37</v>
      </c>
      <c r="F987" s="1" t="s">
        <v>38</v>
      </c>
      <c r="G987" s="1">
        <v>7500</v>
      </c>
      <c r="H987" s="5">
        <v>45531</v>
      </c>
      <c r="I987" s="3" t="s">
        <v>92</v>
      </c>
      <c r="J987" s="3" t="s">
        <v>40</v>
      </c>
      <c r="K987" s="24">
        <v>352404143</v>
      </c>
      <c r="L987" s="6" t="s">
        <v>317</v>
      </c>
    </row>
    <row r="988" spans="1:12" customFormat="1" ht="14.4" x14ac:dyDescent="0.3">
      <c r="A988" s="1" t="s">
        <v>12</v>
      </c>
      <c r="B988" s="1" t="s">
        <v>13</v>
      </c>
      <c r="C988" s="2" t="s">
        <v>14</v>
      </c>
      <c r="D988" s="1" t="s">
        <v>48</v>
      </c>
      <c r="E988" s="1" t="s">
        <v>49</v>
      </c>
      <c r="F988" s="1" t="s">
        <v>50</v>
      </c>
      <c r="G988" s="1">
        <v>7500</v>
      </c>
      <c r="H988" s="5">
        <v>45531</v>
      </c>
      <c r="I988" s="3" t="s">
        <v>206</v>
      </c>
      <c r="J988" s="3" t="s">
        <v>52</v>
      </c>
      <c r="K988" s="24">
        <v>352404144</v>
      </c>
      <c r="L988" s="6" t="s">
        <v>317</v>
      </c>
    </row>
    <row r="989" spans="1:12" x14ac:dyDescent="0.25">
      <c r="A989" s="30" t="s">
        <v>12</v>
      </c>
      <c r="B989" s="30" t="s">
        <v>13</v>
      </c>
      <c r="C989" s="30" t="s">
        <v>14</v>
      </c>
      <c r="D989" s="30" t="s">
        <v>144</v>
      </c>
      <c r="E989" s="39">
        <v>42542201947</v>
      </c>
      <c r="F989" s="30" t="s">
        <v>145</v>
      </c>
      <c r="G989" s="32">
        <v>4750</v>
      </c>
      <c r="H989" s="33">
        <v>45531</v>
      </c>
      <c r="I989" s="32" t="s">
        <v>146</v>
      </c>
      <c r="J989" s="32" t="s">
        <v>147</v>
      </c>
      <c r="K989" s="34">
        <v>352404139</v>
      </c>
      <c r="L989" s="35" t="s">
        <v>139</v>
      </c>
    </row>
    <row r="990" spans="1:12" customFormat="1" ht="14.4" x14ac:dyDescent="0.3">
      <c r="A990" s="1" t="s">
        <v>12</v>
      </c>
      <c r="B990" s="1" t="s">
        <v>13</v>
      </c>
      <c r="C990" s="2" t="s">
        <v>14</v>
      </c>
      <c r="D990" s="1" t="s">
        <v>41</v>
      </c>
      <c r="E990" s="1" t="s">
        <v>61</v>
      </c>
      <c r="F990" s="1" t="s">
        <v>62</v>
      </c>
      <c r="G990" s="3">
        <v>1300</v>
      </c>
      <c r="H990" s="5">
        <v>45531</v>
      </c>
      <c r="I990" s="3" t="s">
        <v>204</v>
      </c>
      <c r="J990" s="3" t="s">
        <v>205</v>
      </c>
      <c r="K990" s="1">
        <v>352404165</v>
      </c>
      <c r="L990" s="6" t="s">
        <v>321</v>
      </c>
    </row>
    <row r="991" spans="1:12" customFormat="1" ht="14.4" x14ac:dyDescent="0.3">
      <c r="A991" s="1" t="s">
        <v>12</v>
      </c>
      <c r="B991" s="1" t="s">
        <v>13</v>
      </c>
      <c r="C991" s="2" t="s">
        <v>14</v>
      </c>
      <c r="D991" s="1" t="s">
        <v>41</v>
      </c>
      <c r="E991" s="1" t="s">
        <v>61</v>
      </c>
      <c r="F991" s="1" t="s">
        <v>62</v>
      </c>
      <c r="G991" s="3">
        <v>1300</v>
      </c>
      <c r="H991" s="5">
        <v>45531</v>
      </c>
      <c r="I991" s="3" t="s">
        <v>204</v>
      </c>
      <c r="J991" s="3" t="s">
        <v>205</v>
      </c>
      <c r="K991" s="1">
        <v>352404166</v>
      </c>
      <c r="L991" s="6" t="s">
        <v>321</v>
      </c>
    </row>
    <row r="992" spans="1:12" customFormat="1" ht="14.4" x14ac:dyDescent="0.3">
      <c r="A992" s="1" t="s">
        <v>12</v>
      </c>
      <c r="B992" s="1" t="s">
        <v>13</v>
      </c>
      <c r="C992" s="2" t="s">
        <v>14</v>
      </c>
      <c r="D992" s="1" t="s">
        <v>15</v>
      </c>
      <c r="E992" s="1" t="s">
        <v>16</v>
      </c>
      <c r="F992" s="1" t="s">
        <v>17</v>
      </c>
      <c r="G992" s="3">
        <v>4000</v>
      </c>
      <c r="H992" s="5">
        <v>45531</v>
      </c>
      <c r="I992" s="3" t="s">
        <v>85</v>
      </c>
      <c r="J992" s="3" t="s">
        <v>19</v>
      </c>
      <c r="K992" s="24">
        <v>352404136</v>
      </c>
      <c r="L992" s="6" t="s">
        <v>20</v>
      </c>
    </row>
    <row r="993" spans="1:12" customFormat="1" ht="14.4" x14ac:dyDescent="0.3">
      <c r="A993" s="1" t="s">
        <v>12</v>
      </c>
      <c r="B993" s="1" t="s">
        <v>13</v>
      </c>
      <c r="C993" s="2" t="s">
        <v>14</v>
      </c>
      <c r="D993" s="1" t="s">
        <v>41</v>
      </c>
      <c r="E993" s="1" t="s">
        <v>42</v>
      </c>
      <c r="F993" s="1" t="s">
        <v>43</v>
      </c>
      <c r="G993" s="3">
        <v>4000</v>
      </c>
      <c r="H993" s="5">
        <v>45531</v>
      </c>
      <c r="I993" s="3" t="s">
        <v>87</v>
      </c>
      <c r="J993" s="3" t="s">
        <v>45</v>
      </c>
      <c r="K993" s="24">
        <v>352404162</v>
      </c>
      <c r="L993" s="6" t="s">
        <v>20</v>
      </c>
    </row>
    <row r="994" spans="1:12" s="25" customFormat="1" ht="14.4" x14ac:dyDescent="0.3">
      <c r="A994" s="22" t="s">
        <v>12</v>
      </c>
      <c r="B994" s="22" t="s">
        <v>13</v>
      </c>
      <c r="C994" s="22" t="s">
        <v>14</v>
      </c>
      <c r="D994" s="22" t="s">
        <v>183</v>
      </c>
      <c r="E994" s="22" t="s">
        <v>184</v>
      </c>
      <c r="F994" s="22" t="s">
        <v>185</v>
      </c>
      <c r="G994" s="23">
        <v>500</v>
      </c>
      <c r="H994" s="5">
        <v>45532</v>
      </c>
      <c r="I994" s="23" t="s">
        <v>186</v>
      </c>
      <c r="J994" s="23" t="s">
        <v>187</v>
      </c>
      <c r="K994" s="22">
        <v>352404174</v>
      </c>
      <c r="L994" s="6" t="s">
        <v>315</v>
      </c>
    </row>
    <row r="995" spans="1:12" customFormat="1" ht="14.4" x14ac:dyDescent="0.3">
      <c r="A995" s="1" t="s">
        <v>12</v>
      </c>
      <c r="B995" s="1" t="s">
        <v>13</v>
      </c>
      <c r="C995" s="2" t="s">
        <v>14</v>
      </c>
      <c r="D995" s="1" t="s">
        <v>64</v>
      </c>
      <c r="E995" s="1" t="s">
        <v>65</v>
      </c>
      <c r="F995" s="1" t="s">
        <v>66</v>
      </c>
      <c r="G995" s="3">
        <v>5250</v>
      </c>
      <c r="H995" s="5">
        <v>45532</v>
      </c>
      <c r="I995" s="3" t="s">
        <v>101</v>
      </c>
      <c r="J995" s="3" t="s">
        <v>68</v>
      </c>
      <c r="K995" s="24">
        <v>352404142</v>
      </c>
      <c r="L995" s="6" t="s">
        <v>316</v>
      </c>
    </row>
    <row r="996" spans="1:12" customFormat="1" ht="14.4" x14ac:dyDescent="0.3">
      <c r="A996" s="1" t="s">
        <v>12</v>
      </c>
      <c r="B996" s="1" t="s">
        <v>13</v>
      </c>
      <c r="C996" s="2" t="s">
        <v>14</v>
      </c>
      <c r="D996" s="1" t="s">
        <v>257</v>
      </c>
      <c r="E996" s="7" t="s">
        <v>258</v>
      </c>
      <c r="F996" s="7" t="s">
        <v>33</v>
      </c>
      <c r="G996" s="3">
        <v>5250</v>
      </c>
      <c r="H996" s="5">
        <v>45532</v>
      </c>
      <c r="I996" s="3" t="s">
        <v>88</v>
      </c>
      <c r="J996" s="3" t="s">
        <v>59</v>
      </c>
      <c r="K996" s="24">
        <v>352404186</v>
      </c>
      <c r="L996" s="6" t="s">
        <v>316</v>
      </c>
    </row>
    <row r="997" spans="1:12" customFormat="1" ht="14.4" x14ac:dyDescent="0.3">
      <c r="A997" s="1" t="s">
        <v>12</v>
      </c>
      <c r="B997" s="1" t="s">
        <v>13</v>
      </c>
      <c r="C997" s="2" t="s">
        <v>14</v>
      </c>
      <c r="D997" s="1" t="s">
        <v>113</v>
      </c>
      <c r="E997" s="1" t="s">
        <v>114</v>
      </c>
      <c r="F997" s="1" t="s">
        <v>66</v>
      </c>
      <c r="G997" s="3">
        <v>3750</v>
      </c>
      <c r="H997" s="5">
        <v>45532</v>
      </c>
      <c r="I997" s="3" t="s">
        <v>91</v>
      </c>
      <c r="J997" s="3" t="s">
        <v>22</v>
      </c>
      <c r="K997" s="24">
        <v>352404164</v>
      </c>
      <c r="L997" s="6" t="s">
        <v>322</v>
      </c>
    </row>
    <row r="998" spans="1:12" customFormat="1" ht="14.4" x14ac:dyDescent="0.3">
      <c r="A998" s="1" t="s">
        <v>12</v>
      </c>
      <c r="B998" s="1" t="s">
        <v>13</v>
      </c>
      <c r="C998" s="2" t="s">
        <v>14</v>
      </c>
      <c r="D998" s="1" t="s">
        <v>36</v>
      </c>
      <c r="E998" s="1" t="s">
        <v>37</v>
      </c>
      <c r="F998" s="1" t="s">
        <v>38</v>
      </c>
      <c r="G998" s="1">
        <v>5250</v>
      </c>
      <c r="H998" s="5">
        <v>45532</v>
      </c>
      <c r="I998" s="3" t="s">
        <v>92</v>
      </c>
      <c r="J998" s="3" t="s">
        <v>40</v>
      </c>
      <c r="K998" s="24">
        <v>352404185</v>
      </c>
      <c r="L998" s="6" t="s">
        <v>316</v>
      </c>
    </row>
    <row r="999" spans="1:12" x14ac:dyDescent="0.25">
      <c r="A999" s="30" t="s">
        <v>12</v>
      </c>
      <c r="B999" s="30" t="s">
        <v>13</v>
      </c>
      <c r="C999" s="30" t="s">
        <v>14</v>
      </c>
      <c r="D999" s="30" t="s">
        <v>144</v>
      </c>
      <c r="E999" s="39">
        <v>42542201947</v>
      </c>
      <c r="F999" s="30" t="s">
        <v>145</v>
      </c>
      <c r="G999" s="32">
        <v>3750</v>
      </c>
      <c r="H999" s="33">
        <v>45532</v>
      </c>
      <c r="I999" s="32" t="s">
        <v>146</v>
      </c>
      <c r="J999" s="32" t="s">
        <v>147</v>
      </c>
      <c r="K999" s="34">
        <v>352404189</v>
      </c>
      <c r="L999" s="35" t="s">
        <v>322</v>
      </c>
    </row>
    <row r="1000" spans="1:12" customFormat="1" ht="14.4" x14ac:dyDescent="0.3">
      <c r="A1000" s="1" t="s">
        <v>12</v>
      </c>
      <c r="B1000" s="1" t="s">
        <v>13</v>
      </c>
      <c r="C1000" s="2" t="s">
        <v>14</v>
      </c>
      <c r="D1000" s="1" t="s">
        <v>41</v>
      </c>
      <c r="E1000" s="1" t="s">
        <v>61</v>
      </c>
      <c r="F1000" s="1" t="s">
        <v>62</v>
      </c>
      <c r="G1000" s="3">
        <v>1300</v>
      </c>
      <c r="H1000" s="5">
        <v>45532</v>
      </c>
      <c r="I1000" s="3" t="s">
        <v>204</v>
      </c>
      <c r="J1000" s="3" t="s">
        <v>205</v>
      </c>
      <c r="K1000" s="1">
        <v>352404208</v>
      </c>
      <c r="L1000" s="6" t="s">
        <v>323</v>
      </c>
    </row>
    <row r="1001" spans="1:12" customFormat="1" ht="14.4" x14ac:dyDescent="0.3">
      <c r="A1001" s="1" t="s">
        <v>12</v>
      </c>
      <c r="B1001" s="1" t="s">
        <v>13</v>
      </c>
      <c r="C1001" s="2" t="s">
        <v>14</v>
      </c>
      <c r="D1001" s="1" t="s">
        <v>41</v>
      </c>
      <c r="E1001" s="1" t="s">
        <v>61</v>
      </c>
      <c r="F1001" s="1" t="s">
        <v>62</v>
      </c>
      <c r="G1001" s="3">
        <v>1300</v>
      </c>
      <c r="H1001" s="5">
        <v>45532</v>
      </c>
      <c r="I1001" s="3" t="s">
        <v>204</v>
      </c>
      <c r="J1001" s="3" t="s">
        <v>205</v>
      </c>
      <c r="K1001" s="1">
        <v>352404209</v>
      </c>
      <c r="L1001" s="6" t="s">
        <v>323</v>
      </c>
    </row>
    <row r="1002" spans="1:12" customFormat="1" ht="14.4" x14ac:dyDescent="0.3">
      <c r="A1002" s="1" t="s">
        <v>12</v>
      </c>
      <c r="B1002" s="1" t="s">
        <v>13</v>
      </c>
      <c r="C1002" s="2" t="s">
        <v>14</v>
      </c>
      <c r="D1002" s="1" t="s">
        <v>41</v>
      </c>
      <c r="E1002" s="1" t="s">
        <v>42</v>
      </c>
      <c r="F1002" s="1" t="s">
        <v>43</v>
      </c>
      <c r="G1002" s="3">
        <v>4000</v>
      </c>
      <c r="H1002" s="5">
        <v>45532</v>
      </c>
      <c r="I1002" s="3" t="s">
        <v>87</v>
      </c>
      <c r="J1002" s="3" t="s">
        <v>45</v>
      </c>
      <c r="K1002" s="24">
        <v>352404203</v>
      </c>
      <c r="L1002" s="6" t="s">
        <v>20</v>
      </c>
    </row>
    <row r="1003" spans="1:12" s="25" customFormat="1" ht="14.4" x14ac:dyDescent="0.3">
      <c r="A1003" s="22" t="s">
        <v>12</v>
      </c>
      <c r="B1003" s="22" t="s">
        <v>13</v>
      </c>
      <c r="C1003" s="22" t="s">
        <v>14</v>
      </c>
      <c r="D1003" s="22" t="s">
        <v>193</v>
      </c>
      <c r="E1003" s="22" t="s">
        <v>194</v>
      </c>
      <c r="F1003" s="22" t="s">
        <v>195</v>
      </c>
      <c r="G1003" s="23">
        <v>500</v>
      </c>
      <c r="H1003" s="5">
        <v>45533</v>
      </c>
      <c r="I1003" s="23" t="s">
        <v>125</v>
      </c>
      <c r="J1003" s="23" t="s">
        <v>126</v>
      </c>
      <c r="K1003" s="24">
        <v>352404242</v>
      </c>
      <c r="L1003" s="6" t="s">
        <v>324</v>
      </c>
    </row>
    <row r="1004" spans="1:12" s="25" customFormat="1" ht="14.4" x14ac:dyDescent="0.3">
      <c r="A1004" s="22" t="s">
        <v>12</v>
      </c>
      <c r="B1004" s="22" t="s">
        <v>13</v>
      </c>
      <c r="C1004" s="22" t="s">
        <v>14</v>
      </c>
      <c r="D1004" s="22" t="s">
        <v>215</v>
      </c>
      <c r="E1004" s="22" t="s">
        <v>216</v>
      </c>
      <c r="F1004" s="22" t="s">
        <v>33</v>
      </c>
      <c r="G1004" s="23">
        <v>500</v>
      </c>
      <c r="H1004" s="5">
        <v>45533</v>
      </c>
      <c r="I1004" s="23" t="s">
        <v>155</v>
      </c>
      <c r="J1004" s="23" t="s">
        <v>156</v>
      </c>
      <c r="K1004" s="22">
        <v>352404243</v>
      </c>
      <c r="L1004" s="6" t="s">
        <v>325</v>
      </c>
    </row>
    <row r="1005" spans="1:12" customFormat="1" ht="14.4" x14ac:dyDescent="0.3">
      <c r="A1005" s="1" t="s">
        <v>12</v>
      </c>
      <c r="B1005" s="1" t="s">
        <v>13</v>
      </c>
      <c r="C1005" s="2" t="s">
        <v>14</v>
      </c>
      <c r="D1005" s="1" t="s">
        <v>15</v>
      </c>
      <c r="E1005" s="1" t="s">
        <v>16</v>
      </c>
      <c r="F1005" s="1" t="s">
        <v>17</v>
      </c>
      <c r="G1005" s="3">
        <v>4000</v>
      </c>
      <c r="H1005" s="5">
        <v>45533</v>
      </c>
      <c r="I1005" s="3" t="s">
        <v>85</v>
      </c>
      <c r="J1005" s="3" t="s">
        <v>19</v>
      </c>
      <c r="K1005" s="24">
        <v>352404207</v>
      </c>
      <c r="L1005" s="6" t="s">
        <v>20</v>
      </c>
    </row>
    <row r="1006" spans="1:12" customFormat="1" ht="14.4" x14ac:dyDescent="0.3">
      <c r="A1006" s="1" t="s">
        <v>12</v>
      </c>
      <c r="B1006" s="1" t="s">
        <v>13</v>
      </c>
      <c r="C1006" s="2" t="s">
        <v>14</v>
      </c>
      <c r="D1006" s="1" t="s">
        <v>31</v>
      </c>
      <c r="E1006" s="1" t="s">
        <v>32</v>
      </c>
      <c r="F1006" s="1" t="s">
        <v>33</v>
      </c>
      <c r="G1006" s="3">
        <v>5250</v>
      </c>
      <c r="H1006" s="5">
        <v>45533</v>
      </c>
      <c r="I1006" s="3" t="s">
        <v>78</v>
      </c>
      <c r="J1006" s="3" t="s">
        <v>79</v>
      </c>
      <c r="K1006" s="24">
        <v>352404140</v>
      </c>
      <c r="L1006" s="6" t="s">
        <v>316</v>
      </c>
    </row>
    <row r="1007" spans="1:12" customFormat="1" ht="14.4" x14ac:dyDescent="0.3">
      <c r="A1007" s="1" t="s">
        <v>12</v>
      </c>
      <c r="B1007" s="1" t="s">
        <v>13</v>
      </c>
      <c r="C1007" s="2" t="s">
        <v>14</v>
      </c>
      <c r="D1007" s="1" t="s">
        <v>31</v>
      </c>
      <c r="E1007" s="1" t="s">
        <v>32</v>
      </c>
      <c r="F1007" s="1" t="s">
        <v>33</v>
      </c>
      <c r="G1007" s="3">
        <v>5250</v>
      </c>
      <c r="H1007" s="5">
        <v>45533</v>
      </c>
      <c r="I1007" s="3" t="s">
        <v>93</v>
      </c>
      <c r="J1007" s="3" t="s">
        <v>34</v>
      </c>
      <c r="K1007" s="24">
        <v>352404188</v>
      </c>
      <c r="L1007" s="6" t="s">
        <v>316</v>
      </c>
    </row>
    <row r="1008" spans="1:12" customFormat="1" ht="14.4" x14ac:dyDescent="0.3">
      <c r="A1008" s="1" t="s">
        <v>12</v>
      </c>
      <c r="B1008" s="1" t="s">
        <v>13</v>
      </c>
      <c r="C1008" s="2" t="s">
        <v>14</v>
      </c>
      <c r="D1008" s="1" t="s">
        <v>48</v>
      </c>
      <c r="E1008" s="1" t="s">
        <v>49</v>
      </c>
      <c r="F1008" s="1" t="s">
        <v>50</v>
      </c>
      <c r="G1008" s="3">
        <v>5250</v>
      </c>
      <c r="H1008" s="5">
        <v>45533</v>
      </c>
      <c r="I1008" s="3" t="s">
        <v>206</v>
      </c>
      <c r="J1008" s="3" t="s">
        <v>52</v>
      </c>
      <c r="K1008" s="24">
        <v>352404187</v>
      </c>
      <c r="L1008" s="6" t="s">
        <v>316</v>
      </c>
    </row>
    <row r="1009" spans="1:12" x14ac:dyDescent="0.25">
      <c r="A1009" s="30" t="s">
        <v>12</v>
      </c>
      <c r="B1009" s="30" t="s">
        <v>13</v>
      </c>
      <c r="C1009" s="30" t="s">
        <v>14</v>
      </c>
      <c r="D1009" s="30" t="s">
        <v>144</v>
      </c>
      <c r="E1009" s="39">
        <v>42542201947</v>
      </c>
      <c r="F1009" s="30" t="s">
        <v>145</v>
      </c>
      <c r="G1009" s="32">
        <v>5250</v>
      </c>
      <c r="H1009" s="33">
        <v>45533</v>
      </c>
      <c r="I1009" s="32" t="s">
        <v>146</v>
      </c>
      <c r="J1009" s="32" t="s">
        <v>147</v>
      </c>
      <c r="K1009" s="34">
        <v>352404225</v>
      </c>
      <c r="L1009" s="35" t="s">
        <v>316</v>
      </c>
    </row>
    <row r="1010" spans="1:12" s="25" customFormat="1" ht="14.4" x14ac:dyDescent="0.3">
      <c r="A1010" s="22" t="s">
        <v>12</v>
      </c>
      <c r="B1010" s="22" t="s">
        <v>13</v>
      </c>
      <c r="C1010" s="22" t="s">
        <v>14</v>
      </c>
      <c r="D1010" s="22" t="s">
        <v>215</v>
      </c>
      <c r="E1010" s="22" t="s">
        <v>216</v>
      </c>
      <c r="F1010" s="22" t="s">
        <v>33</v>
      </c>
      <c r="G1010" s="23">
        <f>500+260</f>
        <v>760</v>
      </c>
      <c r="H1010" s="5">
        <v>45533</v>
      </c>
      <c r="I1010" s="23" t="s">
        <v>155</v>
      </c>
      <c r="J1010" s="23" t="s">
        <v>156</v>
      </c>
      <c r="K1010" s="22">
        <v>352404244</v>
      </c>
      <c r="L1010" s="6" t="s">
        <v>326</v>
      </c>
    </row>
    <row r="1011" spans="1:12" customFormat="1" ht="14.4" x14ac:dyDescent="0.3">
      <c r="A1011" s="1" t="s">
        <v>12</v>
      </c>
      <c r="B1011" s="1" t="s">
        <v>13</v>
      </c>
      <c r="C1011" s="2" t="s">
        <v>14</v>
      </c>
      <c r="D1011" s="1" t="s">
        <v>41</v>
      </c>
      <c r="E1011" s="1" t="s">
        <v>61</v>
      </c>
      <c r="F1011" s="1" t="s">
        <v>62</v>
      </c>
      <c r="G1011" s="3">
        <v>1300</v>
      </c>
      <c r="H1011" s="5">
        <v>45533</v>
      </c>
      <c r="I1011" s="3" t="s">
        <v>204</v>
      </c>
      <c r="J1011" s="3" t="s">
        <v>205</v>
      </c>
      <c r="K1011" s="22">
        <v>352404245</v>
      </c>
      <c r="L1011" s="6" t="s">
        <v>327</v>
      </c>
    </row>
    <row r="1012" spans="1:12" customFormat="1" ht="14.4" x14ac:dyDescent="0.3">
      <c r="A1012" s="1" t="s">
        <v>12</v>
      </c>
      <c r="B1012" s="1" t="s">
        <v>13</v>
      </c>
      <c r="C1012" s="2" t="s">
        <v>14</v>
      </c>
      <c r="D1012" s="1" t="s">
        <v>41</v>
      </c>
      <c r="E1012" s="1" t="s">
        <v>61</v>
      </c>
      <c r="F1012" s="1" t="s">
        <v>62</v>
      </c>
      <c r="G1012" s="3">
        <v>1300</v>
      </c>
      <c r="H1012" s="5">
        <v>45533</v>
      </c>
      <c r="I1012" s="3" t="s">
        <v>204</v>
      </c>
      <c r="J1012" s="3" t="s">
        <v>205</v>
      </c>
      <c r="K1012" s="22">
        <v>352404246</v>
      </c>
      <c r="L1012" s="6" t="s">
        <v>323</v>
      </c>
    </row>
    <row r="1013" spans="1:12" customFormat="1" ht="14.4" x14ac:dyDescent="0.3">
      <c r="A1013" s="1" t="s">
        <v>12</v>
      </c>
      <c r="B1013" s="1" t="s">
        <v>13</v>
      </c>
      <c r="C1013" s="2" t="s">
        <v>14</v>
      </c>
      <c r="D1013" s="1" t="s">
        <v>41</v>
      </c>
      <c r="E1013" s="1" t="s">
        <v>42</v>
      </c>
      <c r="F1013" s="1" t="s">
        <v>43</v>
      </c>
      <c r="G1013" s="3">
        <v>4000</v>
      </c>
      <c r="H1013" s="5">
        <v>45533</v>
      </c>
      <c r="I1013" s="3" t="s">
        <v>87</v>
      </c>
      <c r="J1013" s="3" t="s">
        <v>45</v>
      </c>
      <c r="K1013" s="24">
        <v>352404247</v>
      </c>
      <c r="L1013" s="6" t="s">
        <v>20</v>
      </c>
    </row>
    <row r="1014" spans="1:12" customFormat="1" ht="14.4" x14ac:dyDescent="0.3">
      <c r="A1014" s="1" t="s">
        <v>12</v>
      </c>
      <c r="B1014" s="1" t="s">
        <v>13</v>
      </c>
      <c r="C1014" s="2" t="s">
        <v>14</v>
      </c>
      <c r="D1014" s="1" t="s">
        <v>257</v>
      </c>
      <c r="E1014" s="7" t="s">
        <v>258</v>
      </c>
      <c r="F1014" s="7" t="s">
        <v>33</v>
      </c>
      <c r="G1014" s="3">
        <v>4750</v>
      </c>
      <c r="H1014" s="5">
        <v>45533</v>
      </c>
      <c r="I1014" s="3" t="s">
        <v>88</v>
      </c>
      <c r="J1014" s="3" t="s">
        <v>59</v>
      </c>
      <c r="K1014" s="24">
        <v>352404227</v>
      </c>
      <c r="L1014" s="6" t="s">
        <v>24</v>
      </c>
    </row>
    <row r="1015" spans="1:12" customFormat="1" ht="14.4" x14ac:dyDescent="0.3">
      <c r="A1015" s="1" t="s">
        <v>12</v>
      </c>
      <c r="B1015" s="1" t="s">
        <v>13</v>
      </c>
      <c r="C1015" s="2" t="s">
        <v>14</v>
      </c>
      <c r="D1015" s="3" t="s">
        <v>149</v>
      </c>
      <c r="E1015" s="18">
        <v>50100624324501</v>
      </c>
      <c r="F1015" s="3" t="s">
        <v>150</v>
      </c>
      <c r="G1015" s="3">
        <v>5000</v>
      </c>
      <c r="H1015" s="5">
        <v>45533</v>
      </c>
      <c r="I1015" s="3" t="s">
        <v>77</v>
      </c>
      <c r="J1015" s="3" t="s">
        <v>29</v>
      </c>
      <c r="K1015" s="24">
        <v>352404175</v>
      </c>
      <c r="L1015" s="6" t="s">
        <v>131</v>
      </c>
    </row>
    <row r="1016" spans="1:12" customFormat="1" ht="14.4" x14ac:dyDescent="0.3">
      <c r="A1016" s="1" t="s">
        <v>12</v>
      </c>
      <c r="B1016" s="1" t="s">
        <v>13</v>
      </c>
      <c r="C1016" s="2" t="s">
        <v>14</v>
      </c>
      <c r="D1016" s="1" t="s">
        <v>15</v>
      </c>
      <c r="E1016" s="1" t="s">
        <v>16</v>
      </c>
      <c r="F1016" s="1" t="s">
        <v>17</v>
      </c>
      <c r="G1016" s="3">
        <v>4000</v>
      </c>
      <c r="H1016" s="5">
        <v>45534</v>
      </c>
      <c r="I1016" s="3" t="s">
        <v>85</v>
      </c>
      <c r="J1016" s="3" t="s">
        <v>19</v>
      </c>
      <c r="K1016" s="24">
        <v>352404255</v>
      </c>
      <c r="L1016" s="6" t="s">
        <v>20</v>
      </c>
    </row>
    <row r="1017" spans="1:12" customFormat="1" ht="14.4" x14ac:dyDescent="0.3">
      <c r="A1017" s="1" t="s">
        <v>12</v>
      </c>
      <c r="B1017" s="1" t="s">
        <v>13</v>
      </c>
      <c r="C1017" s="2" t="s">
        <v>14</v>
      </c>
      <c r="D1017" s="1" t="s">
        <v>31</v>
      </c>
      <c r="E1017" s="1" t="s">
        <v>32</v>
      </c>
      <c r="F1017" s="1" t="s">
        <v>33</v>
      </c>
      <c r="G1017" s="3">
        <v>5250</v>
      </c>
      <c r="H1017" s="5">
        <v>45534</v>
      </c>
      <c r="I1017" s="3" t="s">
        <v>78</v>
      </c>
      <c r="J1017" s="3" t="s">
        <v>79</v>
      </c>
      <c r="K1017" s="24">
        <v>352404257</v>
      </c>
      <c r="L1017" s="6" t="s">
        <v>316</v>
      </c>
    </row>
    <row r="1018" spans="1:12" customFormat="1" ht="14.4" x14ac:dyDescent="0.3">
      <c r="A1018" s="1" t="s">
        <v>12</v>
      </c>
      <c r="B1018" s="1" t="s">
        <v>13</v>
      </c>
      <c r="C1018" s="2" t="s">
        <v>14</v>
      </c>
      <c r="D1018" s="3" t="s">
        <v>149</v>
      </c>
      <c r="E1018" s="18">
        <v>50100624324501</v>
      </c>
      <c r="F1018" s="3" t="s">
        <v>150</v>
      </c>
      <c r="G1018" s="3">
        <v>5250</v>
      </c>
      <c r="H1018" s="5">
        <v>45534</v>
      </c>
      <c r="I1018" s="3" t="s">
        <v>77</v>
      </c>
      <c r="J1018" s="3" t="s">
        <v>29</v>
      </c>
      <c r="K1018" s="24">
        <v>352404256</v>
      </c>
      <c r="L1018" s="6" t="s">
        <v>316</v>
      </c>
    </row>
    <row r="1019" spans="1:12" customFormat="1" ht="14.4" x14ac:dyDescent="0.3">
      <c r="A1019" s="1" t="s">
        <v>12</v>
      </c>
      <c r="B1019" s="1" t="s">
        <v>13</v>
      </c>
      <c r="C1019" s="2" t="s">
        <v>14</v>
      </c>
      <c r="D1019" s="1" t="s">
        <v>36</v>
      </c>
      <c r="E1019" s="1" t="s">
        <v>37</v>
      </c>
      <c r="F1019" s="1" t="s">
        <v>38</v>
      </c>
      <c r="G1019" s="1">
        <v>5250</v>
      </c>
      <c r="H1019" s="5">
        <v>45534</v>
      </c>
      <c r="I1019" s="3" t="s">
        <v>92</v>
      </c>
      <c r="J1019" s="3" t="s">
        <v>40</v>
      </c>
      <c r="K1019" s="24">
        <v>352404226</v>
      </c>
      <c r="L1019" s="6" t="s">
        <v>316</v>
      </c>
    </row>
    <row r="1020" spans="1:12" customFormat="1" ht="14.4" x14ac:dyDescent="0.3">
      <c r="A1020" s="1" t="s">
        <v>12</v>
      </c>
      <c r="B1020" s="1" t="s">
        <v>13</v>
      </c>
      <c r="C1020" s="2" t="s">
        <v>14</v>
      </c>
      <c r="D1020" s="1" t="s">
        <v>48</v>
      </c>
      <c r="E1020" s="1" t="s">
        <v>49</v>
      </c>
      <c r="F1020" s="1" t="s">
        <v>50</v>
      </c>
      <c r="G1020" s="3">
        <v>5250</v>
      </c>
      <c r="H1020" s="5">
        <v>45534</v>
      </c>
      <c r="I1020" s="3" t="s">
        <v>206</v>
      </c>
      <c r="J1020" s="3" t="s">
        <v>52</v>
      </c>
      <c r="K1020" s="24">
        <v>352404258</v>
      </c>
      <c r="L1020" s="6" t="s">
        <v>316</v>
      </c>
    </row>
    <row r="1021" spans="1:12" customFormat="1" ht="14.4" x14ac:dyDescent="0.3">
      <c r="A1021" s="1" t="s">
        <v>12</v>
      </c>
      <c r="B1021" s="1" t="s">
        <v>13</v>
      </c>
      <c r="C1021" s="2" t="s">
        <v>14</v>
      </c>
      <c r="D1021" s="1" t="s">
        <v>41</v>
      </c>
      <c r="E1021" s="1" t="s">
        <v>61</v>
      </c>
      <c r="F1021" s="1" t="s">
        <v>62</v>
      </c>
      <c r="G1021" s="3">
        <v>1300</v>
      </c>
      <c r="H1021" s="5">
        <v>45534</v>
      </c>
      <c r="I1021" s="3" t="s">
        <v>204</v>
      </c>
      <c r="J1021" s="3" t="s">
        <v>205</v>
      </c>
      <c r="K1021" s="22">
        <v>352404292</v>
      </c>
      <c r="L1021" s="6" t="s">
        <v>328</v>
      </c>
    </row>
    <row r="1022" spans="1:12" customFormat="1" ht="14.4" x14ac:dyDescent="0.3">
      <c r="A1022" s="1" t="s">
        <v>12</v>
      </c>
      <c r="B1022" s="1" t="s">
        <v>13</v>
      </c>
      <c r="C1022" s="2" t="s">
        <v>14</v>
      </c>
      <c r="D1022" s="1" t="s">
        <v>41</v>
      </c>
      <c r="E1022" s="1" t="s">
        <v>61</v>
      </c>
      <c r="F1022" s="1" t="s">
        <v>62</v>
      </c>
      <c r="G1022" s="3">
        <v>1300</v>
      </c>
      <c r="H1022" s="5">
        <v>45534</v>
      </c>
      <c r="I1022" s="3" t="s">
        <v>204</v>
      </c>
      <c r="J1022" s="3" t="s">
        <v>205</v>
      </c>
      <c r="K1022" s="22">
        <v>352404293</v>
      </c>
      <c r="L1022" s="6" t="s">
        <v>328</v>
      </c>
    </row>
    <row r="1023" spans="1:12" s="25" customFormat="1" ht="14.4" x14ac:dyDescent="0.3">
      <c r="A1023" s="22" t="s">
        <v>12</v>
      </c>
      <c r="B1023" s="22" t="s">
        <v>13</v>
      </c>
      <c r="C1023" s="22" t="s">
        <v>14</v>
      </c>
      <c r="D1023" s="22" t="s">
        <v>215</v>
      </c>
      <c r="E1023" s="22" t="s">
        <v>216</v>
      </c>
      <c r="F1023" s="22" t="s">
        <v>33</v>
      </c>
      <c r="G1023" s="23">
        <v>500</v>
      </c>
      <c r="H1023" s="5">
        <v>45534</v>
      </c>
      <c r="I1023" s="23" t="s">
        <v>155</v>
      </c>
      <c r="J1023" s="23" t="s">
        <v>156</v>
      </c>
      <c r="K1023" s="22">
        <v>352404294</v>
      </c>
      <c r="L1023" s="6" t="s">
        <v>329</v>
      </c>
    </row>
    <row r="1024" spans="1:12" customFormat="1" ht="14.4" x14ac:dyDescent="0.3">
      <c r="A1024" s="1" t="s">
        <v>12</v>
      </c>
      <c r="B1024" s="1" t="s">
        <v>13</v>
      </c>
      <c r="C1024" s="2" t="s">
        <v>14</v>
      </c>
      <c r="D1024" s="1" t="s">
        <v>41</v>
      </c>
      <c r="E1024" s="1" t="s">
        <v>42</v>
      </c>
      <c r="F1024" s="1" t="s">
        <v>43</v>
      </c>
      <c r="G1024" s="3">
        <v>4000</v>
      </c>
      <c r="H1024" s="5">
        <v>45534</v>
      </c>
      <c r="I1024" s="3" t="s">
        <v>87</v>
      </c>
      <c r="J1024" s="3" t="s">
        <v>45</v>
      </c>
      <c r="K1024" s="24">
        <v>352404266</v>
      </c>
      <c r="L1024" s="6" t="s">
        <v>20</v>
      </c>
    </row>
    <row r="1025" spans="1:12" s="25" customFormat="1" ht="14.4" x14ac:dyDescent="0.3">
      <c r="A1025" s="22" t="s">
        <v>12</v>
      </c>
      <c r="B1025" s="22" t="s">
        <v>13</v>
      </c>
      <c r="C1025" s="22" t="s">
        <v>14</v>
      </c>
      <c r="D1025" s="22" t="s">
        <v>215</v>
      </c>
      <c r="E1025" s="22" t="s">
        <v>216</v>
      </c>
      <c r="F1025" s="22" t="s">
        <v>33</v>
      </c>
      <c r="G1025" s="23">
        <v>500</v>
      </c>
      <c r="H1025" s="5">
        <v>45535</v>
      </c>
      <c r="I1025" s="23" t="s">
        <v>155</v>
      </c>
      <c r="J1025" s="23" t="s">
        <v>156</v>
      </c>
      <c r="K1025" s="22">
        <v>352404320</v>
      </c>
      <c r="L1025" s="6" t="s">
        <v>330</v>
      </c>
    </row>
    <row r="1026" spans="1:12" s="25" customFormat="1" ht="14.4" x14ac:dyDescent="0.3">
      <c r="A1026" s="22" t="s">
        <v>12</v>
      </c>
      <c r="B1026" s="22" t="s">
        <v>13</v>
      </c>
      <c r="C1026" s="22" t="s">
        <v>14</v>
      </c>
      <c r="D1026" s="22" t="s">
        <v>215</v>
      </c>
      <c r="E1026" s="22" t="s">
        <v>216</v>
      </c>
      <c r="F1026" s="22" t="s">
        <v>33</v>
      </c>
      <c r="G1026" s="23">
        <v>500</v>
      </c>
      <c r="H1026" s="5">
        <v>45535</v>
      </c>
      <c r="I1026" s="23" t="s">
        <v>155</v>
      </c>
      <c r="J1026" s="23" t="s">
        <v>156</v>
      </c>
      <c r="K1026" s="22">
        <v>352404330</v>
      </c>
      <c r="L1026" s="6" t="s">
        <v>331</v>
      </c>
    </row>
    <row r="1027" spans="1:12" customFormat="1" ht="14.4" x14ac:dyDescent="0.3">
      <c r="A1027" s="1" t="s">
        <v>12</v>
      </c>
      <c r="B1027" s="1" t="s">
        <v>13</v>
      </c>
      <c r="C1027" s="2" t="s">
        <v>14</v>
      </c>
      <c r="D1027" s="1" t="s">
        <v>64</v>
      </c>
      <c r="E1027" s="1" t="s">
        <v>65</v>
      </c>
      <c r="F1027" s="1" t="s">
        <v>66</v>
      </c>
      <c r="G1027" s="3">
        <v>5250</v>
      </c>
      <c r="H1027" s="5">
        <v>45535</v>
      </c>
      <c r="I1027" s="3" t="s">
        <v>101</v>
      </c>
      <c r="J1027" s="3" t="s">
        <v>68</v>
      </c>
      <c r="K1027" s="24">
        <v>352404224</v>
      </c>
      <c r="L1027" s="6" t="s">
        <v>69</v>
      </c>
    </row>
    <row r="1028" spans="1:12" customFormat="1" ht="14.4" x14ac:dyDescent="0.3">
      <c r="A1028" s="1" t="s">
        <v>12</v>
      </c>
      <c r="B1028" s="1" t="s">
        <v>13</v>
      </c>
      <c r="C1028" s="2" t="s">
        <v>14</v>
      </c>
      <c r="D1028" s="1" t="s">
        <v>31</v>
      </c>
      <c r="E1028" s="1" t="s">
        <v>32</v>
      </c>
      <c r="F1028" s="1" t="s">
        <v>33</v>
      </c>
      <c r="G1028" s="3">
        <v>5250</v>
      </c>
      <c r="H1028" s="5">
        <v>45535</v>
      </c>
      <c r="I1028" s="3" t="s">
        <v>78</v>
      </c>
      <c r="J1028" s="3" t="s">
        <v>79</v>
      </c>
      <c r="K1028" s="24">
        <v>352404316</v>
      </c>
      <c r="L1028" s="6" t="s">
        <v>69</v>
      </c>
    </row>
    <row r="1029" spans="1:12" customFormat="1" ht="14.4" x14ac:dyDescent="0.3">
      <c r="A1029" s="1" t="s">
        <v>12</v>
      </c>
      <c r="B1029" s="1" t="s">
        <v>13</v>
      </c>
      <c r="C1029" s="2" t="s">
        <v>14</v>
      </c>
      <c r="D1029" s="1" t="s">
        <v>113</v>
      </c>
      <c r="E1029" s="1" t="s">
        <v>114</v>
      </c>
      <c r="F1029" s="1" t="s">
        <v>66</v>
      </c>
      <c r="G1029" s="3">
        <v>5250</v>
      </c>
      <c r="H1029" s="5">
        <v>45535</v>
      </c>
      <c r="I1029" s="3" t="s">
        <v>91</v>
      </c>
      <c r="J1029" s="3" t="s">
        <v>22</v>
      </c>
      <c r="K1029" s="24">
        <v>352404228</v>
      </c>
      <c r="L1029" s="6" t="s">
        <v>69</v>
      </c>
    </row>
    <row r="1030" spans="1:12" customFormat="1" ht="14.4" x14ac:dyDescent="0.3">
      <c r="A1030" s="1" t="s">
        <v>12</v>
      </c>
      <c r="B1030" s="1" t="s">
        <v>13</v>
      </c>
      <c r="C1030" s="2" t="s">
        <v>14</v>
      </c>
      <c r="D1030" s="3" t="s">
        <v>149</v>
      </c>
      <c r="E1030" s="18">
        <v>50100624324501</v>
      </c>
      <c r="F1030" s="3" t="s">
        <v>150</v>
      </c>
      <c r="G1030" s="3">
        <v>4750</v>
      </c>
      <c r="H1030" s="5">
        <v>45535</v>
      </c>
      <c r="I1030" s="3" t="s">
        <v>77</v>
      </c>
      <c r="J1030" s="3" t="s">
        <v>29</v>
      </c>
      <c r="K1030" s="24">
        <v>352404315</v>
      </c>
      <c r="L1030" s="6" t="s">
        <v>139</v>
      </c>
    </row>
    <row r="1031" spans="1:12" customFormat="1" ht="14.4" x14ac:dyDescent="0.3">
      <c r="A1031" s="1" t="s">
        <v>12</v>
      </c>
      <c r="B1031" s="1" t="s">
        <v>13</v>
      </c>
      <c r="C1031" s="2" t="s">
        <v>14</v>
      </c>
      <c r="D1031" s="3" t="s">
        <v>149</v>
      </c>
      <c r="E1031" s="18">
        <v>50100624324501</v>
      </c>
      <c r="F1031" s="3" t="s">
        <v>150</v>
      </c>
      <c r="G1031" s="3">
        <v>4750</v>
      </c>
      <c r="H1031" s="5">
        <v>45535</v>
      </c>
      <c r="I1031" s="3" t="s">
        <v>93</v>
      </c>
      <c r="J1031" s="3" t="s">
        <v>34</v>
      </c>
      <c r="K1031" s="24">
        <v>352404259</v>
      </c>
      <c r="L1031" s="6" t="s">
        <v>139</v>
      </c>
    </row>
    <row r="1032" spans="1:12" customFormat="1" ht="14.4" x14ac:dyDescent="0.3">
      <c r="A1032" s="1" t="s">
        <v>12</v>
      </c>
      <c r="B1032" s="1" t="s">
        <v>13</v>
      </c>
      <c r="C1032" s="2" t="s">
        <v>14</v>
      </c>
      <c r="D1032" s="1" t="s">
        <v>36</v>
      </c>
      <c r="E1032" s="1" t="s">
        <v>37</v>
      </c>
      <c r="F1032" s="1" t="s">
        <v>38</v>
      </c>
      <c r="G1032" s="1">
        <v>5000</v>
      </c>
      <c r="H1032" s="5">
        <v>45535</v>
      </c>
      <c r="I1032" s="3" t="s">
        <v>92</v>
      </c>
      <c r="J1032" s="3" t="s">
        <v>40</v>
      </c>
      <c r="K1032" s="24">
        <v>352404314</v>
      </c>
      <c r="L1032" s="6" t="s">
        <v>35</v>
      </c>
    </row>
    <row r="1033" spans="1:12" customFormat="1" ht="14.4" x14ac:dyDescent="0.3">
      <c r="A1033" s="1" t="s">
        <v>12</v>
      </c>
      <c r="B1033" s="1" t="s">
        <v>13</v>
      </c>
      <c r="C1033" s="2" t="s">
        <v>14</v>
      </c>
      <c r="D1033" s="1" t="s">
        <v>48</v>
      </c>
      <c r="E1033" s="1" t="s">
        <v>49</v>
      </c>
      <c r="F1033" s="1" t="s">
        <v>50</v>
      </c>
      <c r="G1033" s="3">
        <v>7500</v>
      </c>
      <c r="H1033" s="5">
        <v>45535</v>
      </c>
      <c r="I1033" s="3" t="s">
        <v>206</v>
      </c>
      <c r="J1033" s="3" t="s">
        <v>52</v>
      </c>
      <c r="K1033" s="24">
        <v>352404313</v>
      </c>
      <c r="L1033" s="6" t="s">
        <v>106</v>
      </c>
    </row>
    <row r="1034" spans="1:12" x14ac:dyDescent="0.25">
      <c r="A1034" s="30" t="s">
        <v>12</v>
      </c>
      <c r="B1034" s="30" t="s">
        <v>13</v>
      </c>
      <c r="C1034" s="30" t="s">
        <v>14</v>
      </c>
      <c r="D1034" s="30" t="s">
        <v>144</v>
      </c>
      <c r="E1034" s="39">
        <v>42542201947</v>
      </c>
      <c r="F1034" s="30" t="s">
        <v>145</v>
      </c>
      <c r="G1034" s="32">
        <v>5250</v>
      </c>
      <c r="H1034" s="33">
        <v>45535</v>
      </c>
      <c r="I1034" s="32" t="s">
        <v>146</v>
      </c>
      <c r="J1034" s="32" t="s">
        <v>147</v>
      </c>
      <c r="K1034" s="34">
        <v>352404260</v>
      </c>
      <c r="L1034" s="35" t="s">
        <v>69</v>
      </c>
    </row>
    <row r="1035" spans="1:12" customFormat="1" ht="14.4" x14ac:dyDescent="0.3">
      <c r="A1035" s="1" t="s">
        <v>12</v>
      </c>
      <c r="B1035" s="1" t="s">
        <v>13</v>
      </c>
      <c r="C1035" s="2" t="s">
        <v>14</v>
      </c>
      <c r="D1035" s="1" t="s">
        <v>41</v>
      </c>
      <c r="E1035" s="1" t="s">
        <v>61</v>
      </c>
      <c r="F1035" s="1" t="s">
        <v>62</v>
      </c>
      <c r="G1035" s="3">
        <v>1300</v>
      </c>
      <c r="H1035" s="5">
        <v>45535</v>
      </c>
      <c r="I1035" s="3" t="s">
        <v>204</v>
      </c>
      <c r="J1035" s="3" t="s">
        <v>205</v>
      </c>
      <c r="K1035" s="22">
        <v>352404335</v>
      </c>
      <c r="L1035" s="6" t="s">
        <v>332</v>
      </c>
    </row>
    <row r="1036" spans="1:12" customFormat="1" ht="14.4" x14ac:dyDescent="0.3">
      <c r="A1036" s="1" t="s">
        <v>12</v>
      </c>
      <c r="B1036" s="1" t="s">
        <v>13</v>
      </c>
      <c r="C1036" s="2" t="s">
        <v>14</v>
      </c>
      <c r="D1036" s="1" t="s">
        <v>41</v>
      </c>
      <c r="E1036" s="1" t="s">
        <v>42</v>
      </c>
      <c r="F1036" s="1" t="s">
        <v>43</v>
      </c>
      <c r="G1036" s="3">
        <v>4000</v>
      </c>
      <c r="H1036" s="5">
        <v>45535</v>
      </c>
      <c r="I1036" s="3" t="s">
        <v>87</v>
      </c>
      <c r="J1036" s="3" t="s">
        <v>45</v>
      </c>
      <c r="K1036" s="24">
        <v>352404336</v>
      </c>
      <c r="L1036" s="6" t="s">
        <v>20</v>
      </c>
    </row>
    <row r="1037" spans="1:12" s="25" customFormat="1" ht="14.4" x14ac:dyDescent="0.3">
      <c r="A1037" s="22" t="s">
        <v>12</v>
      </c>
      <c r="B1037" s="22" t="s">
        <v>13</v>
      </c>
      <c r="C1037" s="22" t="s">
        <v>14</v>
      </c>
      <c r="D1037" s="22" t="s">
        <v>173</v>
      </c>
      <c r="E1037" s="22" t="s">
        <v>174</v>
      </c>
      <c r="F1037" s="22" t="s">
        <v>33</v>
      </c>
      <c r="G1037" s="23">
        <v>500</v>
      </c>
      <c r="H1037" s="5">
        <v>45537</v>
      </c>
      <c r="I1037" s="23" t="s">
        <v>175</v>
      </c>
      <c r="J1037" s="23" t="s">
        <v>176</v>
      </c>
      <c r="K1037" s="24">
        <v>352404342</v>
      </c>
      <c r="L1037" s="6" t="s">
        <v>333</v>
      </c>
    </row>
    <row r="1038" spans="1:12" s="25" customFormat="1" ht="14.4" x14ac:dyDescent="0.3">
      <c r="A1038" s="22" t="s">
        <v>12</v>
      </c>
      <c r="B1038" s="22" t="s">
        <v>13</v>
      </c>
      <c r="C1038" s="22" t="s">
        <v>14</v>
      </c>
      <c r="D1038" s="22" t="s">
        <v>193</v>
      </c>
      <c r="E1038" s="22" t="s">
        <v>194</v>
      </c>
      <c r="F1038" s="22" t="s">
        <v>195</v>
      </c>
      <c r="G1038" s="23">
        <v>500</v>
      </c>
      <c r="H1038" s="5">
        <v>45537</v>
      </c>
      <c r="I1038" s="23" t="s">
        <v>125</v>
      </c>
      <c r="J1038" s="23" t="s">
        <v>126</v>
      </c>
      <c r="K1038" s="24">
        <v>352404360</v>
      </c>
      <c r="L1038" s="6" t="s">
        <v>334</v>
      </c>
    </row>
    <row r="1039" spans="1:12" customFormat="1" ht="14.4" x14ac:dyDescent="0.3">
      <c r="A1039" s="1" t="s">
        <v>12</v>
      </c>
      <c r="B1039" s="1" t="s">
        <v>13</v>
      </c>
      <c r="C1039" s="2" t="s">
        <v>14</v>
      </c>
      <c r="D1039" s="1" t="s">
        <v>31</v>
      </c>
      <c r="E1039" s="1" t="s">
        <v>32</v>
      </c>
      <c r="F1039" s="1" t="s">
        <v>33</v>
      </c>
      <c r="G1039" s="3">
        <v>5000</v>
      </c>
      <c r="H1039" s="5">
        <v>45537</v>
      </c>
      <c r="I1039" s="3" t="s">
        <v>78</v>
      </c>
      <c r="J1039" s="3" t="s">
        <v>79</v>
      </c>
      <c r="K1039" s="24">
        <v>352404368</v>
      </c>
      <c r="L1039" s="6" t="s">
        <v>35</v>
      </c>
    </row>
    <row r="1040" spans="1:12" customFormat="1" ht="14.4" x14ac:dyDescent="0.3">
      <c r="A1040" s="1" t="s">
        <v>12</v>
      </c>
      <c r="B1040" s="1" t="s">
        <v>13</v>
      </c>
      <c r="C1040" s="2" t="s">
        <v>14</v>
      </c>
      <c r="D1040" s="1" t="s">
        <v>36</v>
      </c>
      <c r="E1040" s="1" t="s">
        <v>37</v>
      </c>
      <c r="F1040" s="1" t="s">
        <v>38</v>
      </c>
      <c r="G1040" s="1">
        <v>5000</v>
      </c>
      <c r="H1040" s="5">
        <v>45537</v>
      </c>
      <c r="I1040" s="3" t="s">
        <v>92</v>
      </c>
      <c r="J1040" s="3" t="s">
        <v>40</v>
      </c>
      <c r="K1040" s="24">
        <v>352404352</v>
      </c>
      <c r="L1040" s="6" t="s">
        <v>335</v>
      </c>
    </row>
    <row r="1041" spans="1:12" customFormat="1" ht="14.4" x14ac:dyDescent="0.3">
      <c r="A1041" s="1" t="s">
        <v>12</v>
      </c>
      <c r="B1041" s="1" t="s">
        <v>13</v>
      </c>
      <c r="C1041" s="2" t="s">
        <v>14</v>
      </c>
      <c r="D1041" s="1" t="s">
        <v>48</v>
      </c>
      <c r="E1041" s="1" t="s">
        <v>49</v>
      </c>
      <c r="F1041" s="1" t="s">
        <v>50</v>
      </c>
      <c r="G1041" s="3">
        <v>4750</v>
      </c>
      <c r="H1041" s="5">
        <v>45537</v>
      </c>
      <c r="I1041" s="3" t="s">
        <v>206</v>
      </c>
      <c r="J1041" s="3" t="s">
        <v>52</v>
      </c>
      <c r="K1041" s="24">
        <v>352404378</v>
      </c>
      <c r="L1041" s="6" t="s">
        <v>139</v>
      </c>
    </row>
    <row r="1042" spans="1:12" customFormat="1" ht="14.4" x14ac:dyDescent="0.3">
      <c r="A1042" s="1" t="s">
        <v>12</v>
      </c>
      <c r="B1042" s="1" t="s">
        <v>13</v>
      </c>
      <c r="C1042" s="2" t="s">
        <v>14</v>
      </c>
      <c r="D1042" s="1" t="s">
        <v>15</v>
      </c>
      <c r="E1042" s="1" t="s">
        <v>16</v>
      </c>
      <c r="F1042" s="1" t="s">
        <v>17</v>
      </c>
      <c r="G1042" s="3">
        <v>4000</v>
      </c>
      <c r="H1042" s="5">
        <v>45537</v>
      </c>
      <c r="I1042" s="3" t="s">
        <v>85</v>
      </c>
      <c r="J1042" s="3" t="s">
        <v>19</v>
      </c>
      <c r="K1042" s="24">
        <v>352404312</v>
      </c>
      <c r="L1042" s="6" t="s">
        <v>20</v>
      </c>
    </row>
    <row r="1043" spans="1:12" customFormat="1" ht="14.4" x14ac:dyDescent="0.3">
      <c r="A1043" s="1" t="s">
        <v>12</v>
      </c>
      <c r="B1043" s="1" t="s">
        <v>13</v>
      </c>
      <c r="C1043" s="2" t="s">
        <v>14</v>
      </c>
      <c r="D1043" s="1" t="s">
        <v>41</v>
      </c>
      <c r="E1043" s="1" t="s">
        <v>61</v>
      </c>
      <c r="F1043" s="1" t="s">
        <v>62</v>
      </c>
      <c r="G1043" s="3">
        <v>1300</v>
      </c>
      <c r="H1043" s="5">
        <v>45537</v>
      </c>
      <c r="I1043" s="3" t="s">
        <v>204</v>
      </c>
      <c r="J1043" s="3" t="s">
        <v>205</v>
      </c>
      <c r="K1043" s="24">
        <v>352404384</v>
      </c>
      <c r="L1043" s="6" t="s">
        <v>336</v>
      </c>
    </row>
    <row r="1044" spans="1:12" customFormat="1" ht="14.4" x14ac:dyDescent="0.3">
      <c r="A1044" s="1" t="s">
        <v>12</v>
      </c>
      <c r="B1044" s="1" t="s">
        <v>13</v>
      </c>
      <c r="C1044" s="2" t="s">
        <v>14</v>
      </c>
      <c r="D1044" s="1" t="s">
        <v>41</v>
      </c>
      <c r="E1044" s="1" t="s">
        <v>61</v>
      </c>
      <c r="F1044" s="1" t="s">
        <v>62</v>
      </c>
      <c r="G1044" s="3">
        <v>1300</v>
      </c>
      <c r="H1044" s="5">
        <v>45537</v>
      </c>
      <c r="I1044" s="3" t="s">
        <v>204</v>
      </c>
      <c r="J1044" s="3" t="s">
        <v>205</v>
      </c>
      <c r="K1044" s="24">
        <v>352404385</v>
      </c>
      <c r="L1044" s="6" t="s">
        <v>336</v>
      </c>
    </row>
    <row r="1045" spans="1:12" customFormat="1" ht="14.4" x14ac:dyDescent="0.3">
      <c r="A1045" s="1" t="s">
        <v>12</v>
      </c>
      <c r="B1045" s="1" t="s">
        <v>13</v>
      </c>
      <c r="C1045" s="2" t="s">
        <v>14</v>
      </c>
      <c r="D1045" s="1" t="s">
        <v>257</v>
      </c>
      <c r="E1045" s="7" t="s">
        <v>258</v>
      </c>
      <c r="F1045" s="7" t="s">
        <v>33</v>
      </c>
      <c r="G1045" s="3">
        <f>500+400</f>
        <v>900</v>
      </c>
      <c r="H1045" s="5">
        <v>45537</v>
      </c>
      <c r="I1045" s="3" t="s">
        <v>88</v>
      </c>
      <c r="J1045" s="3" t="s">
        <v>59</v>
      </c>
      <c r="K1045" s="24">
        <v>352404382</v>
      </c>
      <c r="L1045" s="6" t="s">
        <v>337</v>
      </c>
    </row>
    <row r="1046" spans="1:12" s="25" customFormat="1" ht="14.4" x14ac:dyDescent="0.3">
      <c r="A1046" s="22" t="s">
        <v>12</v>
      </c>
      <c r="B1046" s="22" t="s">
        <v>13</v>
      </c>
      <c r="C1046" s="22" t="s">
        <v>14</v>
      </c>
      <c r="D1046" s="22" t="s">
        <v>215</v>
      </c>
      <c r="E1046" s="22" t="s">
        <v>216</v>
      </c>
      <c r="F1046" s="22" t="s">
        <v>33</v>
      </c>
      <c r="G1046" s="23">
        <v>500</v>
      </c>
      <c r="H1046" s="5">
        <v>45538</v>
      </c>
      <c r="I1046" s="23" t="s">
        <v>155</v>
      </c>
      <c r="J1046" s="23" t="s">
        <v>156</v>
      </c>
      <c r="K1046" s="22">
        <v>352404386</v>
      </c>
      <c r="L1046" s="6" t="s">
        <v>338</v>
      </c>
    </row>
    <row r="1047" spans="1:12" s="25" customFormat="1" ht="14.4" x14ac:dyDescent="0.3">
      <c r="A1047" s="22" t="s">
        <v>12</v>
      </c>
      <c r="B1047" s="22" t="s">
        <v>13</v>
      </c>
      <c r="C1047" s="22" t="s">
        <v>14</v>
      </c>
      <c r="D1047" s="22" t="s">
        <v>215</v>
      </c>
      <c r="E1047" s="22" t="s">
        <v>216</v>
      </c>
      <c r="F1047" s="22" t="s">
        <v>33</v>
      </c>
      <c r="G1047" s="23">
        <v>500</v>
      </c>
      <c r="H1047" s="5">
        <v>45538</v>
      </c>
      <c r="I1047" s="23" t="s">
        <v>155</v>
      </c>
      <c r="J1047" s="23" t="s">
        <v>156</v>
      </c>
      <c r="K1047" s="22">
        <v>352404420</v>
      </c>
      <c r="L1047" s="6" t="s">
        <v>339</v>
      </c>
    </row>
    <row r="1048" spans="1:12" customFormat="1" ht="14.4" x14ac:dyDescent="0.3">
      <c r="A1048" s="1" t="s">
        <v>12</v>
      </c>
      <c r="B1048" s="1" t="s">
        <v>13</v>
      </c>
      <c r="C1048" s="2" t="s">
        <v>14</v>
      </c>
      <c r="D1048" s="1" t="s">
        <v>41</v>
      </c>
      <c r="E1048" s="1" t="s">
        <v>61</v>
      </c>
      <c r="F1048" s="1" t="s">
        <v>62</v>
      </c>
      <c r="G1048" s="3">
        <v>1300</v>
      </c>
      <c r="H1048" s="5">
        <v>45538</v>
      </c>
      <c r="I1048" s="3" t="s">
        <v>204</v>
      </c>
      <c r="J1048" s="3" t="s">
        <v>205</v>
      </c>
      <c r="K1048" s="24">
        <v>352404428</v>
      </c>
      <c r="L1048" s="6" t="s">
        <v>340</v>
      </c>
    </row>
    <row r="1049" spans="1:12" customFormat="1" ht="14.4" x14ac:dyDescent="0.3">
      <c r="A1049" s="1" t="s">
        <v>12</v>
      </c>
      <c r="B1049" s="1" t="s">
        <v>13</v>
      </c>
      <c r="C1049" s="2" t="s">
        <v>14</v>
      </c>
      <c r="D1049" s="1" t="s">
        <v>41</v>
      </c>
      <c r="E1049" s="1" t="s">
        <v>61</v>
      </c>
      <c r="F1049" s="1" t="s">
        <v>62</v>
      </c>
      <c r="G1049" s="3">
        <v>1300</v>
      </c>
      <c r="H1049" s="5">
        <v>45538</v>
      </c>
      <c r="I1049" s="3" t="s">
        <v>204</v>
      </c>
      <c r="J1049" s="3" t="s">
        <v>205</v>
      </c>
      <c r="K1049" s="24">
        <v>352404429</v>
      </c>
      <c r="L1049" s="6" t="s">
        <v>340</v>
      </c>
    </row>
    <row r="1050" spans="1:12" customFormat="1" ht="14.4" x14ac:dyDescent="0.3">
      <c r="A1050" s="1" t="s">
        <v>12</v>
      </c>
      <c r="B1050" s="1" t="s">
        <v>13</v>
      </c>
      <c r="C1050" s="2" t="s">
        <v>14</v>
      </c>
      <c r="D1050" s="1" t="s">
        <v>41</v>
      </c>
      <c r="E1050" s="1" t="s">
        <v>42</v>
      </c>
      <c r="F1050" s="1" t="s">
        <v>43</v>
      </c>
      <c r="G1050" s="3">
        <v>4000</v>
      </c>
      <c r="H1050" s="5">
        <v>45538</v>
      </c>
      <c r="I1050" s="3" t="s">
        <v>87</v>
      </c>
      <c r="J1050" s="3" t="s">
        <v>45</v>
      </c>
      <c r="K1050" s="24">
        <v>352404413</v>
      </c>
      <c r="L1050" s="6" t="s">
        <v>20</v>
      </c>
    </row>
    <row r="1051" spans="1:12" x14ac:dyDescent="0.25">
      <c r="A1051" s="30" t="s">
        <v>12</v>
      </c>
      <c r="B1051" s="30" t="s">
        <v>13</v>
      </c>
      <c r="C1051" s="30" t="s">
        <v>14</v>
      </c>
      <c r="D1051" s="30" t="s">
        <v>144</v>
      </c>
      <c r="E1051" s="39">
        <v>42542201947</v>
      </c>
      <c r="F1051" s="30" t="s">
        <v>145</v>
      </c>
      <c r="G1051" s="32">
        <v>5000</v>
      </c>
      <c r="H1051" s="33">
        <v>45539</v>
      </c>
      <c r="I1051" s="32" t="s">
        <v>146</v>
      </c>
      <c r="J1051" s="32" t="s">
        <v>147</v>
      </c>
      <c r="K1051" s="34">
        <v>352404370</v>
      </c>
      <c r="L1051" s="35" t="s">
        <v>35</v>
      </c>
    </row>
    <row r="1052" spans="1:12" customFormat="1" ht="14.4" x14ac:dyDescent="0.3">
      <c r="A1052" s="1" t="s">
        <v>12</v>
      </c>
      <c r="B1052" s="1" t="s">
        <v>13</v>
      </c>
      <c r="C1052" s="2" t="s">
        <v>14</v>
      </c>
      <c r="D1052" s="1" t="s">
        <v>41</v>
      </c>
      <c r="E1052" s="1" t="s">
        <v>61</v>
      </c>
      <c r="F1052" s="1" t="s">
        <v>62</v>
      </c>
      <c r="G1052" s="3">
        <v>1300</v>
      </c>
      <c r="H1052" s="5">
        <v>45539</v>
      </c>
      <c r="I1052" s="3" t="s">
        <v>204</v>
      </c>
      <c r="J1052" s="3" t="s">
        <v>205</v>
      </c>
      <c r="K1052" s="24">
        <v>352404461</v>
      </c>
      <c r="L1052" s="6" t="s">
        <v>341</v>
      </c>
    </row>
    <row r="1053" spans="1:12" s="25" customFormat="1" ht="14.4" x14ac:dyDescent="0.3">
      <c r="A1053" s="22" t="s">
        <v>12</v>
      </c>
      <c r="B1053" s="22" t="s">
        <v>13</v>
      </c>
      <c r="C1053" s="22" t="s">
        <v>14</v>
      </c>
      <c r="D1053" s="22" t="s">
        <v>215</v>
      </c>
      <c r="E1053" s="22" t="s">
        <v>216</v>
      </c>
      <c r="F1053" s="22" t="s">
        <v>33</v>
      </c>
      <c r="G1053" s="23">
        <v>500</v>
      </c>
      <c r="H1053" s="5">
        <v>45539</v>
      </c>
      <c r="I1053" s="23" t="s">
        <v>155</v>
      </c>
      <c r="J1053" s="23" t="s">
        <v>156</v>
      </c>
      <c r="K1053" s="22">
        <v>352404462</v>
      </c>
      <c r="L1053" s="6" t="s">
        <v>342</v>
      </c>
    </row>
    <row r="1054" spans="1:12" customFormat="1" ht="14.4" x14ac:dyDescent="0.3">
      <c r="A1054" s="1" t="s">
        <v>12</v>
      </c>
      <c r="B1054" s="1" t="s">
        <v>13</v>
      </c>
      <c r="C1054" s="2" t="s">
        <v>14</v>
      </c>
      <c r="D1054" s="1" t="s">
        <v>41</v>
      </c>
      <c r="E1054" s="1" t="s">
        <v>42</v>
      </c>
      <c r="F1054" s="1" t="s">
        <v>43</v>
      </c>
      <c r="G1054" s="3">
        <v>4000</v>
      </c>
      <c r="H1054" s="5">
        <v>45539</v>
      </c>
      <c r="I1054" s="3" t="s">
        <v>87</v>
      </c>
      <c r="J1054" s="3" t="s">
        <v>45</v>
      </c>
      <c r="K1054" s="24">
        <v>352404444</v>
      </c>
      <c r="L1054" s="6" t="s">
        <v>20</v>
      </c>
    </row>
    <row r="1055" spans="1:12" customFormat="1" ht="14.4" x14ac:dyDescent="0.3">
      <c r="A1055" s="1" t="s">
        <v>12</v>
      </c>
      <c r="B1055" s="1" t="s">
        <v>13</v>
      </c>
      <c r="C1055" s="2" t="s">
        <v>14</v>
      </c>
      <c r="D1055" s="1" t="s">
        <v>36</v>
      </c>
      <c r="E1055" s="1" t="s">
        <v>37</v>
      </c>
      <c r="F1055" s="1" t="s">
        <v>38</v>
      </c>
      <c r="G1055" s="3">
        <v>3750</v>
      </c>
      <c r="H1055" s="5">
        <v>45539</v>
      </c>
      <c r="I1055" s="3" t="s">
        <v>93</v>
      </c>
      <c r="J1055" s="3" t="s">
        <v>34</v>
      </c>
      <c r="K1055" s="24">
        <v>352404364</v>
      </c>
      <c r="L1055" s="6" t="s">
        <v>69</v>
      </c>
    </row>
    <row r="1056" spans="1:12" customFormat="1" ht="14.4" x14ac:dyDescent="0.3">
      <c r="A1056" s="1" t="s">
        <v>12</v>
      </c>
      <c r="B1056" s="1" t="s">
        <v>13</v>
      </c>
      <c r="C1056" s="2" t="s">
        <v>14</v>
      </c>
      <c r="D1056" s="1" t="s">
        <v>152</v>
      </c>
      <c r="E1056" s="1" t="s">
        <v>153</v>
      </c>
      <c r="F1056" s="1" t="s">
        <v>154</v>
      </c>
      <c r="G1056" s="3">
        <v>5250</v>
      </c>
      <c r="H1056" s="5">
        <v>45539</v>
      </c>
      <c r="I1056" s="3" t="s">
        <v>83</v>
      </c>
      <c r="J1056" s="3" t="s">
        <v>84</v>
      </c>
      <c r="K1056" s="1">
        <v>352403954</v>
      </c>
      <c r="L1056" s="6" t="s">
        <v>69</v>
      </c>
    </row>
    <row r="1057" spans="1:12" customFormat="1" ht="14.4" x14ac:dyDescent="0.3">
      <c r="A1057" s="1" t="s">
        <v>12</v>
      </c>
      <c r="B1057" s="1" t="s">
        <v>13</v>
      </c>
      <c r="C1057" s="2" t="s">
        <v>14</v>
      </c>
      <c r="D1057" s="1" t="s">
        <v>343</v>
      </c>
      <c r="E1057" s="1" t="s">
        <v>344</v>
      </c>
      <c r="F1057" s="1" t="s">
        <v>345</v>
      </c>
      <c r="G1057" s="3">
        <v>5250</v>
      </c>
      <c r="H1057" s="5">
        <v>45539</v>
      </c>
      <c r="I1057" s="3" t="s">
        <v>90</v>
      </c>
      <c r="J1057" s="3" t="s">
        <v>76</v>
      </c>
      <c r="K1057" s="1">
        <v>352404138</v>
      </c>
      <c r="L1057" s="6" t="s">
        <v>69</v>
      </c>
    </row>
    <row r="1058" spans="1:12" customFormat="1" ht="14.4" x14ac:dyDescent="0.3">
      <c r="A1058" s="1" t="s">
        <v>12</v>
      </c>
      <c r="B1058" s="1" t="s">
        <v>13</v>
      </c>
      <c r="C1058" s="2" t="s">
        <v>14</v>
      </c>
      <c r="D1058" s="1" t="s">
        <v>41</v>
      </c>
      <c r="E1058" s="1" t="s">
        <v>61</v>
      </c>
      <c r="F1058" s="1" t="s">
        <v>62</v>
      </c>
      <c r="G1058" s="3">
        <v>1300</v>
      </c>
      <c r="H1058" s="5">
        <v>45539</v>
      </c>
      <c r="I1058" s="3" t="s">
        <v>204</v>
      </c>
      <c r="J1058" s="3" t="s">
        <v>205</v>
      </c>
      <c r="K1058" s="24">
        <v>352404465</v>
      </c>
      <c r="L1058" s="6" t="s">
        <v>341</v>
      </c>
    </row>
    <row r="1059" spans="1:12" customFormat="1" ht="14.4" x14ac:dyDescent="0.3">
      <c r="A1059" s="1" t="s">
        <v>12</v>
      </c>
      <c r="B1059" s="1" t="s">
        <v>13</v>
      </c>
      <c r="C1059" s="2" t="s">
        <v>14</v>
      </c>
      <c r="D1059" s="1" t="s">
        <v>64</v>
      </c>
      <c r="E1059" s="1" t="s">
        <v>65</v>
      </c>
      <c r="F1059" s="1" t="s">
        <v>66</v>
      </c>
      <c r="G1059" s="3">
        <v>5000</v>
      </c>
      <c r="H1059" s="5">
        <v>45540</v>
      </c>
      <c r="I1059" s="3" t="s">
        <v>101</v>
      </c>
      <c r="J1059" s="3" t="s">
        <v>68</v>
      </c>
      <c r="K1059" s="24">
        <v>352404450</v>
      </c>
      <c r="L1059" s="6" t="s">
        <v>69</v>
      </c>
    </row>
    <row r="1060" spans="1:12" customFormat="1" ht="14.4" x14ac:dyDescent="0.3">
      <c r="A1060" s="1" t="s">
        <v>12</v>
      </c>
      <c r="B1060" s="1" t="s">
        <v>13</v>
      </c>
      <c r="C1060" s="2" t="s">
        <v>14</v>
      </c>
      <c r="D1060" s="1" t="s">
        <v>31</v>
      </c>
      <c r="E1060" s="1" t="s">
        <v>32</v>
      </c>
      <c r="F1060" s="1" t="s">
        <v>33</v>
      </c>
      <c r="G1060" s="3">
        <v>3750</v>
      </c>
      <c r="H1060" s="5">
        <v>45540</v>
      </c>
      <c r="I1060" s="3" t="s">
        <v>78</v>
      </c>
      <c r="J1060" s="3" t="s">
        <v>79</v>
      </c>
      <c r="K1060" s="24">
        <v>352404411</v>
      </c>
      <c r="L1060" s="6" t="s">
        <v>69</v>
      </c>
    </row>
    <row r="1061" spans="1:12" customFormat="1" ht="14.4" x14ac:dyDescent="0.3">
      <c r="A1061" s="1" t="s">
        <v>12</v>
      </c>
      <c r="B1061" s="1" t="s">
        <v>13</v>
      </c>
      <c r="C1061" s="2" t="s">
        <v>14</v>
      </c>
      <c r="D1061" s="1" t="s">
        <v>113</v>
      </c>
      <c r="E1061" s="1" t="s">
        <v>114</v>
      </c>
      <c r="F1061" s="1" t="s">
        <v>66</v>
      </c>
      <c r="G1061" s="3">
        <v>4750</v>
      </c>
      <c r="H1061" s="5">
        <v>45540</v>
      </c>
      <c r="I1061" s="3" t="s">
        <v>91</v>
      </c>
      <c r="J1061" s="3" t="s">
        <v>22</v>
      </c>
      <c r="K1061" s="24">
        <v>352404422</v>
      </c>
      <c r="L1061" s="6" t="s">
        <v>69</v>
      </c>
    </row>
    <row r="1062" spans="1:12" customFormat="1" ht="14.4" x14ac:dyDescent="0.3">
      <c r="A1062" s="1" t="s">
        <v>12</v>
      </c>
      <c r="B1062" s="1" t="s">
        <v>13</v>
      </c>
      <c r="C1062" s="2" t="s">
        <v>14</v>
      </c>
      <c r="D1062" s="3" t="s">
        <v>149</v>
      </c>
      <c r="E1062" s="18">
        <v>50100624324501</v>
      </c>
      <c r="F1062" s="3" t="s">
        <v>150</v>
      </c>
      <c r="G1062" s="3">
        <v>3750</v>
      </c>
      <c r="H1062" s="5">
        <v>45540</v>
      </c>
      <c r="I1062" s="3" t="s">
        <v>77</v>
      </c>
      <c r="J1062" s="3" t="s">
        <v>29</v>
      </c>
      <c r="K1062" s="24">
        <v>352404365</v>
      </c>
      <c r="L1062" s="6" t="s">
        <v>69</v>
      </c>
    </row>
    <row r="1063" spans="1:12" customFormat="1" ht="14.4" x14ac:dyDescent="0.3">
      <c r="A1063" s="1" t="s">
        <v>12</v>
      </c>
      <c r="B1063" s="1" t="s">
        <v>13</v>
      </c>
      <c r="C1063" s="2" t="s">
        <v>14</v>
      </c>
      <c r="D1063" s="1" t="s">
        <v>36</v>
      </c>
      <c r="E1063" s="1" t="s">
        <v>37</v>
      </c>
      <c r="F1063" s="1" t="s">
        <v>38</v>
      </c>
      <c r="G1063" s="1">
        <v>5250</v>
      </c>
      <c r="H1063" s="5">
        <v>45540</v>
      </c>
      <c r="I1063" s="3" t="s">
        <v>92</v>
      </c>
      <c r="J1063" s="3" t="s">
        <v>40</v>
      </c>
      <c r="K1063" s="24">
        <v>352404463</v>
      </c>
      <c r="L1063" s="6" t="s">
        <v>69</v>
      </c>
    </row>
    <row r="1064" spans="1:12" customFormat="1" ht="14.4" x14ac:dyDescent="0.3">
      <c r="A1064" s="1" t="s">
        <v>12</v>
      </c>
      <c r="B1064" s="1" t="s">
        <v>13</v>
      </c>
      <c r="C1064" s="2" t="s">
        <v>14</v>
      </c>
      <c r="D1064" s="1" t="s">
        <v>48</v>
      </c>
      <c r="E1064" s="1" t="s">
        <v>49</v>
      </c>
      <c r="F1064" s="1" t="s">
        <v>50</v>
      </c>
      <c r="G1064" s="3">
        <v>3750</v>
      </c>
      <c r="H1064" s="5">
        <v>45540</v>
      </c>
      <c r="I1064" s="3" t="s">
        <v>206</v>
      </c>
      <c r="J1064" s="3" t="s">
        <v>52</v>
      </c>
      <c r="K1064" s="24">
        <v>352404412</v>
      </c>
      <c r="L1064" s="6" t="s">
        <v>69</v>
      </c>
    </row>
    <row r="1065" spans="1:12" x14ac:dyDescent="0.25">
      <c r="A1065" s="30" t="s">
        <v>12</v>
      </c>
      <c r="B1065" s="30" t="s">
        <v>13</v>
      </c>
      <c r="C1065" s="30" t="s">
        <v>14</v>
      </c>
      <c r="D1065" s="30" t="s">
        <v>144</v>
      </c>
      <c r="E1065" s="39">
        <v>42542201947</v>
      </c>
      <c r="F1065" s="30" t="s">
        <v>145</v>
      </c>
      <c r="G1065" s="32">
        <v>3750</v>
      </c>
      <c r="H1065" s="33">
        <v>45540</v>
      </c>
      <c r="I1065" s="32" t="s">
        <v>146</v>
      </c>
      <c r="J1065" s="32" t="s">
        <v>147</v>
      </c>
      <c r="K1065" s="34">
        <v>352404492</v>
      </c>
      <c r="L1065" s="35" t="s">
        <v>69</v>
      </c>
    </row>
    <row r="1066" spans="1:12" customFormat="1" ht="14.4" x14ac:dyDescent="0.3">
      <c r="A1066" s="1" t="s">
        <v>12</v>
      </c>
      <c r="B1066" s="1" t="s">
        <v>13</v>
      </c>
      <c r="C1066" s="2" t="s">
        <v>14</v>
      </c>
      <c r="D1066" s="1" t="s">
        <v>36</v>
      </c>
      <c r="E1066" s="1" t="s">
        <v>37</v>
      </c>
      <c r="F1066" s="1" t="s">
        <v>38</v>
      </c>
      <c r="G1066" s="3">
        <v>5000</v>
      </c>
      <c r="H1066" s="5">
        <v>45540</v>
      </c>
      <c r="I1066" s="3" t="s">
        <v>93</v>
      </c>
      <c r="J1066" s="3" t="s">
        <v>34</v>
      </c>
      <c r="K1066" s="24">
        <v>352404485</v>
      </c>
      <c r="L1066" s="6" t="s">
        <v>35</v>
      </c>
    </row>
    <row r="1067" spans="1:12" customFormat="1" ht="14.4" x14ac:dyDescent="0.3">
      <c r="A1067" s="1" t="s">
        <v>12</v>
      </c>
      <c r="B1067" s="1" t="s">
        <v>13</v>
      </c>
      <c r="C1067" s="2" t="s">
        <v>14</v>
      </c>
      <c r="D1067" s="1" t="s">
        <v>41</v>
      </c>
      <c r="E1067" s="1" t="s">
        <v>42</v>
      </c>
      <c r="F1067" s="1" t="s">
        <v>43</v>
      </c>
      <c r="G1067" s="3">
        <v>4000</v>
      </c>
      <c r="H1067" s="5">
        <v>45540</v>
      </c>
      <c r="I1067" s="3" t="s">
        <v>87</v>
      </c>
      <c r="J1067" s="3" t="s">
        <v>45</v>
      </c>
      <c r="K1067" s="24">
        <v>352404484</v>
      </c>
      <c r="L1067" s="6" t="s">
        <v>20</v>
      </c>
    </row>
    <row r="1068" spans="1:12" customFormat="1" ht="14.4" x14ac:dyDescent="0.3">
      <c r="A1068" s="1" t="s">
        <v>12</v>
      </c>
      <c r="B1068" s="1" t="s">
        <v>13</v>
      </c>
      <c r="C1068" s="2" t="s">
        <v>14</v>
      </c>
      <c r="D1068" s="1" t="s">
        <v>15</v>
      </c>
      <c r="E1068" s="1" t="s">
        <v>16</v>
      </c>
      <c r="F1068" s="1" t="s">
        <v>17</v>
      </c>
      <c r="G1068" s="3">
        <v>4000</v>
      </c>
      <c r="H1068" s="5">
        <v>45540</v>
      </c>
      <c r="I1068" s="3" t="s">
        <v>85</v>
      </c>
      <c r="J1068" s="3" t="s">
        <v>19</v>
      </c>
      <c r="K1068" s="24">
        <v>352404460</v>
      </c>
      <c r="L1068" s="6" t="s">
        <v>20</v>
      </c>
    </row>
    <row r="1069" spans="1:12" customFormat="1" ht="14.4" x14ac:dyDescent="0.3">
      <c r="A1069" s="1" t="s">
        <v>12</v>
      </c>
      <c r="B1069" s="1" t="s">
        <v>13</v>
      </c>
      <c r="C1069" s="2" t="s">
        <v>14</v>
      </c>
      <c r="D1069" s="1" t="s">
        <v>41</v>
      </c>
      <c r="E1069" s="1" t="s">
        <v>61</v>
      </c>
      <c r="F1069" s="1" t="s">
        <v>62</v>
      </c>
      <c r="G1069" s="3">
        <v>1300</v>
      </c>
      <c r="H1069" s="5">
        <v>45540</v>
      </c>
      <c r="I1069" s="3" t="s">
        <v>204</v>
      </c>
      <c r="J1069" s="3" t="s">
        <v>205</v>
      </c>
      <c r="K1069" s="24">
        <v>352404503</v>
      </c>
      <c r="L1069" s="6" t="s">
        <v>346</v>
      </c>
    </row>
    <row r="1070" spans="1:12" s="25" customFormat="1" ht="14.4" x14ac:dyDescent="0.3">
      <c r="A1070" s="22" t="s">
        <v>12</v>
      </c>
      <c r="B1070" s="22" t="s">
        <v>13</v>
      </c>
      <c r="C1070" s="22" t="s">
        <v>14</v>
      </c>
      <c r="D1070" s="22" t="s">
        <v>215</v>
      </c>
      <c r="E1070" s="22" t="s">
        <v>216</v>
      </c>
      <c r="F1070" s="22" t="s">
        <v>33</v>
      </c>
      <c r="G1070" s="23">
        <v>500</v>
      </c>
      <c r="H1070" s="5">
        <v>45541</v>
      </c>
      <c r="I1070" s="23" t="s">
        <v>155</v>
      </c>
      <c r="J1070" s="23" t="s">
        <v>156</v>
      </c>
      <c r="K1070" s="22">
        <v>352404530</v>
      </c>
      <c r="L1070" s="6" t="s">
        <v>347</v>
      </c>
    </row>
    <row r="1071" spans="1:12" customFormat="1" ht="14.4" x14ac:dyDescent="0.3">
      <c r="A1071" s="1" t="s">
        <v>12</v>
      </c>
      <c r="B1071" s="1" t="s">
        <v>13</v>
      </c>
      <c r="C1071" s="2" t="s">
        <v>14</v>
      </c>
      <c r="D1071" s="1" t="s">
        <v>64</v>
      </c>
      <c r="E1071" s="1" t="s">
        <v>65</v>
      </c>
      <c r="F1071" s="1" t="s">
        <v>66</v>
      </c>
      <c r="G1071" s="3">
        <v>5250</v>
      </c>
      <c r="H1071" s="5">
        <v>45541</v>
      </c>
      <c r="I1071" s="3" t="s">
        <v>101</v>
      </c>
      <c r="J1071" s="3" t="s">
        <v>68</v>
      </c>
      <c r="K1071" s="24">
        <v>352404520</v>
      </c>
      <c r="L1071" s="6" t="s">
        <v>69</v>
      </c>
    </row>
    <row r="1072" spans="1:12" customFormat="1" ht="14.4" x14ac:dyDescent="0.3">
      <c r="A1072" s="1" t="s">
        <v>12</v>
      </c>
      <c r="B1072" s="1" t="s">
        <v>13</v>
      </c>
      <c r="C1072" s="2" t="s">
        <v>14</v>
      </c>
      <c r="D1072" s="1" t="s">
        <v>274</v>
      </c>
      <c r="E1072" s="1" t="s">
        <v>275</v>
      </c>
      <c r="F1072" s="1" t="s">
        <v>33</v>
      </c>
      <c r="G1072" s="3">
        <v>6000</v>
      </c>
      <c r="H1072" s="5">
        <v>45541</v>
      </c>
      <c r="I1072" s="3" t="s">
        <v>117</v>
      </c>
      <c r="J1072" s="3" t="s">
        <v>118</v>
      </c>
      <c r="K1072" s="24">
        <v>352404480</v>
      </c>
      <c r="L1072" s="6" t="s">
        <v>30</v>
      </c>
    </row>
    <row r="1073" spans="1:12" customFormat="1" ht="14.4" x14ac:dyDescent="0.3">
      <c r="A1073" s="1" t="s">
        <v>12</v>
      </c>
      <c r="B1073" s="1" t="s">
        <v>13</v>
      </c>
      <c r="C1073" s="2" t="s">
        <v>14</v>
      </c>
      <c r="D1073" s="1" t="s">
        <v>113</v>
      </c>
      <c r="E1073" s="1" t="s">
        <v>114</v>
      </c>
      <c r="F1073" s="1" t="s">
        <v>66</v>
      </c>
      <c r="G1073" s="3">
        <v>5250</v>
      </c>
      <c r="H1073" s="5">
        <v>45541</v>
      </c>
      <c r="I1073" s="3" t="s">
        <v>91</v>
      </c>
      <c r="J1073" s="3" t="s">
        <v>22</v>
      </c>
      <c r="K1073" s="24">
        <v>352404521</v>
      </c>
      <c r="L1073" s="6" t="s">
        <v>69</v>
      </c>
    </row>
    <row r="1074" spans="1:12" customFormat="1" ht="14.4" x14ac:dyDescent="0.3">
      <c r="A1074" s="1" t="s">
        <v>12</v>
      </c>
      <c r="B1074" s="1" t="s">
        <v>13</v>
      </c>
      <c r="C1074" s="2" t="s">
        <v>14</v>
      </c>
      <c r="D1074" s="3" t="s">
        <v>149</v>
      </c>
      <c r="E1074" s="18">
        <v>50100624324501</v>
      </c>
      <c r="F1074" s="3" t="s">
        <v>150</v>
      </c>
      <c r="G1074" s="3">
        <v>5250</v>
      </c>
      <c r="H1074" s="5">
        <v>45541</v>
      </c>
      <c r="I1074" s="3" t="s">
        <v>77</v>
      </c>
      <c r="J1074" s="3" t="s">
        <v>29</v>
      </c>
      <c r="K1074" s="24">
        <v>352404516</v>
      </c>
      <c r="L1074" s="6" t="s">
        <v>69</v>
      </c>
    </row>
    <row r="1075" spans="1:12" customFormat="1" ht="14.4" x14ac:dyDescent="0.3">
      <c r="A1075" s="1" t="s">
        <v>12</v>
      </c>
      <c r="B1075" s="1" t="s">
        <v>13</v>
      </c>
      <c r="C1075" s="2" t="s">
        <v>14</v>
      </c>
      <c r="D1075" s="1" t="s">
        <v>152</v>
      </c>
      <c r="E1075" s="1" t="s">
        <v>153</v>
      </c>
      <c r="F1075" s="1" t="s">
        <v>154</v>
      </c>
      <c r="G1075" s="3">
        <v>5250</v>
      </c>
      <c r="H1075" s="5">
        <v>45541</v>
      </c>
      <c r="I1075" s="3" t="s">
        <v>83</v>
      </c>
      <c r="J1075" s="3" t="s">
        <v>84</v>
      </c>
      <c r="K1075" s="24">
        <v>352404487</v>
      </c>
      <c r="L1075" s="6" t="s">
        <v>69</v>
      </c>
    </row>
    <row r="1076" spans="1:12" customFormat="1" ht="14.4" x14ac:dyDescent="0.3">
      <c r="A1076" s="1" t="s">
        <v>12</v>
      </c>
      <c r="B1076" s="1" t="s">
        <v>13</v>
      </c>
      <c r="C1076" s="2" t="s">
        <v>14</v>
      </c>
      <c r="D1076" s="1" t="s">
        <v>343</v>
      </c>
      <c r="E1076" s="1" t="s">
        <v>344</v>
      </c>
      <c r="F1076" s="1" t="s">
        <v>345</v>
      </c>
      <c r="G1076" s="3">
        <v>5250</v>
      </c>
      <c r="H1076" s="5">
        <v>45541</v>
      </c>
      <c r="I1076" s="3" t="s">
        <v>90</v>
      </c>
      <c r="J1076" s="3" t="s">
        <v>76</v>
      </c>
      <c r="K1076" s="24">
        <v>352404486</v>
      </c>
      <c r="L1076" s="6" t="s">
        <v>69</v>
      </c>
    </row>
    <row r="1077" spans="1:12" customFormat="1" ht="14.4" x14ac:dyDescent="0.3">
      <c r="A1077" s="1" t="s">
        <v>12</v>
      </c>
      <c r="B1077" s="1" t="s">
        <v>13</v>
      </c>
      <c r="C1077" s="2" t="s">
        <v>14</v>
      </c>
      <c r="D1077" s="1" t="s">
        <v>41</v>
      </c>
      <c r="E1077" s="1" t="s">
        <v>61</v>
      </c>
      <c r="F1077" s="1" t="s">
        <v>62</v>
      </c>
      <c r="G1077" s="3">
        <v>1300</v>
      </c>
      <c r="H1077" s="5">
        <v>45541</v>
      </c>
      <c r="I1077" s="3" t="s">
        <v>204</v>
      </c>
      <c r="J1077" s="3" t="s">
        <v>205</v>
      </c>
      <c r="K1077" s="24">
        <v>352404542</v>
      </c>
      <c r="L1077" s="6" t="s">
        <v>348</v>
      </c>
    </row>
    <row r="1078" spans="1:12" customFormat="1" ht="14.4" x14ac:dyDescent="0.3">
      <c r="A1078" s="1" t="s">
        <v>12</v>
      </c>
      <c r="B1078" s="1" t="s">
        <v>13</v>
      </c>
      <c r="C1078" s="2" t="s">
        <v>14</v>
      </c>
      <c r="D1078" s="1" t="s">
        <v>41</v>
      </c>
      <c r="E1078" s="1" t="s">
        <v>61</v>
      </c>
      <c r="F1078" s="1" t="s">
        <v>62</v>
      </c>
      <c r="G1078" s="3">
        <v>1300</v>
      </c>
      <c r="H1078" s="5">
        <v>45541</v>
      </c>
      <c r="I1078" s="3" t="s">
        <v>204</v>
      </c>
      <c r="J1078" s="3" t="s">
        <v>205</v>
      </c>
      <c r="K1078" s="24">
        <v>352404543</v>
      </c>
      <c r="L1078" s="6" t="s">
        <v>348</v>
      </c>
    </row>
    <row r="1079" spans="1:12" customFormat="1" ht="14.4" x14ac:dyDescent="0.3">
      <c r="A1079" s="1" t="s">
        <v>12</v>
      </c>
      <c r="B1079" s="1" t="s">
        <v>13</v>
      </c>
      <c r="C1079" s="2" t="s">
        <v>14</v>
      </c>
      <c r="D1079" s="1" t="s">
        <v>41</v>
      </c>
      <c r="E1079" s="1" t="s">
        <v>42</v>
      </c>
      <c r="F1079" s="1" t="s">
        <v>43</v>
      </c>
      <c r="G1079" s="3">
        <v>4000</v>
      </c>
      <c r="H1079" s="5">
        <v>45541</v>
      </c>
      <c r="I1079" s="3" t="s">
        <v>87</v>
      </c>
      <c r="J1079" s="3" t="s">
        <v>45</v>
      </c>
      <c r="K1079" s="24">
        <v>352404525</v>
      </c>
      <c r="L1079" s="6" t="s">
        <v>20</v>
      </c>
    </row>
    <row r="1080" spans="1:12" s="25" customFormat="1" ht="14.4" x14ac:dyDescent="0.3">
      <c r="A1080" s="22" t="s">
        <v>12</v>
      </c>
      <c r="B1080" s="22" t="s">
        <v>13</v>
      </c>
      <c r="C1080" s="22" t="s">
        <v>14</v>
      </c>
      <c r="D1080" s="22" t="s">
        <v>215</v>
      </c>
      <c r="E1080" s="22" t="s">
        <v>216</v>
      </c>
      <c r="F1080" s="22" t="s">
        <v>33</v>
      </c>
      <c r="G1080" s="23">
        <v>500</v>
      </c>
      <c r="H1080" s="5">
        <v>45542</v>
      </c>
      <c r="I1080" s="23" t="s">
        <v>155</v>
      </c>
      <c r="J1080" s="23" t="s">
        <v>156</v>
      </c>
      <c r="K1080" s="22">
        <v>352404566</v>
      </c>
      <c r="L1080" s="6" t="s">
        <v>349</v>
      </c>
    </row>
    <row r="1081" spans="1:12" customFormat="1" ht="14.4" x14ac:dyDescent="0.3">
      <c r="A1081" s="1" t="s">
        <v>12</v>
      </c>
      <c r="B1081" s="1" t="s">
        <v>13</v>
      </c>
      <c r="C1081" s="2" t="s">
        <v>14</v>
      </c>
      <c r="D1081" s="1" t="s">
        <v>257</v>
      </c>
      <c r="E1081" s="7" t="s">
        <v>258</v>
      </c>
      <c r="F1081" s="7" t="s">
        <v>33</v>
      </c>
      <c r="G1081" s="3">
        <f>500+400</f>
        <v>900</v>
      </c>
      <c r="H1081" s="5">
        <v>45542</v>
      </c>
      <c r="I1081" s="3" t="s">
        <v>88</v>
      </c>
      <c r="J1081" s="3" t="s">
        <v>59</v>
      </c>
      <c r="K1081" s="24">
        <v>352404577</v>
      </c>
      <c r="L1081" s="6" t="s">
        <v>350</v>
      </c>
    </row>
    <row r="1082" spans="1:12" customFormat="1" ht="14.4" x14ac:dyDescent="0.3">
      <c r="A1082" s="1" t="s">
        <v>12</v>
      </c>
      <c r="B1082" s="1" t="s">
        <v>13</v>
      </c>
      <c r="C1082" s="2" t="s">
        <v>14</v>
      </c>
      <c r="D1082" s="1" t="s">
        <v>257</v>
      </c>
      <c r="E1082" s="7" t="s">
        <v>258</v>
      </c>
      <c r="F1082" s="7" t="s">
        <v>33</v>
      </c>
      <c r="G1082" s="3">
        <v>400</v>
      </c>
      <c r="H1082" s="5">
        <v>45542</v>
      </c>
      <c r="I1082" s="3" t="s">
        <v>88</v>
      </c>
      <c r="J1082" s="3" t="s">
        <v>59</v>
      </c>
      <c r="K1082" s="24">
        <v>352404578</v>
      </c>
      <c r="L1082" s="6" t="s">
        <v>351</v>
      </c>
    </row>
    <row r="1083" spans="1:12" customFormat="1" ht="14.4" x14ac:dyDescent="0.3">
      <c r="A1083" s="1" t="s">
        <v>12</v>
      </c>
      <c r="B1083" s="1" t="s">
        <v>13</v>
      </c>
      <c r="C1083" s="2" t="s">
        <v>14</v>
      </c>
      <c r="D1083" s="1" t="s">
        <v>257</v>
      </c>
      <c r="E1083" s="7" t="s">
        <v>258</v>
      </c>
      <c r="F1083" s="7" t="s">
        <v>33</v>
      </c>
      <c r="G1083" s="3">
        <v>400</v>
      </c>
      <c r="H1083" s="5">
        <v>45542</v>
      </c>
      <c r="I1083" s="3" t="s">
        <v>88</v>
      </c>
      <c r="J1083" s="3" t="s">
        <v>59</v>
      </c>
      <c r="K1083" s="24">
        <v>352404579</v>
      </c>
      <c r="L1083" s="6" t="s">
        <v>351</v>
      </c>
    </row>
    <row r="1084" spans="1:12" customFormat="1" ht="14.4" x14ac:dyDescent="0.3">
      <c r="A1084" s="1" t="s">
        <v>12</v>
      </c>
      <c r="B1084" s="1" t="s">
        <v>13</v>
      </c>
      <c r="C1084" s="2" t="s">
        <v>14</v>
      </c>
      <c r="D1084" s="1" t="s">
        <v>31</v>
      </c>
      <c r="E1084" s="1" t="s">
        <v>32</v>
      </c>
      <c r="F1084" s="1" t="s">
        <v>33</v>
      </c>
      <c r="G1084" s="3">
        <v>5000</v>
      </c>
      <c r="H1084" s="5">
        <v>45542</v>
      </c>
      <c r="I1084" s="3" t="s">
        <v>78</v>
      </c>
      <c r="J1084" s="3" t="s">
        <v>79</v>
      </c>
      <c r="K1084" s="24">
        <v>352404518</v>
      </c>
      <c r="L1084" s="6" t="s">
        <v>35</v>
      </c>
    </row>
    <row r="1085" spans="1:12" s="25" customFormat="1" ht="14.4" x14ac:dyDescent="0.3">
      <c r="A1085" s="22" t="s">
        <v>12</v>
      </c>
      <c r="B1085" s="22" t="s">
        <v>13</v>
      </c>
      <c r="C1085" s="22" t="s">
        <v>14</v>
      </c>
      <c r="D1085" s="22" t="s">
        <v>215</v>
      </c>
      <c r="E1085" s="22" t="s">
        <v>216</v>
      </c>
      <c r="F1085" s="22" t="s">
        <v>33</v>
      </c>
      <c r="G1085" s="23">
        <v>500</v>
      </c>
      <c r="H1085" s="5">
        <v>45544</v>
      </c>
      <c r="I1085" s="23" t="s">
        <v>155</v>
      </c>
      <c r="J1085" s="23" t="s">
        <v>156</v>
      </c>
      <c r="K1085" s="22">
        <v>352404606</v>
      </c>
      <c r="L1085" s="6" t="s">
        <v>352</v>
      </c>
    </row>
    <row r="1086" spans="1:12" customFormat="1" ht="14.4" x14ac:dyDescent="0.3">
      <c r="A1086" s="1" t="s">
        <v>12</v>
      </c>
      <c r="B1086" s="1" t="s">
        <v>13</v>
      </c>
      <c r="C1086" s="2" t="s">
        <v>14</v>
      </c>
      <c r="D1086" s="1" t="s">
        <v>15</v>
      </c>
      <c r="E1086" s="1" t="s">
        <v>16</v>
      </c>
      <c r="F1086" s="1" t="s">
        <v>17</v>
      </c>
      <c r="G1086" s="3">
        <v>4000</v>
      </c>
      <c r="H1086" s="5">
        <v>45544</v>
      </c>
      <c r="I1086" s="3" t="s">
        <v>85</v>
      </c>
      <c r="J1086" s="3" t="s">
        <v>19</v>
      </c>
      <c r="K1086" s="24">
        <v>352404544</v>
      </c>
      <c r="L1086" s="6" t="s">
        <v>20</v>
      </c>
    </row>
    <row r="1087" spans="1:12" customFormat="1" ht="14.4" x14ac:dyDescent="0.3">
      <c r="A1087" s="1" t="s">
        <v>12</v>
      </c>
      <c r="B1087" s="1" t="s">
        <v>13</v>
      </c>
      <c r="C1087" s="2" t="s">
        <v>14</v>
      </c>
      <c r="D1087" s="1" t="s">
        <v>41</v>
      </c>
      <c r="E1087" s="1" t="s">
        <v>42</v>
      </c>
      <c r="F1087" s="1" t="s">
        <v>43</v>
      </c>
      <c r="G1087" s="3">
        <v>4000</v>
      </c>
      <c r="H1087" s="5">
        <v>45544</v>
      </c>
      <c r="I1087" s="3" t="s">
        <v>87</v>
      </c>
      <c r="J1087" s="3" t="s">
        <v>45</v>
      </c>
      <c r="K1087" s="24">
        <v>352404560</v>
      </c>
      <c r="L1087" s="6" t="s">
        <v>20</v>
      </c>
    </row>
    <row r="1088" spans="1:12" customFormat="1" ht="14.4" x14ac:dyDescent="0.3">
      <c r="A1088" s="1" t="s">
        <v>12</v>
      </c>
      <c r="B1088" s="1" t="s">
        <v>13</v>
      </c>
      <c r="C1088" s="2" t="s">
        <v>14</v>
      </c>
      <c r="D1088" s="1" t="s">
        <v>152</v>
      </c>
      <c r="E1088" s="1" t="s">
        <v>153</v>
      </c>
      <c r="F1088" s="1" t="s">
        <v>154</v>
      </c>
      <c r="G1088" s="3">
        <v>5000</v>
      </c>
      <c r="H1088" s="5">
        <v>45544</v>
      </c>
      <c r="I1088" s="3" t="s">
        <v>83</v>
      </c>
      <c r="J1088" s="3" t="s">
        <v>84</v>
      </c>
      <c r="K1088" s="24">
        <v>352404554</v>
      </c>
      <c r="L1088" s="6" t="s">
        <v>35</v>
      </c>
    </row>
    <row r="1089" spans="1:12" customFormat="1" ht="14.4" x14ac:dyDescent="0.3">
      <c r="A1089" s="1" t="s">
        <v>12</v>
      </c>
      <c r="B1089" s="1" t="s">
        <v>13</v>
      </c>
      <c r="C1089" s="2" t="s">
        <v>14</v>
      </c>
      <c r="D1089" s="1" t="s">
        <v>36</v>
      </c>
      <c r="E1089" s="1" t="s">
        <v>37</v>
      </c>
      <c r="F1089" s="1" t="s">
        <v>38</v>
      </c>
      <c r="G1089" s="1">
        <v>5250</v>
      </c>
      <c r="H1089" s="5">
        <v>45544</v>
      </c>
      <c r="I1089" s="3" t="s">
        <v>92</v>
      </c>
      <c r="J1089" s="3" t="s">
        <v>40</v>
      </c>
      <c r="K1089" s="24">
        <v>352404517</v>
      </c>
      <c r="L1089" s="6" t="s">
        <v>69</v>
      </c>
    </row>
    <row r="1090" spans="1:12" customFormat="1" ht="14.4" x14ac:dyDescent="0.3">
      <c r="A1090" s="1" t="s">
        <v>12</v>
      </c>
      <c r="B1090" s="1" t="s">
        <v>13</v>
      </c>
      <c r="C1090" s="2" t="s">
        <v>14</v>
      </c>
      <c r="D1090" s="1" t="s">
        <v>48</v>
      </c>
      <c r="E1090" s="1" t="s">
        <v>49</v>
      </c>
      <c r="F1090" s="1" t="s">
        <v>50</v>
      </c>
      <c r="G1090" s="1">
        <v>5250</v>
      </c>
      <c r="H1090" s="5">
        <v>45544</v>
      </c>
      <c r="I1090" s="3" t="s">
        <v>206</v>
      </c>
      <c r="J1090" s="3" t="s">
        <v>52</v>
      </c>
      <c r="K1090" s="24">
        <v>352404515</v>
      </c>
      <c r="L1090" s="6" t="s">
        <v>69</v>
      </c>
    </row>
    <row r="1091" spans="1:12" x14ac:dyDescent="0.25">
      <c r="A1091" s="30" t="s">
        <v>12</v>
      </c>
      <c r="B1091" s="30" t="s">
        <v>13</v>
      </c>
      <c r="C1091" s="30" t="s">
        <v>14</v>
      </c>
      <c r="D1091" s="30" t="s">
        <v>144</v>
      </c>
      <c r="E1091" s="39">
        <v>42542201947</v>
      </c>
      <c r="F1091" s="30" t="s">
        <v>145</v>
      </c>
      <c r="G1091" s="30">
        <v>5250</v>
      </c>
      <c r="H1091" s="33">
        <v>45544</v>
      </c>
      <c r="I1091" s="32" t="s">
        <v>146</v>
      </c>
      <c r="J1091" s="32" t="s">
        <v>147</v>
      </c>
      <c r="K1091" s="34">
        <v>352404519</v>
      </c>
      <c r="L1091" s="35" t="s">
        <v>69</v>
      </c>
    </row>
    <row r="1092" spans="1:12" customFormat="1" ht="14.4" x14ac:dyDescent="0.3">
      <c r="A1092" s="1" t="s">
        <v>12</v>
      </c>
      <c r="B1092" s="1" t="s">
        <v>13</v>
      </c>
      <c r="C1092" s="2" t="s">
        <v>14</v>
      </c>
      <c r="D1092" s="1" t="s">
        <v>41</v>
      </c>
      <c r="E1092" s="1" t="s">
        <v>61</v>
      </c>
      <c r="F1092" s="1" t="s">
        <v>62</v>
      </c>
      <c r="G1092" s="3">
        <v>1300</v>
      </c>
      <c r="H1092" s="5">
        <v>45544</v>
      </c>
      <c r="I1092" s="3" t="s">
        <v>204</v>
      </c>
      <c r="J1092" s="3" t="s">
        <v>205</v>
      </c>
      <c r="K1092" s="24">
        <v>352404611</v>
      </c>
      <c r="L1092" s="6" t="s">
        <v>353</v>
      </c>
    </row>
    <row r="1093" spans="1:12" customFormat="1" ht="14.4" x14ac:dyDescent="0.3">
      <c r="A1093" s="1" t="s">
        <v>12</v>
      </c>
      <c r="B1093" s="1" t="s">
        <v>13</v>
      </c>
      <c r="C1093" s="2" t="s">
        <v>14</v>
      </c>
      <c r="D1093" s="1" t="s">
        <v>41</v>
      </c>
      <c r="E1093" s="1" t="s">
        <v>61</v>
      </c>
      <c r="F1093" s="1" t="s">
        <v>62</v>
      </c>
      <c r="G1093" s="3">
        <v>1300</v>
      </c>
      <c r="H1093" s="5">
        <v>45544</v>
      </c>
      <c r="I1093" s="3" t="s">
        <v>204</v>
      </c>
      <c r="J1093" s="3" t="s">
        <v>205</v>
      </c>
      <c r="K1093" s="24">
        <v>352404612</v>
      </c>
      <c r="L1093" s="6" t="s">
        <v>353</v>
      </c>
    </row>
    <row r="1094" spans="1:12" customFormat="1" ht="14.4" x14ac:dyDescent="0.3">
      <c r="A1094" s="1" t="s">
        <v>12</v>
      </c>
      <c r="B1094" s="1" t="s">
        <v>13</v>
      </c>
      <c r="C1094" s="2" t="s">
        <v>14</v>
      </c>
      <c r="D1094" s="1" t="s">
        <v>31</v>
      </c>
      <c r="E1094" s="1" t="s">
        <v>32</v>
      </c>
      <c r="F1094" s="1" t="s">
        <v>33</v>
      </c>
      <c r="G1094" s="3">
        <v>5000</v>
      </c>
      <c r="H1094" s="5">
        <v>45544</v>
      </c>
      <c r="I1094" s="3" t="s">
        <v>78</v>
      </c>
      <c r="J1094" s="3" t="s">
        <v>79</v>
      </c>
      <c r="K1094" s="24">
        <v>352404600</v>
      </c>
      <c r="L1094" s="6" t="s">
        <v>30</v>
      </c>
    </row>
    <row r="1095" spans="1:12" customFormat="1" ht="14.4" x14ac:dyDescent="0.3">
      <c r="A1095" s="1" t="s">
        <v>12</v>
      </c>
      <c r="B1095" s="1" t="s">
        <v>13</v>
      </c>
      <c r="C1095" s="2" t="s">
        <v>14</v>
      </c>
      <c r="D1095" s="1" t="s">
        <v>343</v>
      </c>
      <c r="E1095" s="1" t="s">
        <v>344</v>
      </c>
      <c r="F1095" s="1" t="s">
        <v>345</v>
      </c>
      <c r="G1095" s="3">
        <v>5000</v>
      </c>
      <c r="H1095" s="5">
        <v>45545</v>
      </c>
      <c r="I1095" s="3" t="s">
        <v>90</v>
      </c>
      <c r="J1095" s="3" t="s">
        <v>76</v>
      </c>
      <c r="K1095" s="24">
        <v>352404647</v>
      </c>
      <c r="L1095" s="6" t="s">
        <v>35</v>
      </c>
    </row>
    <row r="1096" spans="1:12" s="25" customFormat="1" ht="14.4" x14ac:dyDescent="0.3">
      <c r="A1096" s="22" t="s">
        <v>12</v>
      </c>
      <c r="B1096" s="22" t="s">
        <v>13</v>
      </c>
      <c r="C1096" s="22" t="s">
        <v>14</v>
      </c>
      <c r="D1096" s="22" t="s">
        <v>215</v>
      </c>
      <c r="E1096" s="22" t="s">
        <v>216</v>
      </c>
      <c r="F1096" s="22" t="s">
        <v>33</v>
      </c>
      <c r="G1096" s="23">
        <v>500</v>
      </c>
      <c r="H1096" s="5">
        <v>45545</v>
      </c>
      <c r="I1096" s="23" t="s">
        <v>155</v>
      </c>
      <c r="J1096" s="23" t="s">
        <v>156</v>
      </c>
      <c r="K1096" s="22">
        <v>352404648</v>
      </c>
      <c r="L1096" s="6" t="s">
        <v>354</v>
      </c>
    </row>
    <row r="1097" spans="1:12" customFormat="1" ht="14.4" x14ac:dyDescent="0.3">
      <c r="A1097" s="1" t="s">
        <v>12</v>
      </c>
      <c r="B1097" s="1" t="s">
        <v>13</v>
      </c>
      <c r="C1097" s="2" t="s">
        <v>14</v>
      </c>
      <c r="D1097" s="1" t="s">
        <v>15</v>
      </c>
      <c r="E1097" s="1" t="s">
        <v>16</v>
      </c>
      <c r="F1097" s="1" t="s">
        <v>17</v>
      </c>
      <c r="G1097" s="3">
        <v>5000</v>
      </c>
      <c r="H1097" s="5">
        <v>45545</v>
      </c>
      <c r="I1097" s="3" t="s">
        <v>85</v>
      </c>
      <c r="J1097" s="3" t="s">
        <v>19</v>
      </c>
      <c r="K1097" s="24"/>
      <c r="L1097" s="6" t="s">
        <v>164</v>
      </c>
    </row>
    <row r="1098" spans="1:12" customFormat="1" ht="14.4" x14ac:dyDescent="0.3">
      <c r="A1098" s="1" t="s">
        <v>12</v>
      </c>
      <c r="B1098" s="1" t="s">
        <v>13</v>
      </c>
      <c r="C1098" s="2" t="s">
        <v>14</v>
      </c>
      <c r="D1098" s="1" t="s">
        <v>41</v>
      </c>
      <c r="E1098" s="1" t="s">
        <v>42</v>
      </c>
      <c r="F1098" s="1" t="s">
        <v>43</v>
      </c>
      <c r="G1098" s="3">
        <v>5000</v>
      </c>
      <c r="H1098" s="5">
        <v>45545</v>
      </c>
      <c r="I1098" s="3" t="s">
        <v>87</v>
      </c>
      <c r="J1098" s="3" t="s">
        <v>45</v>
      </c>
      <c r="K1098" s="24"/>
      <c r="L1098" s="6" t="s">
        <v>164</v>
      </c>
    </row>
    <row r="1099" spans="1:12" customFormat="1" ht="14.4" x14ac:dyDescent="0.3">
      <c r="A1099" s="1" t="s">
        <v>12</v>
      </c>
      <c r="B1099" s="1" t="s">
        <v>13</v>
      </c>
      <c r="C1099" s="2" t="s">
        <v>14</v>
      </c>
      <c r="D1099" s="1" t="s">
        <v>41</v>
      </c>
      <c r="E1099" s="1" t="s">
        <v>61</v>
      </c>
      <c r="F1099" s="1" t="s">
        <v>62</v>
      </c>
      <c r="G1099" s="3">
        <v>5000</v>
      </c>
      <c r="H1099" s="5">
        <v>45545</v>
      </c>
      <c r="I1099" s="3" t="s">
        <v>204</v>
      </c>
      <c r="J1099" s="3" t="s">
        <v>205</v>
      </c>
      <c r="K1099" s="24"/>
      <c r="L1099" s="6" t="s">
        <v>164</v>
      </c>
    </row>
    <row r="1100" spans="1:12" customFormat="1" ht="14.4" x14ac:dyDescent="0.3">
      <c r="A1100" s="1" t="s">
        <v>12</v>
      </c>
      <c r="B1100" s="1" t="s">
        <v>13</v>
      </c>
      <c r="C1100" s="2" t="s">
        <v>14</v>
      </c>
      <c r="D1100" s="1" t="s">
        <v>64</v>
      </c>
      <c r="E1100" s="1" t="s">
        <v>65</v>
      </c>
      <c r="F1100" s="1" t="s">
        <v>66</v>
      </c>
      <c r="G1100" s="3">
        <v>5000</v>
      </c>
      <c r="H1100" s="5">
        <v>45545</v>
      </c>
      <c r="I1100" s="3" t="s">
        <v>101</v>
      </c>
      <c r="J1100" s="3" t="s">
        <v>68</v>
      </c>
      <c r="K1100" s="24"/>
      <c r="L1100" s="6" t="s">
        <v>164</v>
      </c>
    </row>
    <row r="1101" spans="1:12" customFormat="1" ht="14.4" x14ac:dyDescent="0.3">
      <c r="A1101" s="1" t="s">
        <v>12</v>
      </c>
      <c r="B1101" s="1" t="s">
        <v>13</v>
      </c>
      <c r="C1101" s="2" t="s">
        <v>14</v>
      </c>
      <c r="D1101" s="1" t="s">
        <v>113</v>
      </c>
      <c r="E1101" s="1" t="s">
        <v>114</v>
      </c>
      <c r="F1101" s="1" t="s">
        <v>66</v>
      </c>
      <c r="G1101" s="3">
        <v>5000</v>
      </c>
      <c r="H1101" s="5">
        <v>45545</v>
      </c>
      <c r="I1101" s="3" t="s">
        <v>91</v>
      </c>
      <c r="J1101" s="3" t="s">
        <v>22</v>
      </c>
      <c r="K1101" s="24"/>
      <c r="L1101" s="6" t="s">
        <v>164</v>
      </c>
    </row>
    <row r="1102" spans="1:12" customFormat="1" ht="14.4" x14ac:dyDescent="0.3">
      <c r="A1102" s="1" t="s">
        <v>12</v>
      </c>
      <c r="B1102" s="1" t="s">
        <v>13</v>
      </c>
      <c r="C1102" s="2" t="s">
        <v>14</v>
      </c>
      <c r="D1102" s="3" t="s">
        <v>149</v>
      </c>
      <c r="E1102" s="18">
        <v>50100624324501</v>
      </c>
      <c r="F1102" s="3" t="s">
        <v>150</v>
      </c>
      <c r="G1102" s="3">
        <v>5000</v>
      </c>
      <c r="H1102" s="5">
        <v>45545</v>
      </c>
      <c r="I1102" s="3" t="s">
        <v>77</v>
      </c>
      <c r="J1102" s="3" t="s">
        <v>29</v>
      </c>
      <c r="K1102" s="24"/>
      <c r="L1102" s="6" t="s">
        <v>164</v>
      </c>
    </row>
    <row r="1103" spans="1:12" customFormat="1" ht="14.4" x14ac:dyDescent="0.3">
      <c r="A1103" s="1" t="s">
        <v>12</v>
      </c>
      <c r="B1103" s="1" t="s">
        <v>13</v>
      </c>
      <c r="C1103" s="2" t="s">
        <v>14</v>
      </c>
      <c r="D1103" s="1" t="s">
        <v>36</v>
      </c>
      <c r="E1103" s="1" t="s">
        <v>37</v>
      </c>
      <c r="F1103" s="1" t="s">
        <v>38</v>
      </c>
      <c r="G1103" s="3">
        <v>5000</v>
      </c>
      <c r="H1103" s="5">
        <v>45545</v>
      </c>
      <c r="I1103" s="3" t="s">
        <v>92</v>
      </c>
      <c r="J1103" s="3" t="s">
        <v>40</v>
      </c>
      <c r="K1103" s="24"/>
      <c r="L1103" s="6" t="s">
        <v>164</v>
      </c>
    </row>
    <row r="1104" spans="1:12" customFormat="1" ht="14.4" x14ac:dyDescent="0.3">
      <c r="A1104" s="1" t="s">
        <v>12</v>
      </c>
      <c r="B1104" s="1" t="s">
        <v>13</v>
      </c>
      <c r="C1104" s="2" t="s">
        <v>14</v>
      </c>
      <c r="D1104" s="1" t="s">
        <v>48</v>
      </c>
      <c r="E1104" s="1" t="s">
        <v>49</v>
      </c>
      <c r="F1104" s="1" t="s">
        <v>50</v>
      </c>
      <c r="G1104" s="3">
        <v>5000</v>
      </c>
      <c r="H1104" s="5">
        <v>45545</v>
      </c>
      <c r="I1104" s="3" t="s">
        <v>206</v>
      </c>
      <c r="J1104" s="3" t="s">
        <v>52</v>
      </c>
      <c r="K1104" s="24"/>
      <c r="L1104" s="6" t="s">
        <v>164</v>
      </c>
    </row>
    <row r="1105" spans="1:12" x14ac:dyDescent="0.25">
      <c r="A1105" s="30" t="s">
        <v>12</v>
      </c>
      <c r="B1105" s="30" t="s">
        <v>13</v>
      </c>
      <c r="C1105" s="30" t="s">
        <v>14</v>
      </c>
      <c r="D1105" s="30" t="s">
        <v>144</v>
      </c>
      <c r="E1105" s="39">
        <v>42542201947</v>
      </c>
      <c r="F1105" s="30" t="s">
        <v>145</v>
      </c>
      <c r="G1105" s="32">
        <v>5000</v>
      </c>
      <c r="H1105" s="33">
        <v>45545</v>
      </c>
      <c r="I1105" s="32" t="s">
        <v>146</v>
      </c>
      <c r="J1105" s="32" t="s">
        <v>147</v>
      </c>
      <c r="K1105" s="34"/>
      <c r="L1105" s="35" t="s">
        <v>164</v>
      </c>
    </row>
    <row r="1106" spans="1:12" s="25" customFormat="1" ht="14.4" x14ac:dyDescent="0.3">
      <c r="A1106" s="22" t="s">
        <v>12</v>
      </c>
      <c r="B1106" s="22" t="s">
        <v>13</v>
      </c>
      <c r="C1106" s="22" t="s">
        <v>14</v>
      </c>
      <c r="D1106" s="22" t="s">
        <v>215</v>
      </c>
      <c r="E1106" s="22" t="s">
        <v>216</v>
      </c>
      <c r="F1106" s="22" t="s">
        <v>33</v>
      </c>
      <c r="G1106" s="23">
        <v>500</v>
      </c>
      <c r="H1106" s="5">
        <v>45546</v>
      </c>
      <c r="I1106" s="23" t="s">
        <v>155</v>
      </c>
      <c r="J1106" s="23" t="s">
        <v>156</v>
      </c>
      <c r="K1106" s="22">
        <v>352404691</v>
      </c>
      <c r="L1106" s="6" t="s">
        <v>355</v>
      </c>
    </row>
    <row r="1107" spans="1:12" customFormat="1" ht="14.4" x14ac:dyDescent="0.3">
      <c r="A1107" s="1" t="s">
        <v>12</v>
      </c>
      <c r="B1107" s="1" t="s">
        <v>13</v>
      </c>
      <c r="C1107" s="2" t="s">
        <v>14</v>
      </c>
      <c r="D1107" s="1" t="s">
        <v>31</v>
      </c>
      <c r="E1107" s="1" t="s">
        <v>32</v>
      </c>
      <c r="F1107" s="1" t="s">
        <v>33</v>
      </c>
      <c r="G1107" s="3">
        <v>5000</v>
      </c>
      <c r="H1107" s="5">
        <v>45546</v>
      </c>
      <c r="I1107" s="3" t="s">
        <v>78</v>
      </c>
      <c r="J1107" s="3" t="s">
        <v>79</v>
      </c>
      <c r="K1107" s="24"/>
      <c r="L1107" s="6" t="s">
        <v>164</v>
      </c>
    </row>
    <row r="1108" spans="1:12" customFormat="1" ht="14.4" x14ac:dyDescent="0.3">
      <c r="A1108" s="1" t="s">
        <v>12</v>
      </c>
      <c r="B1108" s="1" t="s">
        <v>13</v>
      </c>
      <c r="C1108" s="2" t="s">
        <v>14</v>
      </c>
      <c r="D1108" s="1" t="s">
        <v>343</v>
      </c>
      <c r="E1108" s="1" t="s">
        <v>344</v>
      </c>
      <c r="F1108" s="1" t="s">
        <v>345</v>
      </c>
      <c r="G1108" s="3">
        <v>5000</v>
      </c>
      <c r="H1108" s="5">
        <v>45546</v>
      </c>
      <c r="I1108" s="3" t="s">
        <v>90</v>
      </c>
      <c r="J1108" s="3" t="s">
        <v>76</v>
      </c>
      <c r="K1108" s="24"/>
      <c r="L1108" s="6" t="s">
        <v>164</v>
      </c>
    </row>
    <row r="1109" spans="1:12" customFormat="1" ht="14.4" x14ac:dyDescent="0.3">
      <c r="A1109" s="1" t="s">
        <v>12</v>
      </c>
      <c r="B1109" s="1" t="s">
        <v>13</v>
      </c>
      <c r="C1109" s="2" t="s">
        <v>14</v>
      </c>
      <c r="D1109" s="1" t="s">
        <v>31</v>
      </c>
      <c r="E1109" s="1" t="s">
        <v>32</v>
      </c>
      <c r="F1109" s="1" t="s">
        <v>33</v>
      </c>
      <c r="G1109" s="3">
        <v>5250</v>
      </c>
      <c r="H1109" s="5">
        <v>45547</v>
      </c>
      <c r="I1109" s="3" t="s">
        <v>78</v>
      </c>
      <c r="J1109" s="3" t="s">
        <v>79</v>
      </c>
      <c r="K1109" s="24">
        <v>352404707</v>
      </c>
      <c r="L1109" s="6" t="s">
        <v>69</v>
      </c>
    </row>
    <row r="1110" spans="1:12" customFormat="1" ht="14.4" x14ac:dyDescent="0.3">
      <c r="A1110" s="1" t="s">
        <v>12</v>
      </c>
      <c r="B1110" s="1" t="s">
        <v>13</v>
      </c>
      <c r="C1110" s="2" t="s">
        <v>14</v>
      </c>
      <c r="D1110" s="1" t="s">
        <v>343</v>
      </c>
      <c r="E1110" s="1" t="s">
        <v>344</v>
      </c>
      <c r="F1110" s="1" t="s">
        <v>345</v>
      </c>
      <c r="G1110" s="3">
        <v>3750</v>
      </c>
      <c r="H1110" s="5">
        <v>45547</v>
      </c>
      <c r="I1110" s="3" t="s">
        <v>90</v>
      </c>
      <c r="J1110" s="3" t="s">
        <v>76</v>
      </c>
      <c r="K1110" s="24">
        <v>352404708</v>
      </c>
      <c r="L1110" s="6" t="s">
        <v>69</v>
      </c>
    </row>
    <row r="1111" spans="1:12" s="25" customFormat="1" ht="14.4" x14ac:dyDescent="0.3">
      <c r="A1111" s="22" t="s">
        <v>12</v>
      </c>
      <c r="B1111" s="22" t="s">
        <v>13</v>
      </c>
      <c r="C1111" s="22" t="s">
        <v>14</v>
      </c>
      <c r="D1111" s="22" t="s">
        <v>215</v>
      </c>
      <c r="E1111" s="22" t="s">
        <v>216</v>
      </c>
      <c r="F1111" s="22" t="s">
        <v>33</v>
      </c>
      <c r="G1111" s="23">
        <v>500</v>
      </c>
      <c r="H1111" s="5">
        <v>45547</v>
      </c>
      <c r="I1111" s="23" t="s">
        <v>155</v>
      </c>
      <c r="J1111" s="23" t="s">
        <v>156</v>
      </c>
      <c r="K1111" s="22">
        <v>352404725</v>
      </c>
      <c r="L1111" s="6" t="s">
        <v>356</v>
      </c>
    </row>
    <row r="1112" spans="1:12" customFormat="1" ht="14.4" x14ac:dyDescent="0.3">
      <c r="A1112" s="1" t="s">
        <v>12</v>
      </c>
      <c r="B1112" s="1" t="s">
        <v>13</v>
      </c>
      <c r="C1112" s="2" t="s">
        <v>14</v>
      </c>
      <c r="D1112" s="1" t="s">
        <v>152</v>
      </c>
      <c r="E1112" s="1" t="s">
        <v>153</v>
      </c>
      <c r="F1112" s="1" t="s">
        <v>154</v>
      </c>
      <c r="G1112" s="3">
        <v>5000</v>
      </c>
      <c r="H1112" s="5">
        <v>45548</v>
      </c>
      <c r="I1112" s="3" t="s">
        <v>83</v>
      </c>
      <c r="J1112" s="3" t="s">
        <v>84</v>
      </c>
      <c r="K1112" s="24"/>
      <c r="L1112" s="6" t="s">
        <v>164</v>
      </c>
    </row>
    <row r="1113" spans="1:12" customFormat="1" ht="14.4" x14ac:dyDescent="0.3">
      <c r="A1113" s="1" t="s">
        <v>12</v>
      </c>
      <c r="B1113" s="1" t="s">
        <v>13</v>
      </c>
      <c r="C1113" s="2" t="s">
        <v>14</v>
      </c>
      <c r="D1113" s="1" t="s">
        <v>31</v>
      </c>
      <c r="E1113" s="1" t="s">
        <v>32</v>
      </c>
      <c r="F1113" s="1" t="s">
        <v>33</v>
      </c>
      <c r="G1113" s="3">
        <v>5000</v>
      </c>
      <c r="H1113" s="5">
        <v>45548</v>
      </c>
      <c r="I1113" s="3" t="s">
        <v>93</v>
      </c>
      <c r="J1113" s="3" t="s">
        <v>34</v>
      </c>
      <c r="K1113" s="24"/>
      <c r="L1113" s="6" t="s">
        <v>164</v>
      </c>
    </row>
    <row r="1114" spans="1:12" customFormat="1" ht="14.4" x14ac:dyDescent="0.3">
      <c r="A1114" s="1" t="s">
        <v>12</v>
      </c>
      <c r="B1114" s="1" t="s">
        <v>13</v>
      </c>
      <c r="C1114" s="2" t="s">
        <v>14</v>
      </c>
      <c r="D1114" s="1" t="s">
        <v>343</v>
      </c>
      <c r="E1114" s="1" t="s">
        <v>344</v>
      </c>
      <c r="F1114" s="1" t="s">
        <v>345</v>
      </c>
      <c r="G1114" s="3">
        <v>5000</v>
      </c>
      <c r="H1114" s="5">
        <v>45548</v>
      </c>
      <c r="I1114" s="3" t="s">
        <v>90</v>
      </c>
      <c r="J1114" s="3" t="s">
        <v>76</v>
      </c>
      <c r="K1114" s="24">
        <v>352404752</v>
      </c>
      <c r="L1114" s="6" t="s">
        <v>357</v>
      </c>
    </row>
    <row r="1115" spans="1:12" customFormat="1" ht="14.4" x14ac:dyDescent="0.3">
      <c r="A1115" s="1" t="s">
        <v>12</v>
      </c>
      <c r="B1115" s="1" t="s">
        <v>13</v>
      </c>
      <c r="C1115" s="2" t="s">
        <v>14</v>
      </c>
      <c r="D1115" s="1" t="s">
        <v>31</v>
      </c>
      <c r="E1115" s="1" t="s">
        <v>32</v>
      </c>
      <c r="F1115" s="1" t="s">
        <v>33</v>
      </c>
      <c r="G1115" s="3">
        <v>3000</v>
      </c>
      <c r="H1115" s="5">
        <v>45548</v>
      </c>
      <c r="I1115" s="3" t="s">
        <v>78</v>
      </c>
      <c r="J1115" s="3" t="s">
        <v>79</v>
      </c>
      <c r="K1115" s="24">
        <v>352404762</v>
      </c>
      <c r="L1115" s="6" t="s">
        <v>358</v>
      </c>
    </row>
    <row r="1116" spans="1:12" customFormat="1" ht="14.4" x14ac:dyDescent="0.3">
      <c r="A1116" s="1" t="s">
        <v>12</v>
      </c>
      <c r="B1116" s="1" t="s">
        <v>13</v>
      </c>
      <c r="C1116" s="2" t="s">
        <v>14</v>
      </c>
      <c r="D1116" s="3" t="s">
        <v>149</v>
      </c>
      <c r="E1116" s="18">
        <v>50100624324501</v>
      </c>
      <c r="F1116" s="3" t="s">
        <v>150</v>
      </c>
      <c r="G1116" s="3">
        <v>5000</v>
      </c>
      <c r="H1116" s="5">
        <v>45548</v>
      </c>
      <c r="I1116" s="3" t="s">
        <v>77</v>
      </c>
      <c r="J1116" s="3" t="s">
        <v>29</v>
      </c>
      <c r="K1116" s="24">
        <v>352404747</v>
      </c>
      <c r="L1116" s="6" t="s">
        <v>359</v>
      </c>
    </row>
    <row r="1117" spans="1:12" customFormat="1" ht="14.4" x14ac:dyDescent="0.3">
      <c r="A1117" s="1" t="s">
        <v>12</v>
      </c>
      <c r="B1117" s="1" t="s">
        <v>13</v>
      </c>
      <c r="C1117" s="2" t="s">
        <v>14</v>
      </c>
      <c r="D1117" s="1" t="s">
        <v>48</v>
      </c>
      <c r="E1117" s="1" t="s">
        <v>49</v>
      </c>
      <c r="F1117" s="1" t="s">
        <v>50</v>
      </c>
      <c r="G1117" s="3">
        <v>5000</v>
      </c>
      <c r="H1117" s="5">
        <v>45548</v>
      </c>
      <c r="I1117" s="3" t="s">
        <v>206</v>
      </c>
      <c r="J1117" s="3" t="s">
        <v>52</v>
      </c>
      <c r="K1117" s="24">
        <v>352404748</v>
      </c>
      <c r="L1117" s="6" t="s">
        <v>359</v>
      </c>
    </row>
    <row r="1118" spans="1:12" s="25" customFormat="1" ht="14.4" x14ac:dyDescent="0.3">
      <c r="A1118" s="22" t="s">
        <v>12</v>
      </c>
      <c r="B1118" s="22" t="s">
        <v>13</v>
      </c>
      <c r="C1118" s="22" t="s">
        <v>14</v>
      </c>
      <c r="D1118" s="22" t="s">
        <v>215</v>
      </c>
      <c r="E1118" s="22" t="s">
        <v>216</v>
      </c>
      <c r="F1118" s="22" t="s">
        <v>33</v>
      </c>
      <c r="G1118" s="23">
        <v>500</v>
      </c>
      <c r="H1118" s="5">
        <v>45548</v>
      </c>
      <c r="I1118" s="23" t="s">
        <v>155</v>
      </c>
      <c r="J1118" s="23" t="s">
        <v>156</v>
      </c>
      <c r="K1118" s="22">
        <v>352404765</v>
      </c>
      <c r="L1118" s="6" t="s">
        <v>360</v>
      </c>
    </row>
    <row r="1119" spans="1:12" customFormat="1" ht="14.4" x14ac:dyDescent="0.3">
      <c r="A1119" s="1" t="s">
        <v>12</v>
      </c>
      <c r="B1119" s="1" t="s">
        <v>13</v>
      </c>
      <c r="C1119" s="2" t="s">
        <v>14</v>
      </c>
      <c r="D1119" s="1" t="s">
        <v>152</v>
      </c>
      <c r="E1119" s="1" t="s">
        <v>153</v>
      </c>
      <c r="F1119" s="1" t="s">
        <v>154</v>
      </c>
      <c r="G1119" s="3">
        <v>2000</v>
      </c>
      <c r="H1119" s="5">
        <v>45548</v>
      </c>
      <c r="I1119" s="3" t="s">
        <v>83</v>
      </c>
      <c r="J1119" s="3" t="s">
        <v>84</v>
      </c>
      <c r="K1119" s="24">
        <v>352404773</v>
      </c>
      <c r="L1119" s="6" t="s">
        <v>361</v>
      </c>
    </row>
    <row r="1120" spans="1:12" s="25" customFormat="1" ht="14.4" x14ac:dyDescent="0.3">
      <c r="A1120" s="22" t="s">
        <v>12</v>
      </c>
      <c r="B1120" s="22" t="s">
        <v>13</v>
      </c>
      <c r="C1120" s="22" t="s">
        <v>14</v>
      </c>
      <c r="D1120" s="22" t="s">
        <v>173</v>
      </c>
      <c r="E1120" s="22" t="s">
        <v>174</v>
      </c>
      <c r="F1120" s="22" t="s">
        <v>33</v>
      </c>
      <c r="G1120" s="23">
        <v>500</v>
      </c>
      <c r="H1120" s="5">
        <v>45549</v>
      </c>
      <c r="I1120" s="23" t="s">
        <v>175</v>
      </c>
      <c r="J1120" s="23" t="s">
        <v>176</v>
      </c>
      <c r="K1120" s="24">
        <v>352404775</v>
      </c>
      <c r="L1120" s="6" t="s">
        <v>362</v>
      </c>
    </row>
    <row r="1121" spans="1:12" s="25" customFormat="1" ht="14.4" x14ac:dyDescent="0.3">
      <c r="A1121" s="22" t="s">
        <v>12</v>
      </c>
      <c r="B1121" s="22" t="s">
        <v>13</v>
      </c>
      <c r="C1121" s="22" t="s">
        <v>14</v>
      </c>
      <c r="D1121" s="22" t="s">
        <v>215</v>
      </c>
      <c r="E1121" s="22" t="s">
        <v>216</v>
      </c>
      <c r="F1121" s="22" t="s">
        <v>33</v>
      </c>
      <c r="G1121" s="23">
        <v>500</v>
      </c>
      <c r="H1121" s="5">
        <v>45549</v>
      </c>
      <c r="I1121" s="23" t="s">
        <v>155</v>
      </c>
      <c r="J1121" s="23" t="s">
        <v>156</v>
      </c>
      <c r="K1121" s="22">
        <v>352404792</v>
      </c>
      <c r="L1121" s="6" t="s">
        <v>363</v>
      </c>
    </row>
    <row r="1122" spans="1:12" customFormat="1" ht="14.4" x14ac:dyDescent="0.3">
      <c r="A1122" s="1" t="s">
        <v>12</v>
      </c>
      <c r="B1122" s="1" t="s">
        <v>13</v>
      </c>
      <c r="C1122" s="2" t="s">
        <v>14</v>
      </c>
      <c r="D1122" s="1" t="s">
        <v>31</v>
      </c>
      <c r="E1122" s="1" t="s">
        <v>32</v>
      </c>
      <c r="F1122" s="1" t="s">
        <v>33</v>
      </c>
      <c r="G1122" s="3">
        <v>3750</v>
      </c>
      <c r="H1122" s="5">
        <v>45549</v>
      </c>
      <c r="I1122" s="3" t="s">
        <v>78</v>
      </c>
      <c r="J1122" s="3" t="s">
        <v>79</v>
      </c>
      <c r="K1122" s="24">
        <v>352404799</v>
      </c>
      <c r="L1122" s="6" t="s">
        <v>365</v>
      </c>
    </row>
    <row r="1123" spans="1:12" customFormat="1" ht="14.4" x14ac:dyDescent="0.3">
      <c r="A1123" s="1" t="s">
        <v>12</v>
      </c>
      <c r="B1123" s="1" t="s">
        <v>13</v>
      </c>
      <c r="C1123" s="2" t="s">
        <v>14</v>
      </c>
      <c r="D1123" s="1" t="s">
        <v>343</v>
      </c>
      <c r="E1123" s="1" t="s">
        <v>344</v>
      </c>
      <c r="F1123" s="1" t="s">
        <v>345</v>
      </c>
      <c r="G1123" s="3">
        <v>5000</v>
      </c>
      <c r="H1123" s="5">
        <v>45549</v>
      </c>
      <c r="I1123" s="3" t="s">
        <v>90</v>
      </c>
      <c r="J1123" s="3" t="s">
        <v>76</v>
      </c>
      <c r="K1123" s="24">
        <v>352404784</v>
      </c>
      <c r="L1123" s="6" t="s">
        <v>364</v>
      </c>
    </row>
    <row r="1124" spans="1:12" s="25" customFormat="1" ht="14.4" x14ac:dyDescent="0.3">
      <c r="A1124" s="22" t="s">
        <v>12</v>
      </c>
      <c r="B1124" s="22" t="s">
        <v>13</v>
      </c>
      <c r="C1124" s="22" t="s">
        <v>14</v>
      </c>
      <c r="D1124" s="22" t="s">
        <v>215</v>
      </c>
      <c r="E1124" s="22" t="s">
        <v>216</v>
      </c>
      <c r="F1124" s="22" t="s">
        <v>33</v>
      </c>
      <c r="G1124" s="23">
        <v>500</v>
      </c>
      <c r="H1124" s="5">
        <v>45551</v>
      </c>
      <c r="I1124" s="23" t="s">
        <v>155</v>
      </c>
      <c r="J1124" s="23" t="s">
        <v>156</v>
      </c>
      <c r="K1124" s="22">
        <v>352404834</v>
      </c>
      <c r="L1124" s="6" t="s">
        <v>366</v>
      </c>
    </row>
    <row r="1125" spans="1:12" customFormat="1" ht="14.4" x14ac:dyDescent="0.3">
      <c r="A1125" s="1" t="s">
        <v>12</v>
      </c>
      <c r="B1125" s="1" t="s">
        <v>13</v>
      </c>
      <c r="C1125" s="2" t="s">
        <v>14</v>
      </c>
      <c r="D1125" s="1" t="s">
        <v>41</v>
      </c>
      <c r="E1125" s="1" t="s">
        <v>61</v>
      </c>
      <c r="F1125" s="1" t="s">
        <v>62</v>
      </c>
      <c r="G1125" s="3">
        <v>1300</v>
      </c>
      <c r="H1125" s="5">
        <v>45551</v>
      </c>
      <c r="I1125" s="3" t="s">
        <v>204</v>
      </c>
      <c r="J1125" s="3" t="s">
        <v>205</v>
      </c>
      <c r="K1125" s="24">
        <v>352404854</v>
      </c>
      <c r="L1125" s="6" t="s">
        <v>367</v>
      </c>
    </row>
    <row r="1126" spans="1:12" customFormat="1" ht="14.4" x14ac:dyDescent="0.3">
      <c r="A1126" s="1" t="s">
        <v>12</v>
      </c>
      <c r="B1126" s="1" t="s">
        <v>13</v>
      </c>
      <c r="C1126" s="2" t="s">
        <v>14</v>
      </c>
      <c r="D1126" s="1" t="s">
        <v>257</v>
      </c>
      <c r="E1126" s="7" t="s">
        <v>258</v>
      </c>
      <c r="F1126" s="7" t="s">
        <v>33</v>
      </c>
      <c r="G1126" s="3">
        <v>5000</v>
      </c>
      <c r="H1126" s="5">
        <v>45551</v>
      </c>
      <c r="I1126" s="3" t="s">
        <v>88</v>
      </c>
      <c r="J1126" s="3" t="s">
        <v>59</v>
      </c>
      <c r="K1126" s="24"/>
      <c r="L1126" s="6" t="s">
        <v>164</v>
      </c>
    </row>
    <row r="1127" spans="1:12" s="25" customFormat="1" ht="14.4" x14ac:dyDescent="0.3">
      <c r="A1127" s="22" t="s">
        <v>12</v>
      </c>
      <c r="B1127" s="22" t="s">
        <v>13</v>
      </c>
      <c r="C1127" s="22" t="s">
        <v>14</v>
      </c>
      <c r="D1127" s="22" t="s">
        <v>215</v>
      </c>
      <c r="E1127" s="22" t="s">
        <v>216</v>
      </c>
      <c r="F1127" s="22" t="s">
        <v>33</v>
      </c>
      <c r="G1127" s="23">
        <v>500</v>
      </c>
      <c r="H1127" s="5">
        <v>45552</v>
      </c>
      <c r="I1127" s="23" t="s">
        <v>155</v>
      </c>
      <c r="J1127" s="23" t="s">
        <v>156</v>
      </c>
      <c r="K1127" s="22">
        <v>352404868</v>
      </c>
      <c r="L1127" s="6" t="s">
        <v>368</v>
      </c>
    </row>
    <row r="1128" spans="1:12" customFormat="1" ht="14.4" x14ac:dyDescent="0.3">
      <c r="A1128" s="1" t="s">
        <v>12</v>
      </c>
      <c r="B1128" s="1" t="s">
        <v>13</v>
      </c>
      <c r="C1128" s="2" t="s">
        <v>14</v>
      </c>
      <c r="D1128" s="1" t="s">
        <v>36</v>
      </c>
      <c r="E1128" s="1" t="s">
        <v>37</v>
      </c>
      <c r="F1128" s="1" t="s">
        <v>38</v>
      </c>
      <c r="G1128" s="3">
        <v>4750</v>
      </c>
      <c r="H1128" s="5">
        <v>45552</v>
      </c>
      <c r="I1128" s="3" t="s">
        <v>93</v>
      </c>
      <c r="J1128" s="3" t="s">
        <v>34</v>
      </c>
      <c r="K1128" s="24">
        <v>35184881</v>
      </c>
      <c r="L1128" s="6" t="s">
        <v>369</v>
      </c>
    </row>
    <row r="1129" spans="1:12" s="25" customFormat="1" ht="14.4" x14ac:dyDescent="0.3">
      <c r="A1129" s="22" t="s">
        <v>12</v>
      </c>
      <c r="B1129" s="22" t="s">
        <v>13</v>
      </c>
      <c r="C1129" s="22" t="s">
        <v>14</v>
      </c>
      <c r="D1129" s="22" t="s">
        <v>215</v>
      </c>
      <c r="E1129" s="22" t="s">
        <v>216</v>
      </c>
      <c r="F1129" s="22" t="s">
        <v>33</v>
      </c>
      <c r="G1129" s="23">
        <v>500</v>
      </c>
      <c r="H1129" s="5">
        <v>45552</v>
      </c>
      <c r="I1129" s="23" t="s">
        <v>155</v>
      </c>
      <c r="J1129" s="23" t="s">
        <v>156</v>
      </c>
      <c r="K1129" s="22">
        <v>352407897</v>
      </c>
      <c r="L1129" s="6" t="s">
        <v>370</v>
      </c>
    </row>
    <row r="1130" spans="1:12" customFormat="1" ht="14.4" x14ac:dyDescent="0.3">
      <c r="A1130" s="1" t="s">
        <v>12</v>
      </c>
      <c r="B1130" s="1" t="s">
        <v>13</v>
      </c>
      <c r="C1130" s="2" t="s">
        <v>14</v>
      </c>
      <c r="D1130" s="1" t="s">
        <v>257</v>
      </c>
      <c r="E1130" s="7" t="s">
        <v>258</v>
      </c>
      <c r="F1130" s="7" t="s">
        <v>33</v>
      </c>
      <c r="G1130" s="3">
        <v>3200</v>
      </c>
      <c r="H1130" s="5">
        <v>45552</v>
      </c>
      <c r="I1130" s="3" t="s">
        <v>88</v>
      </c>
      <c r="J1130" s="3" t="s">
        <v>59</v>
      </c>
      <c r="K1130" s="24">
        <v>352404898</v>
      </c>
      <c r="L1130" s="6" t="s">
        <v>371</v>
      </c>
    </row>
    <row r="1131" spans="1:12" customFormat="1" ht="14.4" x14ac:dyDescent="0.3">
      <c r="A1131" s="1" t="s">
        <v>12</v>
      </c>
      <c r="B1131" s="1" t="s">
        <v>13</v>
      </c>
      <c r="C1131" s="2" t="s">
        <v>14</v>
      </c>
      <c r="D1131" s="1" t="s">
        <v>31</v>
      </c>
      <c r="E1131" s="1" t="s">
        <v>32</v>
      </c>
      <c r="F1131" s="1" t="s">
        <v>33</v>
      </c>
      <c r="G1131" s="3">
        <v>5250</v>
      </c>
      <c r="H1131" s="5">
        <v>45552</v>
      </c>
      <c r="I1131" s="3" t="s">
        <v>78</v>
      </c>
      <c r="J1131" s="3" t="s">
        <v>79</v>
      </c>
      <c r="K1131" s="24">
        <v>352404899</v>
      </c>
      <c r="L1131" s="6" t="s">
        <v>371</v>
      </c>
    </row>
    <row r="1132" spans="1:12" s="25" customFormat="1" ht="14.4" x14ac:dyDescent="0.3">
      <c r="A1132" s="22" t="s">
        <v>12</v>
      </c>
      <c r="B1132" s="22" t="s">
        <v>13</v>
      </c>
      <c r="C1132" s="22" t="s">
        <v>14</v>
      </c>
      <c r="D1132" s="22" t="s">
        <v>215</v>
      </c>
      <c r="E1132" s="22" t="s">
        <v>216</v>
      </c>
      <c r="F1132" s="22" t="s">
        <v>33</v>
      </c>
      <c r="G1132" s="23">
        <v>500</v>
      </c>
      <c r="H1132" s="5">
        <v>45553</v>
      </c>
      <c r="I1132" s="23" t="s">
        <v>155</v>
      </c>
      <c r="J1132" s="23" t="s">
        <v>156</v>
      </c>
      <c r="K1132" s="22">
        <v>352404932</v>
      </c>
      <c r="L1132" s="6" t="s">
        <v>372</v>
      </c>
    </row>
    <row r="1133" spans="1:12" customFormat="1" ht="14.4" x14ac:dyDescent="0.3">
      <c r="A1133" s="1" t="s">
        <v>12</v>
      </c>
      <c r="B1133" s="1" t="s">
        <v>13</v>
      </c>
      <c r="C1133" s="2" t="s">
        <v>14</v>
      </c>
      <c r="D1133" s="1" t="s">
        <v>343</v>
      </c>
      <c r="E1133" s="1" t="s">
        <v>344</v>
      </c>
      <c r="F1133" s="1" t="s">
        <v>345</v>
      </c>
      <c r="G1133" s="3">
        <v>5250</v>
      </c>
      <c r="H1133" s="5">
        <v>45553</v>
      </c>
      <c r="I1133" s="3" t="s">
        <v>90</v>
      </c>
      <c r="J1133" s="3" t="s">
        <v>76</v>
      </c>
      <c r="K1133" s="24">
        <v>352404935</v>
      </c>
      <c r="L1133" s="6" t="s">
        <v>373</v>
      </c>
    </row>
    <row r="1134" spans="1:12" customFormat="1" ht="14.4" x14ac:dyDescent="0.3">
      <c r="A1134" s="10" t="s">
        <v>12</v>
      </c>
      <c r="B1134" s="10" t="s">
        <v>13</v>
      </c>
      <c r="C1134" s="10" t="s">
        <v>14</v>
      </c>
      <c r="D1134" s="10" t="s">
        <v>376</v>
      </c>
      <c r="E1134" s="11">
        <v>33007800780</v>
      </c>
      <c r="F1134" s="10" t="s">
        <v>33</v>
      </c>
      <c r="G1134" s="13">
        <v>500</v>
      </c>
      <c r="H1134" s="12">
        <v>45554</v>
      </c>
      <c r="I1134" s="13" t="s">
        <v>125</v>
      </c>
      <c r="J1134" s="13" t="s">
        <v>126</v>
      </c>
      <c r="K1134" s="27">
        <v>352404939</v>
      </c>
      <c r="L1134" s="14" t="s">
        <v>378</v>
      </c>
    </row>
    <row r="1135" spans="1:12" customFormat="1" ht="14.4" x14ac:dyDescent="0.3">
      <c r="A1135" s="10" t="s">
        <v>12</v>
      </c>
      <c r="B1135" s="10" t="s">
        <v>13</v>
      </c>
      <c r="C1135" s="10" t="s">
        <v>14</v>
      </c>
      <c r="D1135" s="10" t="s">
        <v>376</v>
      </c>
      <c r="E1135" s="11">
        <v>33007800780</v>
      </c>
      <c r="F1135" s="10" t="s">
        <v>33</v>
      </c>
      <c r="G1135" s="13">
        <v>500</v>
      </c>
      <c r="H1135" s="12">
        <v>45554</v>
      </c>
      <c r="I1135" s="13" t="s">
        <v>125</v>
      </c>
      <c r="J1135" s="13" t="s">
        <v>126</v>
      </c>
      <c r="K1135" s="14">
        <v>352404926</v>
      </c>
      <c r="L1135" s="14" t="s">
        <v>379</v>
      </c>
    </row>
    <row r="1136" spans="1:12" customFormat="1" ht="14.4" x14ac:dyDescent="0.3">
      <c r="A1136" s="10" t="s">
        <v>12</v>
      </c>
      <c r="B1136" s="10" t="s">
        <v>13</v>
      </c>
      <c r="C1136" s="10" t="s">
        <v>14</v>
      </c>
      <c r="D1136" s="10" t="s">
        <v>376</v>
      </c>
      <c r="E1136" s="11">
        <v>33007800780</v>
      </c>
      <c r="F1136" s="10" t="s">
        <v>33</v>
      </c>
      <c r="G1136" s="13">
        <v>500</v>
      </c>
      <c r="H1136" s="12">
        <v>45554</v>
      </c>
      <c r="I1136" s="13" t="s">
        <v>125</v>
      </c>
      <c r="J1136" s="13" t="s">
        <v>126</v>
      </c>
      <c r="K1136" s="14">
        <v>352404987</v>
      </c>
      <c r="L1136" s="14" t="s">
        <v>377</v>
      </c>
    </row>
    <row r="1137" spans="1:12" s="25" customFormat="1" ht="14.4" x14ac:dyDescent="0.3">
      <c r="A1137" s="22" t="s">
        <v>12</v>
      </c>
      <c r="B1137" s="22" t="s">
        <v>13</v>
      </c>
      <c r="C1137" s="22" t="s">
        <v>14</v>
      </c>
      <c r="D1137" s="22" t="s">
        <v>215</v>
      </c>
      <c r="E1137" s="22" t="s">
        <v>216</v>
      </c>
      <c r="F1137" s="22" t="s">
        <v>33</v>
      </c>
      <c r="G1137" s="23">
        <v>500</v>
      </c>
      <c r="H1137" s="5">
        <v>45554</v>
      </c>
      <c r="I1137" s="23" t="s">
        <v>155</v>
      </c>
      <c r="J1137" s="23" t="s">
        <v>156</v>
      </c>
      <c r="K1137" s="22">
        <v>352404975</v>
      </c>
      <c r="L1137" s="6" t="s">
        <v>374</v>
      </c>
    </row>
    <row r="1138" spans="1:12" customFormat="1" ht="14.4" x14ac:dyDescent="0.3">
      <c r="A1138" s="1" t="s">
        <v>12</v>
      </c>
      <c r="B1138" s="1" t="s">
        <v>13</v>
      </c>
      <c r="C1138" s="2" t="s">
        <v>14</v>
      </c>
      <c r="D1138" s="1" t="s">
        <v>36</v>
      </c>
      <c r="E1138" s="1" t="s">
        <v>37</v>
      </c>
      <c r="F1138" s="1" t="s">
        <v>38</v>
      </c>
      <c r="G1138" s="3">
        <v>5000</v>
      </c>
      <c r="H1138" s="5">
        <v>45554</v>
      </c>
      <c r="I1138" s="3" t="s">
        <v>92</v>
      </c>
      <c r="J1138" s="3" t="s">
        <v>40</v>
      </c>
      <c r="K1138" s="24">
        <v>352404962</v>
      </c>
      <c r="L1138" s="6" t="s">
        <v>375</v>
      </c>
    </row>
    <row r="1139" spans="1:12" customFormat="1" ht="14.4" x14ac:dyDescent="0.3">
      <c r="A1139" s="1" t="s">
        <v>12</v>
      </c>
      <c r="B1139" s="1" t="s">
        <v>13</v>
      </c>
      <c r="C1139" s="2" t="s">
        <v>14</v>
      </c>
      <c r="D1139" s="1" t="s">
        <v>15</v>
      </c>
      <c r="E1139" s="1" t="s">
        <v>16</v>
      </c>
      <c r="F1139" s="1" t="s">
        <v>17</v>
      </c>
      <c r="G1139" s="3">
        <v>2000</v>
      </c>
      <c r="H1139" s="5">
        <v>45555</v>
      </c>
      <c r="I1139" s="3" t="s">
        <v>85</v>
      </c>
      <c r="J1139" s="3" t="s">
        <v>19</v>
      </c>
      <c r="K1139" s="24">
        <v>352404997</v>
      </c>
      <c r="L1139" s="6" t="s">
        <v>380</v>
      </c>
    </row>
    <row r="1140" spans="1:12" s="25" customFormat="1" ht="14.4" x14ac:dyDescent="0.3">
      <c r="A1140" s="22" t="s">
        <v>12</v>
      </c>
      <c r="B1140" s="22" t="s">
        <v>13</v>
      </c>
      <c r="C1140" s="22" t="s">
        <v>14</v>
      </c>
      <c r="D1140" s="22" t="s">
        <v>215</v>
      </c>
      <c r="E1140" s="22" t="s">
        <v>216</v>
      </c>
      <c r="F1140" s="22" t="s">
        <v>33</v>
      </c>
      <c r="G1140" s="23">
        <v>500</v>
      </c>
      <c r="H1140" s="5">
        <v>45555</v>
      </c>
      <c r="I1140" s="23" t="s">
        <v>155</v>
      </c>
      <c r="J1140" s="23" t="s">
        <v>156</v>
      </c>
      <c r="K1140" s="22">
        <v>352405016</v>
      </c>
      <c r="L1140" s="6" t="s">
        <v>382</v>
      </c>
    </row>
    <row r="1141" spans="1:12" customFormat="1" ht="14.4" x14ac:dyDescent="0.3">
      <c r="A1141" s="1" t="s">
        <v>12</v>
      </c>
      <c r="B1141" s="1" t="s">
        <v>13</v>
      </c>
      <c r="C1141" s="2" t="s">
        <v>14</v>
      </c>
      <c r="D1141" s="1" t="s">
        <v>257</v>
      </c>
      <c r="E1141" s="7" t="s">
        <v>258</v>
      </c>
      <c r="F1141" s="7" t="s">
        <v>33</v>
      </c>
      <c r="G1141" s="3">
        <v>5250</v>
      </c>
      <c r="H1141" s="5">
        <v>45555</v>
      </c>
      <c r="I1141" s="3" t="s">
        <v>88</v>
      </c>
      <c r="J1141" s="3" t="s">
        <v>59</v>
      </c>
      <c r="K1141" s="24">
        <v>352405020</v>
      </c>
      <c r="L1141" s="6" t="s">
        <v>383</v>
      </c>
    </row>
    <row r="1142" spans="1:12" customFormat="1" ht="14.4" x14ac:dyDescent="0.3">
      <c r="A1142" s="1" t="s">
        <v>12</v>
      </c>
      <c r="B1142" s="1" t="s">
        <v>13</v>
      </c>
      <c r="C1142" s="2" t="s">
        <v>14</v>
      </c>
      <c r="D1142" s="1" t="s">
        <v>31</v>
      </c>
      <c r="E1142" s="1" t="s">
        <v>32</v>
      </c>
      <c r="F1142" s="1" t="s">
        <v>33</v>
      </c>
      <c r="G1142" s="3">
        <v>5250</v>
      </c>
      <c r="H1142" s="5">
        <v>45555</v>
      </c>
      <c r="I1142" s="3" t="s">
        <v>78</v>
      </c>
      <c r="J1142" s="3" t="s">
        <v>79</v>
      </c>
      <c r="K1142" s="24">
        <v>352405021</v>
      </c>
      <c r="L1142" s="6" t="s">
        <v>383</v>
      </c>
    </row>
    <row r="1143" spans="1:12" customFormat="1" ht="14.4" x14ac:dyDescent="0.3">
      <c r="A1143" s="1" t="s">
        <v>12</v>
      </c>
      <c r="B1143" s="1" t="s">
        <v>13</v>
      </c>
      <c r="C1143" s="2" t="s">
        <v>14</v>
      </c>
      <c r="D1143" s="1" t="s">
        <v>48</v>
      </c>
      <c r="E1143" s="1" t="s">
        <v>49</v>
      </c>
      <c r="F1143" s="1" t="s">
        <v>50</v>
      </c>
      <c r="G1143" s="3">
        <v>5000</v>
      </c>
      <c r="H1143" s="5">
        <v>45555</v>
      </c>
      <c r="I1143" s="3" t="s">
        <v>206</v>
      </c>
      <c r="J1143" s="3" t="s">
        <v>52</v>
      </c>
      <c r="K1143" s="24">
        <v>352405008</v>
      </c>
      <c r="L1143" s="6" t="s">
        <v>384</v>
      </c>
    </row>
    <row r="1144" spans="1:12" customFormat="1" ht="14.4" x14ac:dyDescent="0.3">
      <c r="A1144" s="1" t="s">
        <v>12</v>
      </c>
      <c r="B1144" s="1" t="s">
        <v>13</v>
      </c>
      <c r="C1144" s="2" t="s">
        <v>14</v>
      </c>
      <c r="D1144" s="22" t="s">
        <v>193</v>
      </c>
      <c r="E1144" s="22" t="s">
        <v>194</v>
      </c>
      <c r="F1144" s="22" t="s">
        <v>195</v>
      </c>
      <c r="G1144" s="3">
        <v>5000</v>
      </c>
      <c r="H1144" s="5">
        <v>45555</v>
      </c>
      <c r="I1144" s="3" t="s">
        <v>93</v>
      </c>
      <c r="J1144" s="3" t="s">
        <v>34</v>
      </c>
      <c r="K1144" s="24">
        <v>352405009</v>
      </c>
      <c r="L1144" s="6" t="s">
        <v>384</v>
      </c>
    </row>
    <row r="1145" spans="1:12" customFormat="1" ht="14.4" x14ac:dyDescent="0.3">
      <c r="A1145" s="1" t="s">
        <v>12</v>
      </c>
      <c r="B1145" s="1" t="s">
        <v>13</v>
      </c>
      <c r="C1145" s="2" t="s">
        <v>14</v>
      </c>
      <c r="D1145" s="1" t="s">
        <v>376</v>
      </c>
      <c r="E1145" s="7" t="s">
        <v>385</v>
      </c>
      <c r="F1145" s="1" t="s">
        <v>33</v>
      </c>
      <c r="G1145" s="3">
        <v>500</v>
      </c>
      <c r="H1145" s="5">
        <v>45555</v>
      </c>
      <c r="I1145" s="3" t="s">
        <v>125</v>
      </c>
      <c r="J1145" s="3" t="s">
        <v>126</v>
      </c>
      <c r="K1145" s="26">
        <v>352404939</v>
      </c>
      <c r="L1145" s="6" t="s">
        <v>378</v>
      </c>
    </row>
    <row r="1146" spans="1:12" customFormat="1" ht="14.4" x14ac:dyDescent="0.3">
      <c r="A1146" s="1" t="s">
        <v>12</v>
      </c>
      <c r="B1146" s="1" t="s">
        <v>13</v>
      </c>
      <c r="C1146" s="2" t="s">
        <v>14</v>
      </c>
      <c r="D1146" s="1" t="s">
        <v>376</v>
      </c>
      <c r="E1146" s="7" t="s">
        <v>385</v>
      </c>
      <c r="F1146" s="1" t="s">
        <v>33</v>
      </c>
      <c r="G1146" s="3">
        <v>500</v>
      </c>
      <c r="H1146" s="5">
        <v>45555</v>
      </c>
      <c r="I1146" s="3" t="s">
        <v>125</v>
      </c>
      <c r="J1146" s="3" t="s">
        <v>126</v>
      </c>
      <c r="K1146" s="24">
        <v>352404926</v>
      </c>
      <c r="L1146" s="6" t="s">
        <v>379</v>
      </c>
    </row>
    <row r="1147" spans="1:12" customFormat="1" ht="14.4" x14ac:dyDescent="0.3">
      <c r="A1147" s="1" t="s">
        <v>12</v>
      </c>
      <c r="B1147" s="1" t="s">
        <v>13</v>
      </c>
      <c r="C1147" s="2" t="s">
        <v>14</v>
      </c>
      <c r="D1147" s="1" t="s">
        <v>376</v>
      </c>
      <c r="E1147" s="7" t="s">
        <v>385</v>
      </c>
      <c r="F1147" s="1" t="s">
        <v>33</v>
      </c>
      <c r="G1147" s="3">
        <v>500</v>
      </c>
      <c r="H1147" s="5">
        <v>45555</v>
      </c>
      <c r="I1147" s="3" t="s">
        <v>125</v>
      </c>
      <c r="J1147" s="3" t="s">
        <v>126</v>
      </c>
      <c r="K1147" s="24">
        <v>352404987</v>
      </c>
      <c r="L1147" s="6" t="s">
        <v>377</v>
      </c>
    </row>
    <row r="1148" spans="1:12" customFormat="1" ht="14.4" x14ac:dyDescent="0.3">
      <c r="A1148" s="1" t="s">
        <v>12</v>
      </c>
      <c r="B1148" s="1" t="s">
        <v>13</v>
      </c>
      <c r="C1148" s="2" t="s">
        <v>14</v>
      </c>
      <c r="D1148" s="1" t="s">
        <v>376</v>
      </c>
      <c r="E1148" s="7" t="s">
        <v>385</v>
      </c>
      <c r="F1148" s="1" t="s">
        <v>33</v>
      </c>
      <c r="G1148" s="3">
        <v>500</v>
      </c>
      <c r="H1148" s="5">
        <v>45555</v>
      </c>
      <c r="I1148" s="3" t="s">
        <v>125</v>
      </c>
      <c r="J1148" s="3" t="s">
        <v>126</v>
      </c>
      <c r="K1148" s="24">
        <v>352405002</v>
      </c>
      <c r="L1148" s="6" t="s">
        <v>381</v>
      </c>
    </row>
    <row r="1149" spans="1:12" s="25" customFormat="1" ht="14.4" x14ac:dyDescent="0.3">
      <c r="A1149" s="22" t="s">
        <v>12</v>
      </c>
      <c r="B1149" s="22" t="s">
        <v>13</v>
      </c>
      <c r="C1149" s="22" t="s">
        <v>14</v>
      </c>
      <c r="D1149" s="22" t="s">
        <v>215</v>
      </c>
      <c r="E1149" s="22" t="s">
        <v>216</v>
      </c>
      <c r="F1149" s="22" t="s">
        <v>33</v>
      </c>
      <c r="G1149" s="23">
        <v>500</v>
      </c>
      <c r="H1149" s="5">
        <v>45556</v>
      </c>
      <c r="I1149" s="23" t="s">
        <v>155</v>
      </c>
      <c r="J1149" s="23" t="s">
        <v>156</v>
      </c>
      <c r="K1149" s="22">
        <v>352405047</v>
      </c>
      <c r="L1149" s="6" t="s">
        <v>386</v>
      </c>
    </row>
    <row r="1150" spans="1:12" s="25" customFormat="1" ht="14.4" x14ac:dyDescent="0.3">
      <c r="A1150" s="22" t="s">
        <v>12</v>
      </c>
      <c r="B1150" s="22" t="s">
        <v>13</v>
      </c>
      <c r="C1150" s="22" t="s">
        <v>14</v>
      </c>
      <c r="D1150" s="22" t="s">
        <v>215</v>
      </c>
      <c r="E1150" s="22" t="s">
        <v>216</v>
      </c>
      <c r="F1150" s="22" t="s">
        <v>33</v>
      </c>
      <c r="G1150" s="23">
        <v>500</v>
      </c>
      <c r="H1150" s="5">
        <v>45556</v>
      </c>
      <c r="I1150" s="23" t="s">
        <v>155</v>
      </c>
      <c r="J1150" s="23" t="s">
        <v>156</v>
      </c>
      <c r="K1150" s="22">
        <v>352405055</v>
      </c>
      <c r="L1150" s="6" t="s">
        <v>387</v>
      </c>
    </row>
    <row r="1151" spans="1:12" s="25" customFormat="1" ht="14.4" x14ac:dyDescent="0.3">
      <c r="A1151" s="22" t="s">
        <v>12</v>
      </c>
      <c r="B1151" s="22" t="s">
        <v>13</v>
      </c>
      <c r="C1151" s="22" t="s">
        <v>14</v>
      </c>
      <c r="D1151" s="22" t="s">
        <v>215</v>
      </c>
      <c r="E1151" s="22" t="s">
        <v>216</v>
      </c>
      <c r="F1151" s="22" t="s">
        <v>33</v>
      </c>
      <c r="G1151" s="23">
        <v>500</v>
      </c>
      <c r="H1151" s="5">
        <v>45557</v>
      </c>
      <c r="I1151" s="23" t="s">
        <v>155</v>
      </c>
      <c r="J1151" s="23" t="s">
        <v>156</v>
      </c>
      <c r="K1151" s="22">
        <v>352405096</v>
      </c>
      <c r="L1151" s="6" t="s">
        <v>388</v>
      </c>
    </row>
    <row r="1152" spans="1:12" customFormat="1" ht="14.4" x14ac:dyDescent="0.3">
      <c r="A1152" s="1" t="s">
        <v>12</v>
      </c>
      <c r="B1152" s="1" t="s">
        <v>13</v>
      </c>
      <c r="C1152" s="2" t="s">
        <v>14</v>
      </c>
      <c r="D1152" s="1" t="s">
        <v>257</v>
      </c>
      <c r="E1152" s="7" t="s">
        <v>258</v>
      </c>
      <c r="F1152" s="7" t="s">
        <v>33</v>
      </c>
      <c r="G1152" s="3">
        <v>3000</v>
      </c>
      <c r="H1152" s="5">
        <v>45557</v>
      </c>
      <c r="I1152" s="3" t="s">
        <v>88</v>
      </c>
      <c r="J1152" s="3" t="s">
        <v>59</v>
      </c>
      <c r="K1152" s="24">
        <v>352405098</v>
      </c>
      <c r="L1152" s="6" t="s">
        <v>389</v>
      </c>
    </row>
    <row r="1153" spans="1:12" customFormat="1" ht="14.4" x14ac:dyDescent="0.3">
      <c r="A1153" s="1" t="s">
        <v>12</v>
      </c>
      <c r="B1153" s="1" t="s">
        <v>13</v>
      </c>
      <c r="C1153" s="2" t="s">
        <v>14</v>
      </c>
      <c r="D1153" s="1" t="s">
        <v>31</v>
      </c>
      <c r="E1153" s="1" t="s">
        <v>32</v>
      </c>
      <c r="F1153" s="1" t="s">
        <v>33</v>
      </c>
      <c r="G1153" s="3">
        <v>5000</v>
      </c>
      <c r="H1153" s="5">
        <v>45557</v>
      </c>
      <c r="I1153" s="3" t="s">
        <v>78</v>
      </c>
      <c r="J1153" s="3" t="s">
        <v>79</v>
      </c>
      <c r="K1153" s="24">
        <v>352405099</v>
      </c>
      <c r="L1153" s="6" t="s">
        <v>35</v>
      </c>
    </row>
    <row r="1154" spans="1:12" customFormat="1" ht="14.4" x14ac:dyDescent="0.3">
      <c r="A1154" s="1" t="s">
        <v>12</v>
      </c>
      <c r="B1154" s="1" t="s">
        <v>13</v>
      </c>
      <c r="C1154" s="2" t="s">
        <v>14</v>
      </c>
      <c r="D1154" s="1" t="s">
        <v>343</v>
      </c>
      <c r="E1154" s="1" t="s">
        <v>344</v>
      </c>
      <c r="F1154" s="1" t="s">
        <v>345</v>
      </c>
      <c r="G1154" s="3">
        <v>5250</v>
      </c>
      <c r="H1154" s="5">
        <v>45557</v>
      </c>
      <c r="I1154" s="3" t="s">
        <v>90</v>
      </c>
      <c r="J1154" s="3" t="s">
        <v>76</v>
      </c>
      <c r="K1154" s="24">
        <v>352405106</v>
      </c>
      <c r="L1154" s="6" t="s">
        <v>390</v>
      </c>
    </row>
    <row r="1155" spans="1:12" s="25" customFormat="1" ht="14.4" x14ac:dyDescent="0.3">
      <c r="A1155" s="22" t="s">
        <v>12</v>
      </c>
      <c r="B1155" s="22" t="s">
        <v>13</v>
      </c>
      <c r="C1155" s="22" t="s">
        <v>14</v>
      </c>
      <c r="D1155" s="22" t="s">
        <v>215</v>
      </c>
      <c r="E1155" s="22" t="s">
        <v>216</v>
      </c>
      <c r="F1155" s="22" t="s">
        <v>33</v>
      </c>
      <c r="G1155" s="23">
        <v>500</v>
      </c>
      <c r="H1155" s="5">
        <v>45559</v>
      </c>
      <c r="I1155" s="23" t="s">
        <v>155</v>
      </c>
      <c r="J1155" s="23" t="s">
        <v>156</v>
      </c>
      <c r="K1155" s="22">
        <v>352405137</v>
      </c>
      <c r="L1155" s="6" t="s">
        <v>391</v>
      </c>
    </row>
    <row r="1156" spans="1:12" customFormat="1" ht="14.4" x14ac:dyDescent="0.3">
      <c r="A1156" s="1" t="s">
        <v>12</v>
      </c>
      <c r="B1156" s="1" t="s">
        <v>13</v>
      </c>
      <c r="C1156" s="2" t="s">
        <v>14</v>
      </c>
      <c r="D1156" s="1" t="s">
        <v>48</v>
      </c>
      <c r="E1156" s="1" t="s">
        <v>49</v>
      </c>
      <c r="F1156" s="1" t="s">
        <v>50</v>
      </c>
      <c r="G1156" s="3">
        <v>6200</v>
      </c>
      <c r="H1156" s="5">
        <v>45559</v>
      </c>
      <c r="I1156" s="3" t="s">
        <v>206</v>
      </c>
      <c r="J1156" s="3" t="s">
        <v>52</v>
      </c>
      <c r="K1156" s="24">
        <v>352405143</v>
      </c>
      <c r="L1156" s="6" t="s">
        <v>393</v>
      </c>
    </row>
    <row r="1157" spans="1:12" customFormat="1" ht="14.4" x14ac:dyDescent="0.3">
      <c r="A1157" s="1" t="s">
        <v>12</v>
      </c>
      <c r="B1157" s="1" t="s">
        <v>13</v>
      </c>
      <c r="C1157" s="2" t="s">
        <v>14</v>
      </c>
      <c r="D1157" s="1" t="s">
        <v>31</v>
      </c>
      <c r="E1157" s="1" t="s">
        <v>32</v>
      </c>
      <c r="F1157" s="1" t="s">
        <v>33</v>
      </c>
      <c r="G1157" s="3">
        <v>5000</v>
      </c>
      <c r="H1157" s="5">
        <v>45559</v>
      </c>
      <c r="I1157" s="3" t="s">
        <v>78</v>
      </c>
      <c r="J1157" s="3" t="s">
        <v>79</v>
      </c>
      <c r="K1157" s="24">
        <v>352405144</v>
      </c>
      <c r="L1157" s="6" t="s">
        <v>393</v>
      </c>
    </row>
    <row r="1158" spans="1:12" customFormat="1" ht="14.4" x14ac:dyDescent="0.3">
      <c r="A1158" s="1" t="s">
        <v>12</v>
      </c>
      <c r="B1158" s="1" t="s">
        <v>13</v>
      </c>
      <c r="C1158" s="2" t="s">
        <v>14</v>
      </c>
      <c r="D1158" s="1" t="s">
        <v>257</v>
      </c>
      <c r="E1158" s="7" t="s">
        <v>258</v>
      </c>
      <c r="F1158" s="7" t="s">
        <v>33</v>
      </c>
      <c r="G1158" s="3">
        <v>5250</v>
      </c>
      <c r="H1158" s="5">
        <v>45559</v>
      </c>
      <c r="I1158" s="3" t="s">
        <v>88</v>
      </c>
      <c r="J1158" s="3" t="s">
        <v>59</v>
      </c>
      <c r="K1158" s="24">
        <v>352405157</v>
      </c>
      <c r="L1158" s="6" t="s">
        <v>392</v>
      </c>
    </row>
    <row r="1159" spans="1:12" s="25" customFormat="1" ht="14.4" x14ac:dyDescent="0.3">
      <c r="A1159" s="22" t="s">
        <v>12</v>
      </c>
      <c r="B1159" s="22" t="s">
        <v>13</v>
      </c>
      <c r="C1159" s="22" t="s">
        <v>14</v>
      </c>
      <c r="D1159" s="22" t="s">
        <v>215</v>
      </c>
      <c r="E1159" s="22" t="s">
        <v>216</v>
      </c>
      <c r="F1159" s="22" t="s">
        <v>33</v>
      </c>
      <c r="G1159" s="23">
        <v>500</v>
      </c>
      <c r="H1159" s="5">
        <v>45560</v>
      </c>
      <c r="I1159" s="23" t="s">
        <v>155</v>
      </c>
      <c r="J1159" s="23" t="s">
        <v>156</v>
      </c>
      <c r="K1159" s="22">
        <v>352405173</v>
      </c>
      <c r="L1159" s="6" t="s">
        <v>394</v>
      </c>
    </row>
    <row r="1160" spans="1:12" customFormat="1" ht="14.4" x14ac:dyDescent="0.3">
      <c r="A1160" s="1" t="s">
        <v>12</v>
      </c>
      <c r="B1160" s="1" t="s">
        <v>13</v>
      </c>
      <c r="C1160" s="2" t="s">
        <v>14</v>
      </c>
      <c r="D1160" s="1" t="s">
        <v>343</v>
      </c>
      <c r="E1160" s="1" t="s">
        <v>344</v>
      </c>
      <c r="F1160" s="1" t="s">
        <v>345</v>
      </c>
      <c r="G1160" s="3">
        <v>4750</v>
      </c>
      <c r="H1160" s="5">
        <v>45560</v>
      </c>
      <c r="I1160" s="3" t="s">
        <v>90</v>
      </c>
      <c r="J1160" s="3" t="s">
        <v>76</v>
      </c>
      <c r="K1160" s="24">
        <v>352405176</v>
      </c>
      <c r="L1160" s="6" t="s">
        <v>395</v>
      </c>
    </row>
    <row r="1161" spans="1:12" customFormat="1" ht="14.4" x14ac:dyDescent="0.3">
      <c r="A1161" s="1" t="s">
        <v>12</v>
      </c>
      <c r="B1161" s="1" t="s">
        <v>13</v>
      </c>
      <c r="C1161" s="2" t="s">
        <v>14</v>
      </c>
      <c r="D1161" s="1" t="s">
        <v>376</v>
      </c>
      <c r="E1161" s="7" t="s">
        <v>385</v>
      </c>
      <c r="F1161" s="1" t="s">
        <v>33</v>
      </c>
      <c r="G1161" s="3">
        <v>500</v>
      </c>
      <c r="H1161" s="5">
        <v>45560</v>
      </c>
      <c r="I1161" s="3" t="s">
        <v>125</v>
      </c>
      <c r="J1161" s="3" t="s">
        <v>126</v>
      </c>
      <c r="K1161" s="24">
        <v>352405179</v>
      </c>
      <c r="L1161" s="6" t="s">
        <v>396</v>
      </c>
    </row>
    <row r="1162" spans="1:12" customFormat="1" ht="14.4" x14ac:dyDescent="0.3">
      <c r="A1162" s="1" t="s">
        <v>12</v>
      </c>
      <c r="B1162" s="1" t="s">
        <v>13</v>
      </c>
      <c r="C1162" s="2" t="s">
        <v>14</v>
      </c>
      <c r="D1162" s="1" t="s">
        <v>48</v>
      </c>
      <c r="E1162" s="1" t="s">
        <v>49</v>
      </c>
      <c r="F1162" s="1" t="s">
        <v>50</v>
      </c>
      <c r="G1162" s="3">
        <v>1000</v>
      </c>
      <c r="H1162" s="5">
        <v>45560</v>
      </c>
      <c r="I1162" s="3" t="s">
        <v>206</v>
      </c>
      <c r="J1162" s="3" t="s">
        <v>52</v>
      </c>
      <c r="K1162" s="24">
        <v>352405220</v>
      </c>
      <c r="L1162" s="6" t="s">
        <v>397</v>
      </c>
    </row>
    <row r="1163" spans="1:12" customFormat="1" ht="14.4" x14ac:dyDescent="0.3">
      <c r="A1163" s="1" t="s">
        <v>12</v>
      </c>
      <c r="B1163" s="1" t="s">
        <v>13</v>
      </c>
      <c r="C1163" s="2" t="s">
        <v>14</v>
      </c>
      <c r="D1163" s="1" t="s">
        <v>152</v>
      </c>
      <c r="E1163" s="1" t="s">
        <v>153</v>
      </c>
      <c r="F1163" s="1" t="s">
        <v>154</v>
      </c>
      <c r="G1163" s="3">
        <v>5000</v>
      </c>
      <c r="H1163" s="5">
        <v>45560</v>
      </c>
      <c r="I1163" s="3" t="s">
        <v>83</v>
      </c>
      <c r="J1163" s="3" t="s">
        <v>84</v>
      </c>
      <c r="K1163" s="24">
        <v>352405208</v>
      </c>
      <c r="L1163" s="6" t="s">
        <v>398</v>
      </c>
    </row>
    <row r="1164" spans="1:12" customFormat="1" ht="14.4" x14ac:dyDescent="0.3">
      <c r="A1164" s="1" t="s">
        <v>12</v>
      </c>
      <c r="B1164" s="1" t="s">
        <v>13</v>
      </c>
      <c r="C1164" s="2" t="s">
        <v>14</v>
      </c>
      <c r="D1164" s="3" t="s">
        <v>149</v>
      </c>
      <c r="E1164" s="18">
        <v>50100624324501</v>
      </c>
      <c r="F1164" s="3" t="s">
        <v>150</v>
      </c>
      <c r="G1164" s="3">
        <v>5000</v>
      </c>
      <c r="H1164" s="5">
        <v>45560</v>
      </c>
      <c r="I1164" s="3" t="s">
        <v>77</v>
      </c>
      <c r="J1164" s="3" t="s">
        <v>29</v>
      </c>
      <c r="K1164" s="24">
        <v>352405209</v>
      </c>
      <c r="L1164" s="6" t="s">
        <v>398</v>
      </c>
    </row>
    <row r="1165" spans="1:12" s="25" customFormat="1" ht="14.4" x14ac:dyDescent="0.3">
      <c r="A1165" s="22" t="s">
        <v>12</v>
      </c>
      <c r="B1165" s="22" t="s">
        <v>13</v>
      </c>
      <c r="C1165" s="22" t="s">
        <v>14</v>
      </c>
      <c r="D1165" s="22" t="s">
        <v>215</v>
      </c>
      <c r="E1165" s="22" t="s">
        <v>216</v>
      </c>
      <c r="F1165" s="22" t="s">
        <v>33</v>
      </c>
      <c r="G1165" s="23">
        <v>500</v>
      </c>
      <c r="H1165" s="5">
        <v>45560</v>
      </c>
      <c r="I1165" s="23" t="s">
        <v>155</v>
      </c>
      <c r="J1165" s="23" t="s">
        <v>156</v>
      </c>
      <c r="K1165" s="22">
        <v>352405221</v>
      </c>
      <c r="L1165" s="6" t="s">
        <v>399</v>
      </c>
    </row>
    <row r="1166" spans="1:12" customFormat="1" ht="14.4" x14ac:dyDescent="0.3">
      <c r="A1166" s="1" t="s">
        <v>12</v>
      </c>
      <c r="B1166" s="1" t="s">
        <v>13</v>
      </c>
      <c r="C1166" s="2" t="s">
        <v>14</v>
      </c>
      <c r="D1166" s="1" t="s">
        <v>15</v>
      </c>
      <c r="E1166" s="1" t="s">
        <v>16</v>
      </c>
      <c r="F1166" s="1" t="s">
        <v>17</v>
      </c>
      <c r="G1166" s="3">
        <v>4000</v>
      </c>
      <c r="H1166" s="5">
        <v>45560</v>
      </c>
      <c r="I1166" s="3" t="s">
        <v>85</v>
      </c>
      <c r="J1166" s="3" t="s">
        <v>19</v>
      </c>
      <c r="K1166" s="24">
        <v>352405222</v>
      </c>
      <c r="L1166" s="6" t="s">
        <v>400</v>
      </c>
    </row>
    <row r="1167" spans="1:12" customFormat="1" ht="14.4" x14ac:dyDescent="0.3">
      <c r="A1167" s="1" t="s">
        <v>12</v>
      </c>
      <c r="B1167" s="1" t="s">
        <v>13</v>
      </c>
      <c r="C1167" s="2" t="s">
        <v>14</v>
      </c>
      <c r="D1167" s="1" t="s">
        <v>41</v>
      </c>
      <c r="E1167" s="1" t="s">
        <v>61</v>
      </c>
      <c r="F1167" s="1" t="s">
        <v>62</v>
      </c>
      <c r="G1167" s="3">
        <v>1300</v>
      </c>
      <c r="H1167" s="5">
        <v>45561</v>
      </c>
      <c r="I1167" s="3" t="s">
        <v>204</v>
      </c>
      <c r="J1167" s="3" t="s">
        <v>205</v>
      </c>
      <c r="K1167" s="24">
        <v>352405226</v>
      </c>
      <c r="L1167" s="6" t="s">
        <v>401</v>
      </c>
    </row>
    <row r="1168" spans="1:12" s="25" customFormat="1" ht="14.4" x14ac:dyDescent="0.3">
      <c r="A1168" s="22" t="s">
        <v>12</v>
      </c>
      <c r="B1168" s="22" t="s">
        <v>13</v>
      </c>
      <c r="C1168" s="22" t="s">
        <v>14</v>
      </c>
      <c r="D1168" s="22" t="s">
        <v>215</v>
      </c>
      <c r="E1168" s="22" t="s">
        <v>216</v>
      </c>
      <c r="F1168" s="22" t="s">
        <v>33</v>
      </c>
      <c r="G1168" s="23">
        <v>500</v>
      </c>
      <c r="H1168" s="5">
        <v>45561</v>
      </c>
      <c r="I1168" s="23" t="s">
        <v>155</v>
      </c>
      <c r="J1168" s="23" t="s">
        <v>156</v>
      </c>
      <c r="K1168" s="22">
        <v>352405233</v>
      </c>
      <c r="L1168" s="6" t="s">
        <v>402</v>
      </c>
    </row>
    <row r="1169" spans="1:12" customFormat="1" ht="14.4" x14ac:dyDescent="0.3">
      <c r="A1169" s="1" t="s">
        <v>12</v>
      </c>
      <c r="B1169" s="1" t="s">
        <v>13</v>
      </c>
      <c r="C1169" s="2" t="s">
        <v>14</v>
      </c>
      <c r="D1169" s="1" t="s">
        <v>31</v>
      </c>
      <c r="E1169" s="1" t="s">
        <v>32</v>
      </c>
      <c r="F1169" s="1" t="s">
        <v>33</v>
      </c>
      <c r="G1169" s="3">
        <v>5250</v>
      </c>
      <c r="H1169" s="5">
        <v>45561</v>
      </c>
      <c r="I1169" s="3" t="s">
        <v>78</v>
      </c>
      <c r="J1169" s="3" t="s">
        <v>79</v>
      </c>
      <c r="K1169" s="24">
        <v>352405248</v>
      </c>
      <c r="L1169" s="6" t="s">
        <v>403</v>
      </c>
    </row>
    <row r="1170" spans="1:12" customFormat="1" ht="14.4" x14ac:dyDescent="0.3">
      <c r="A1170" s="1" t="s">
        <v>12</v>
      </c>
      <c r="B1170" s="1" t="s">
        <v>13</v>
      </c>
      <c r="C1170" s="2" t="s">
        <v>14</v>
      </c>
      <c r="D1170" s="1" t="s">
        <v>257</v>
      </c>
      <c r="E1170" s="7" t="s">
        <v>258</v>
      </c>
      <c r="F1170" s="7" t="s">
        <v>33</v>
      </c>
      <c r="G1170" s="3">
        <v>5250</v>
      </c>
      <c r="H1170" s="5">
        <v>45561</v>
      </c>
      <c r="I1170" s="3" t="s">
        <v>88</v>
      </c>
      <c r="J1170" s="3" t="s">
        <v>59</v>
      </c>
      <c r="K1170" s="24">
        <v>352405250</v>
      </c>
      <c r="L1170" s="6" t="s">
        <v>403</v>
      </c>
    </row>
    <row r="1171" spans="1:12" customFormat="1" ht="14.4" x14ac:dyDescent="0.3">
      <c r="A1171" s="1" t="s">
        <v>12</v>
      </c>
      <c r="B1171" s="1" t="s">
        <v>13</v>
      </c>
      <c r="C1171" s="2" t="s">
        <v>14</v>
      </c>
      <c r="D1171" s="3" t="s">
        <v>149</v>
      </c>
      <c r="E1171" s="18">
        <v>50100624324501</v>
      </c>
      <c r="F1171" s="3" t="s">
        <v>150</v>
      </c>
      <c r="G1171" s="3">
        <v>6200</v>
      </c>
      <c r="H1171" s="5">
        <v>45561</v>
      </c>
      <c r="I1171" s="3" t="s">
        <v>77</v>
      </c>
      <c r="J1171" s="3" t="s">
        <v>29</v>
      </c>
      <c r="K1171" s="24">
        <v>352405235</v>
      </c>
      <c r="L1171" s="6" t="s">
        <v>404</v>
      </c>
    </row>
    <row r="1172" spans="1:12" x14ac:dyDescent="0.25">
      <c r="A1172" s="30" t="s">
        <v>12</v>
      </c>
      <c r="B1172" s="30" t="s">
        <v>13</v>
      </c>
      <c r="C1172" s="30" t="s">
        <v>14</v>
      </c>
      <c r="D1172" s="30" t="s">
        <v>144</v>
      </c>
      <c r="E1172" s="39">
        <v>42542201947</v>
      </c>
      <c r="F1172" s="30" t="s">
        <v>145</v>
      </c>
      <c r="G1172" s="32">
        <v>5000</v>
      </c>
      <c r="H1172" s="33">
        <v>45561</v>
      </c>
      <c r="I1172" s="32" t="s">
        <v>146</v>
      </c>
      <c r="J1172" s="32" t="s">
        <v>147</v>
      </c>
      <c r="K1172" s="34">
        <v>352405237</v>
      </c>
      <c r="L1172" s="35" t="s">
        <v>404</v>
      </c>
    </row>
    <row r="1173" spans="1:12" customFormat="1" ht="12.6" customHeight="1" x14ac:dyDescent="0.3">
      <c r="A1173" s="1" t="s">
        <v>12</v>
      </c>
      <c r="B1173" s="1" t="s">
        <v>13</v>
      </c>
      <c r="C1173" s="2" t="s">
        <v>14</v>
      </c>
      <c r="D1173" s="1" t="s">
        <v>343</v>
      </c>
      <c r="E1173" s="1" t="s">
        <v>344</v>
      </c>
      <c r="F1173" s="1" t="s">
        <v>345</v>
      </c>
      <c r="G1173" s="3">
        <v>5000</v>
      </c>
      <c r="H1173" s="5">
        <v>45561</v>
      </c>
      <c r="I1173" s="3" t="s">
        <v>90</v>
      </c>
      <c r="J1173" s="3" t="s">
        <v>76</v>
      </c>
      <c r="K1173" s="24">
        <v>352405236</v>
      </c>
      <c r="L1173" s="6" t="s">
        <v>404</v>
      </c>
    </row>
    <row r="1174" spans="1:12" s="25" customFormat="1" ht="14.4" x14ac:dyDescent="0.3">
      <c r="A1174" s="22" t="s">
        <v>12</v>
      </c>
      <c r="B1174" s="22" t="s">
        <v>13</v>
      </c>
      <c r="C1174" s="22" t="s">
        <v>14</v>
      </c>
      <c r="D1174" s="22" t="s">
        <v>215</v>
      </c>
      <c r="E1174" s="22" t="s">
        <v>216</v>
      </c>
      <c r="F1174" s="22" t="s">
        <v>33</v>
      </c>
      <c r="G1174" s="23">
        <v>500</v>
      </c>
      <c r="H1174" s="5">
        <v>45562</v>
      </c>
      <c r="I1174" s="23" t="s">
        <v>155</v>
      </c>
      <c r="J1174" s="23" t="s">
        <v>156</v>
      </c>
      <c r="K1174" s="22">
        <v>352405284</v>
      </c>
      <c r="L1174" s="6" t="s">
        <v>405</v>
      </c>
    </row>
    <row r="1175" spans="1:12" customFormat="1" ht="14.4" x14ac:dyDescent="0.3">
      <c r="A1175" s="1" t="s">
        <v>12</v>
      </c>
      <c r="B1175" s="1" t="s">
        <v>13</v>
      </c>
      <c r="C1175" s="2" t="s">
        <v>14</v>
      </c>
      <c r="D1175" s="1" t="s">
        <v>343</v>
      </c>
      <c r="E1175" s="1" t="s">
        <v>344</v>
      </c>
      <c r="F1175" s="1" t="s">
        <v>345</v>
      </c>
      <c r="G1175" s="3">
        <v>6200</v>
      </c>
      <c r="H1175" s="5">
        <v>45562</v>
      </c>
      <c r="I1175" s="3" t="s">
        <v>90</v>
      </c>
      <c r="J1175" s="3" t="s">
        <v>76</v>
      </c>
      <c r="K1175" s="24">
        <v>352405298</v>
      </c>
      <c r="L1175" s="6" t="s">
        <v>406</v>
      </c>
    </row>
    <row r="1176" spans="1:12" s="25" customFormat="1" ht="14.4" x14ac:dyDescent="0.3">
      <c r="A1176" s="22" t="s">
        <v>12</v>
      </c>
      <c r="B1176" s="22" t="s">
        <v>13</v>
      </c>
      <c r="C1176" s="22" t="s">
        <v>14</v>
      </c>
      <c r="D1176" s="22" t="s">
        <v>215</v>
      </c>
      <c r="E1176" s="22" t="s">
        <v>216</v>
      </c>
      <c r="F1176" s="22" t="s">
        <v>33</v>
      </c>
      <c r="G1176" s="23">
        <v>500</v>
      </c>
      <c r="H1176" s="5">
        <v>45563</v>
      </c>
      <c r="I1176" s="23" t="s">
        <v>155</v>
      </c>
      <c r="J1176" s="23" t="s">
        <v>156</v>
      </c>
      <c r="K1176" s="22">
        <v>352405303</v>
      </c>
      <c r="L1176" s="6" t="s">
        <v>407</v>
      </c>
    </row>
    <row r="1177" spans="1:12" s="25" customFormat="1" ht="14.4" x14ac:dyDescent="0.3">
      <c r="A1177" s="22" t="s">
        <v>12</v>
      </c>
      <c r="B1177" s="22" t="s">
        <v>13</v>
      </c>
      <c r="C1177" s="22" t="s">
        <v>14</v>
      </c>
      <c r="D1177" s="22" t="s">
        <v>215</v>
      </c>
      <c r="E1177" s="22" t="s">
        <v>216</v>
      </c>
      <c r="F1177" s="22" t="s">
        <v>33</v>
      </c>
      <c r="G1177" s="23">
        <v>500</v>
      </c>
      <c r="H1177" s="5">
        <v>45563</v>
      </c>
      <c r="I1177" s="23" t="s">
        <v>155</v>
      </c>
      <c r="J1177" s="23" t="s">
        <v>156</v>
      </c>
      <c r="K1177" s="22">
        <v>352405313</v>
      </c>
      <c r="L1177" s="6" t="s">
        <v>408</v>
      </c>
    </row>
    <row r="1178" spans="1:12" s="25" customFormat="1" ht="14.4" x14ac:dyDescent="0.3">
      <c r="A1178" s="22" t="s">
        <v>12</v>
      </c>
      <c r="B1178" s="22" t="s">
        <v>13</v>
      </c>
      <c r="C1178" s="22" t="s">
        <v>14</v>
      </c>
      <c r="D1178" s="22" t="s">
        <v>215</v>
      </c>
      <c r="E1178" s="22" t="s">
        <v>216</v>
      </c>
      <c r="F1178" s="22" t="s">
        <v>33</v>
      </c>
      <c r="G1178" s="23">
        <v>500</v>
      </c>
      <c r="H1178" s="5">
        <v>45564</v>
      </c>
      <c r="I1178" s="23" t="s">
        <v>155</v>
      </c>
      <c r="J1178" s="23" t="s">
        <v>156</v>
      </c>
      <c r="K1178" s="22">
        <v>352405334</v>
      </c>
      <c r="L1178" s="6" t="s">
        <v>409</v>
      </c>
    </row>
    <row r="1179" spans="1:12" customFormat="1" ht="14.4" x14ac:dyDescent="0.3">
      <c r="A1179" s="1" t="s">
        <v>12</v>
      </c>
      <c r="B1179" s="1" t="s">
        <v>13</v>
      </c>
      <c r="C1179" s="2" t="s">
        <v>14</v>
      </c>
      <c r="D1179" s="1" t="s">
        <v>31</v>
      </c>
      <c r="E1179" s="1" t="s">
        <v>32</v>
      </c>
      <c r="F1179" s="1" t="s">
        <v>33</v>
      </c>
      <c r="G1179" s="3">
        <v>5250</v>
      </c>
      <c r="H1179" s="5">
        <v>45564</v>
      </c>
      <c r="I1179" s="3" t="s">
        <v>78</v>
      </c>
      <c r="J1179" s="3" t="s">
        <v>79</v>
      </c>
      <c r="K1179" s="24">
        <v>352405353</v>
      </c>
      <c r="L1179" s="6" t="s">
        <v>410</v>
      </c>
    </row>
    <row r="1180" spans="1:12" customFormat="1" ht="14.4" x14ac:dyDescent="0.3">
      <c r="A1180" s="1" t="s">
        <v>12</v>
      </c>
      <c r="B1180" s="1" t="s">
        <v>13</v>
      </c>
      <c r="C1180" s="2" t="s">
        <v>14</v>
      </c>
      <c r="D1180" s="1" t="s">
        <v>257</v>
      </c>
      <c r="E1180" s="7" t="s">
        <v>258</v>
      </c>
      <c r="F1180" s="7" t="s">
        <v>33</v>
      </c>
      <c r="G1180" s="3">
        <v>5250</v>
      </c>
      <c r="H1180" s="5">
        <v>45564</v>
      </c>
      <c r="I1180" s="3" t="s">
        <v>88</v>
      </c>
      <c r="J1180" s="3" t="s">
        <v>59</v>
      </c>
      <c r="K1180" s="24">
        <v>352405355</v>
      </c>
      <c r="L1180" s="6" t="s">
        <v>410</v>
      </c>
    </row>
    <row r="1181" spans="1:12" customFormat="1" ht="14.4" x14ac:dyDescent="0.3">
      <c r="A1181" s="1" t="s">
        <v>12</v>
      </c>
      <c r="B1181" s="1" t="s">
        <v>13</v>
      </c>
      <c r="C1181" s="2" t="s">
        <v>14</v>
      </c>
      <c r="D1181" s="1" t="s">
        <v>41</v>
      </c>
      <c r="E1181" s="1" t="s">
        <v>42</v>
      </c>
      <c r="F1181" s="1" t="s">
        <v>43</v>
      </c>
      <c r="G1181" s="3">
        <v>4000</v>
      </c>
      <c r="H1181" s="5">
        <v>45565</v>
      </c>
      <c r="I1181" s="3" t="s">
        <v>87</v>
      </c>
      <c r="J1181" s="3" t="s">
        <v>45</v>
      </c>
      <c r="K1181" s="24">
        <v>352405369</v>
      </c>
      <c r="L1181" s="6" t="s">
        <v>411</v>
      </c>
    </row>
    <row r="1182" spans="1:12" s="25" customFormat="1" ht="13.8" customHeight="1" x14ac:dyDescent="0.3">
      <c r="A1182" s="22" t="s">
        <v>12</v>
      </c>
      <c r="B1182" s="22" t="s">
        <v>13</v>
      </c>
      <c r="C1182" s="22" t="s">
        <v>14</v>
      </c>
      <c r="D1182" s="22" t="s">
        <v>173</v>
      </c>
      <c r="E1182" s="22" t="s">
        <v>174</v>
      </c>
      <c r="F1182" s="22" t="s">
        <v>33</v>
      </c>
      <c r="G1182" s="23">
        <v>500</v>
      </c>
      <c r="H1182" s="5">
        <v>45565</v>
      </c>
      <c r="I1182" s="23" t="s">
        <v>175</v>
      </c>
      <c r="J1182" s="23" t="s">
        <v>176</v>
      </c>
      <c r="K1182" s="24">
        <v>352405370</v>
      </c>
      <c r="L1182" s="6" t="s">
        <v>412</v>
      </c>
    </row>
    <row r="1183" spans="1:12" s="25" customFormat="1" ht="14.4" x14ac:dyDescent="0.3">
      <c r="A1183" s="22" t="s">
        <v>12</v>
      </c>
      <c r="B1183" s="22" t="s">
        <v>13</v>
      </c>
      <c r="C1183" s="22" t="s">
        <v>14</v>
      </c>
      <c r="D1183" s="22" t="s">
        <v>215</v>
      </c>
      <c r="E1183" s="22" t="s">
        <v>216</v>
      </c>
      <c r="F1183" s="22" t="s">
        <v>33</v>
      </c>
      <c r="G1183" s="23">
        <v>500</v>
      </c>
      <c r="H1183" s="5">
        <v>45565</v>
      </c>
      <c r="I1183" s="23" t="s">
        <v>155</v>
      </c>
      <c r="J1183" s="23" t="s">
        <v>156</v>
      </c>
      <c r="K1183" s="22">
        <v>352405372</v>
      </c>
      <c r="L1183" s="6" t="s">
        <v>413</v>
      </c>
    </row>
    <row r="1184" spans="1:12" customFormat="1" ht="14.4" x14ac:dyDescent="0.3">
      <c r="A1184" s="1" t="s">
        <v>12</v>
      </c>
      <c r="B1184" s="1" t="s">
        <v>13</v>
      </c>
      <c r="C1184" s="2" t="s">
        <v>14</v>
      </c>
      <c r="D1184" s="1" t="s">
        <v>15</v>
      </c>
      <c r="E1184" s="1" t="s">
        <v>16</v>
      </c>
      <c r="F1184" s="1" t="s">
        <v>17</v>
      </c>
      <c r="G1184" s="3">
        <v>4000</v>
      </c>
      <c r="H1184" s="5">
        <v>45565</v>
      </c>
      <c r="I1184" s="3" t="s">
        <v>85</v>
      </c>
      <c r="J1184" s="3" t="s">
        <v>19</v>
      </c>
      <c r="K1184" s="24">
        <v>352405382</v>
      </c>
      <c r="L1184" s="6" t="s">
        <v>414</v>
      </c>
    </row>
    <row r="1185" spans="1:12" s="25" customFormat="1" ht="14.4" x14ac:dyDescent="0.3">
      <c r="A1185" s="22" t="s">
        <v>12</v>
      </c>
      <c r="B1185" s="22" t="s">
        <v>13</v>
      </c>
      <c r="C1185" s="22" t="s">
        <v>14</v>
      </c>
      <c r="D1185" s="22" t="s">
        <v>183</v>
      </c>
      <c r="E1185" s="22" t="s">
        <v>184</v>
      </c>
      <c r="F1185" s="22" t="s">
        <v>185</v>
      </c>
      <c r="G1185" s="23">
        <v>500</v>
      </c>
      <c r="H1185" s="5">
        <v>45565</v>
      </c>
      <c r="I1185" s="23" t="s">
        <v>186</v>
      </c>
      <c r="J1185" s="23" t="s">
        <v>187</v>
      </c>
      <c r="K1185" s="22">
        <v>352405387</v>
      </c>
      <c r="L1185" s="6" t="s">
        <v>413</v>
      </c>
    </row>
    <row r="1186" spans="1:12" s="25" customFormat="1" ht="14.4" x14ac:dyDescent="0.3">
      <c r="A1186" s="22" t="s">
        <v>12</v>
      </c>
      <c r="B1186" s="22" t="s">
        <v>13</v>
      </c>
      <c r="C1186" s="22" t="s">
        <v>14</v>
      </c>
      <c r="D1186" s="22" t="s">
        <v>215</v>
      </c>
      <c r="E1186" s="22" t="s">
        <v>216</v>
      </c>
      <c r="F1186" s="22" t="s">
        <v>33</v>
      </c>
      <c r="G1186" s="23">
        <v>500</v>
      </c>
      <c r="H1186" s="5">
        <v>45566</v>
      </c>
      <c r="I1186" s="23" t="s">
        <v>155</v>
      </c>
      <c r="J1186" s="23" t="s">
        <v>156</v>
      </c>
      <c r="K1186" s="22">
        <v>352405405</v>
      </c>
      <c r="L1186" s="6" t="s">
        <v>413</v>
      </c>
    </row>
    <row r="1187" spans="1:12" customFormat="1" ht="14.4" x14ac:dyDescent="0.3">
      <c r="A1187" s="1" t="s">
        <v>12</v>
      </c>
      <c r="B1187" s="1" t="s">
        <v>13</v>
      </c>
      <c r="C1187" s="2" t="s">
        <v>14</v>
      </c>
      <c r="D1187" s="1" t="s">
        <v>343</v>
      </c>
      <c r="E1187" s="1" t="s">
        <v>344</v>
      </c>
      <c r="F1187" s="1" t="s">
        <v>345</v>
      </c>
      <c r="G1187" s="3">
        <v>5000</v>
      </c>
      <c r="H1187" s="5">
        <v>45568</v>
      </c>
      <c r="I1187" s="3" t="s">
        <v>90</v>
      </c>
      <c r="J1187" s="3" t="s">
        <v>76</v>
      </c>
      <c r="K1187" s="24">
        <v>352405453</v>
      </c>
      <c r="L1187" s="6" t="s">
        <v>415</v>
      </c>
    </row>
    <row r="1188" spans="1:12" customFormat="1" ht="14.4" x14ac:dyDescent="0.3">
      <c r="A1188" s="1" t="s">
        <v>12</v>
      </c>
      <c r="B1188" s="1" t="s">
        <v>13</v>
      </c>
      <c r="C1188" s="2" t="s">
        <v>14</v>
      </c>
      <c r="D1188" s="1" t="s">
        <v>31</v>
      </c>
      <c r="E1188" s="1" t="s">
        <v>32</v>
      </c>
      <c r="F1188" s="1" t="s">
        <v>33</v>
      </c>
      <c r="G1188" s="3">
        <v>5000</v>
      </c>
      <c r="H1188" s="5">
        <v>45569</v>
      </c>
      <c r="I1188" s="3" t="s">
        <v>78</v>
      </c>
      <c r="J1188" s="3" t="s">
        <v>79</v>
      </c>
      <c r="K1188" s="24">
        <v>352405473</v>
      </c>
      <c r="L1188" s="6" t="s">
        <v>416</v>
      </c>
    </row>
    <row r="1189" spans="1:12" s="25" customFormat="1" ht="14.4" x14ac:dyDescent="0.3">
      <c r="A1189" s="22" t="s">
        <v>12</v>
      </c>
      <c r="B1189" s="22" t="s">
        <v>13</v>
      </c>
      <c r="C1189" s="22" t="s">
        <v>14</v>
      </c>
      <c r="D1189" s="22" t="s">
        <v>215</v>
      </c>
      <c r="E1189" s="22" t="s">
        <v>216</v>
      </c>
      <c r="F1189" s="22" t="s">
        <v>33</v>
      </c>
      <c r="G1189" s="23">
        <v>500</v>
      </c>
      <c r="H1189" s="5">
        <v>45569</v>
      </c>
      <c r="I1189" s="23" t="s">
        <v>155</v>
      </c>
      <c r="J1189" s="23" t="s">
        <v>156</v>
      </c>
      <c r="K1189" s="22">
        <v>352405474</v>
      </c>
      <c r="L1189" s="6" t="s">
        <v>417</v>
      </c>
    </row>
    <row r="1190" spans="1:12" s="25" customFormat="1" ht="14.4" x14ac:dyDescent="0.3">
      <c r="A1190" s="22" t="s">
        <v>12</v>
      </c>
      <c r="B1190" s="22" t="s">
        <v>13</v>
      </c>
      <c r="C1190" s="22" t="s">
        <v>14</v>
      </c>
      <c r="D1190" s="22" t="s">
        <v>215</v>
      </c>
      <c r="E1190" s="22" t="s">
        <v>216</v>
      </c>
      <c r="F1190" s="22" t="s">
        <v>33</v>
      </c>
      <c r="G1190" s="23">
        <v>500</v>
      </c>
      <c r="H1190" s="5">
        <v>45570</v>
      </c>
      <c r="I1190" s="23" t="s">
        <v>155</v>
      </c>
      <c r="J1190" s="23" t="s">
        <v>156</v>
      </c>
      <c r="K1190" s="22">
        <v>352405502</v>
      </c>
      <c r="L1190" s="6" t="s">
        <v>418</v>
      </c>
    </row>
    <row r="1191" spans="1:12" s="25" customFormat="1" ht="14.4" x14ac:dyDescent="0.3">
      <c r="A1191" s="22" t="s">
        <v>12</v>
      </c>
      <c r="B1191" s="22" t="s">
        <v>13</v>
      </c>
      <c r="C1191" s="22" t="s">
        <v>14</v>
      </c>
      <c r="D1191" s="22" t="s">
        <v>215</v>
      </c>
      <c r="E1191" s="22" t="s">
        <v>216</v>
      </c>
      <c r="F1191" s="22" t="s">
        <v>33</v>
      </c>
      <c r="G1191" s="23">
        <v>500</v>
      </c>
      <c r="H1191" s="5">
        <v>45570</v>
      </c>
      <c r="I1191" s="23" t="s">
        <v>155</v>
      </c>
      <c r="J1191" s="23" t="s">
        <v>156</v>
      </c>
      <c r="K1191" s="22">
        <v>352405515</v>
      </c>
      <c r="L1191" s="6" t="s">
        <v>419</v>
      </c>
    </row>
    <row r="1192" spans="1:12" customFormat="1" ht="14.4" x14ac:dyDescent="0.3">
      <c r="A1192" s="1" t="s">
        <v>12</v>
      </c>
      <c r="B1192" s="1" t="s">
        <v>13</v>
      </c>
      <c r="C1192" s="2" t="s">
        <v>14</v>
      </c>
      <c r="D1192" s="1" t="s">
        <v>48</v>
      </c>
      <c r="E1192" s="1" t="s">
        <v>49</v>
      </c>
      <c r="F1192" s="1" t="s">
        <v>50</v>
      </c>
      <c r="G1192" s="3">
        <v>7500</v>
      </c>
      <c r="H1192" s="5">
        <v>45571</v>
      </c>
      <c r="I1192" s="3" t="s">
        <v>206</v>
      </c>
      <c r="J1192" s="3" t="s">
        <v>52</v>
      </c>
      <c r="K1192" s="24">
        <v>352405522</v>
      </c>
      <c r="L1192" s="6" t="s">
        <v>420</v>
      </c>
    </row>
    <row r="1193" spans="1:12" customFormat="1" ht="14.4" x14ac:dyDescent="0.3">
      <c r="A1193" s="1" t="s">
        <v>12</v>
      </c>
      <c r="B1193" s="1" t="s">
        <v>13</v>
      </c>
      <c r="C1193" s="2" t="s">
        <v>14</v>
      </c>
      <c r="D1193" s="1" t="s">
        <v>257</v>
      </c>
      <c r="E1193" s="7" t="s">
        <v>258</v>
      </c>
      <c r="F1193" s="7" t="s">
        <v>33</v>
      </c>
      <c r="G1193" s="3">
        <v>7500</v>
      </c>
      <c r="H1193" s="5">
        <v>45571</v>
      </c>
      <c r="I1193" s="3" t="s">
        <v>88</v>
      </c>
      <c r="J1193" s="3" t="s">
        <v>59</v>
      </c>
      <c r="K1193" s="24">
        <v>352405524</v>
      </c>
      <c r="L1193" s="6" t="s">
        <v>420</v>
      </c>
    </row>
    <row r="1194" spans="1:12" s="25" customFormat="1" ht="14.4" x14ac:dyDescent="0.3">
      <c r="A1194" s="22" t="s">
        <v>12</v>
      </c>
      <c r="B1194" s="22" t="s">
        <v>13</v>
      </c>
      <c r="C1194" s="22" t="s">
        <v>14</v>
      </c>
      <c r="D1194" s="22" t="s">
        <v>215</v>
      </c>
      <c r="E1194" s="22" t="s">
        <v>216</v>
      </c>
      <c r="F1194" s="22" t="s">
        <v>33</v>
      </c>
      <c r="G1194" s="23">
        <v>500</v>
      </c>
      <c r="H1194" s="5">
        <v>45571</v>
      </c>
      <c r="I1194" s="23" t="s">
        <v>155</v>
      </c>
      <c r="J1194" s="23" t="s">
        <v>156</v>
      </c>
      <c r="K1194" s="22">
        <v>352405537</v>
      </c>
      <c r="L1194" s="6" t="s">
        <v>421</v>
      </c>
    </row>
    <row r="1195" spans="1:12" customFormat="1" ht="14.4" x14ac:dyDescent="0.3">
      <c r="A1195" s="1" t="s">
        <v>12</v>
      </c>
      <c r="B1195" s="1" t="s">
        <v>13</v>
      </c>
      <c r="C1195" s="2" t="s">
        <v>14</v>
      </c>
      <c r="D1195" s="1" t="s">
        <v>257</v>
      </c>
      <c r="E1195" s="7" t="s">
        <v>258</v>
      </c>
      <c r="F1195" s="7" t="s">
        <v>33</v>
      </c>
      <c r="G1195" s="3">
        <v>5000</v>
      </c>
      <c r="H1195" s="5">
        <v>45573</v>
      </c>
      <c r="I1195" s="3" t="s">
        <v>88</v>
      </c>
      <c r="J1195" s="3" t="s">
        <v>59</v>
      </c>
      <c r="K1195" s="24">
        <v>352405588</v>
      </c>
      <c r="L1195" s="6" t="s">
        <v>422</v>
      </c>
    </row>
    <row r="1196" spans="1:12" s="25" customFormat="1" ht="14.4" x14ac:dyDescent="0.3">
      <c r="A1196" s="22" t="s">
        <v>12</v>
      </c>
      <c r="B1196" s="22" t="s">
        <v>13</v>
      </c>
      <c r="C1196" s="22" t="s">
        <v>14</v>
      </c>
      <c r="D1196" s="22" t="s">
        <v>215</v>
      </c>
      <c r="E1196" s="22" t="s">
        <v>216</v>
      </c>
      <c r="F1196" s="22" t="s">
        <v>33</v>
      </c>
      <c r="G1196" s="23">
        <v>500</v>
      </c>
      <c r="H1196" s="5">
        <v>45573</v>
      </c>
      <c r="I1196" s="23" t="s">
        <v>155</v>
      </c>
      <c r="J1196" s="23" t="s">
        <v>156</v>
      </c>
      <c r="K1196" s="22">
        <v>352405599</v>
      </c>
      <c r="L1196" s="6" t="s">
        <v>423</v>
      </c>
    </row>
    <row r="1197" spans="1:12" customFormat="1" ht="14.4" x14ac:dyDescent="0.3">
      <c r="A1197" s="1" t="s">
        <v>12</v>
      </c>
      <c r="B1197" s="1" t="s">
        <v>13</v>
      </c>
      <c r="C1197" s="2" t="s">
        <v>14</v>
      </c>
      <c r="D1197" s="1" t="s">
        <v>41</v>
      </c>
      <c r="E1197" s="1" t="s">
        <v>42</v>
      </c>
      <c r="F1197" s="1" t="s">
        <v>43</v>
      </c>
      <c r="G1197" s="3">
        <v>4000</v>
      </c>
      <c r="H1197" s="5">
        <v>45573</v>
      </c>
      <c r="I1197" s="3" t="s">
        <v>87</v>
      </c>
      <c r="J1197" s="3" t="s">
        <v>45</v>
      </c>
      <c r="K1197" s="24">
        <v>352405600</v>
      </c>
      <c r="L1197" s="6" t="s">
        <v>424</v>
      </c>
    </row>
    <row r="1198" spans="1:12" customFormat="1" ht="14.4" x14ac:dyDescent="0.3">
      <c r="A1198" s="1" t="s">
        <v>12</v>
      </c>
      <c r="B1198" s="1" t="s">
        <v>13</v>
      </c>
      <c r="C1198" s="2" t="s">
        <v>14</v>
      </c>
      <c r="D1198" s="1" t="s">
        <v>15</v>
      </c>
      <c r="E1198" s="1" t="s">
        <v>16</v>
      </c>
      <c r="F1198" s="1" t="s">
        <v>17</v>
      </c>
      <c r="G1198" s="3">
        <v>4000</v>
      </c>
      <c r="H1198" s="5">
        <v>45573</v>
      </c>
      <c r="I1198" s="3" t="s">
        <v>85</v>
      </c>
      <c r="J1198" s="3" t="s">
        <v>19</v>
      </c>
      <c r="K1198" s="24">
        <v>352405601</v>
      </c>
      <c r="L1198" s="6" t="s">
        <v>424</v>
      </c>
    </row>
    <row r="1199" spans="1:12" customFormat="1" ht="14.4" x14ac:dyDescent="0.3">
      <c r="A1199" s="1" t="s">
        <v>12</v>
      </c>
      <c r="B1199" s="1" t="s">
        <v>13</v>
      </c>
      <c r="C1199" s="2" t="s">
        <v>14</v>
      </c>
      <c r="D1199" s="3" t="s">
        <v>149</v>
      </c>
      <c r="E1199" s="18">
        <v>50100624324501</v>
      </c>
      <c r="F1199" s="3" t="s">
        <v>150</v>
      </c>
      <c r="G1199" s="3">
        <v>5000</v>
      </c>
      <c r="H1199" s="5">
        <v>45574</v>
      </c>
      <c r="I1199" s="3" t="s">
        <v>77</v>
      </c>
      <c r="J1199" s="3" t="s">
        <v>29</v>
      </c>
      <c r="K1199" s="24">
        <v>352405597</v>
      </c>
      <c r="L1199" s="6" t="s">
        <v>426</v>
      </c>
    </row>
    <row r="1200" spans="1:12" customFormat="1" ht="14.4" x14ac:dyDescent="0.3">
      <c r="A1200" s="1" t="s">
        <v>12</v>
      </c>
      <c r="B1200" s="1" t="s">
        <v>13</v>
      </c>
      <c r="C1200" s="2" t="s">
        <v>14</v>
      </c>
      <c r="D1200" s="22" t="s">
        <v>193</v>
      </c>
      <c r="E1200" s="22" t="s">
        <v>194</v>
      </c>
      <c r="F1200" s="22" t="s">
        <v>195</v>
      </c>
      <c r="G1200" s="3">
        <v>6000</v>
      </c>
      <c r="H1200" s="5">
        <v>45574</v>
      </c>
      <c r="I1200" s="3" t="s">
        <v>93</v>
      </c>
      <c r="J1200" s="3" t="s">
        <v>34</v>
      </c>
      <c r="K1200" s="24">
        <v>352405598</v>
      </c>
      <c r="L1200" s="6" t="s">
        <v>425</v>
      </c>
    </row>
    <row r="1201" spans="1:12" s="25" customFormat="1" ht="14.4" x14ac:dyDescent="0.3">
      <c r="A1201" s="22" t="s">
        <v>12</v>
      </c>
      <c r="B1201" s="22" t="s">
        <v>13</v>
      </c>
      <c r="C1201" s="22" t="s">
        <v>14</v>
      </c>
      <c r="D1201" s="22" t="s">
        <v>215</v>
      </c>
      <c r="E1201" s="22" t="s">
        <v>216</v>
      </c>
      <c r="F1201" s="22" t="s">
        <v>33</v>
      </c>
      <c r="G1201" s="23">
        <v>500</v>
      </c>
      <c r="H1201" s="5">
        <v>45574</v>
      </c>
      <c r="I1201" s="23" t="s">
        <v>155</v>
      </c>
      <c r="J1201" s="23" t="s">
        <v>156</v>
      </c>
      <c r="K1201" s="22">
        <v>352405646</v>
      </c>
      <c r="L1201" s="6" t="s">
        <v>427</v>
      </c>
    </row>
    <row r="1202" spans="1:12" customFormat="1" ht="14.4" x14ac:dyDescent="0.3">
      <c r="A1202" s="1" t="s">
        <v>12</v>
      </c>
      <c r="B1202" s="1" t="s">
        <v>13</v>
      </c>
      <c r="C1202" s="2" t="s">
        <v>14</v>
      </c>
      <c r="D1202" s="1" t="s">
        <v>257</v>
      </c>
      <c r="E1202" s="7" t="s">
        <v>258</v>
      </c>
      <c r="F1202" s="7" t="s">
        <v>33</v>
      </c>
      <c r="G1202" s="3">
        <v>1500</v>
      </c>
      <c r="H1202" s="5">
        <v>45576</v>
      </c>
      <c r="I1202" s="3" t="s">
        <v>88</v>
      </c>
      <c r="J1202" s="3" t="s">
        <v>59</v>
      </c>
      <c r="K1202" s="24">
        <v>352405699</v>
      </c>
      <c r="L1202" s="6" t="s">
        <v>428</v>
      </c>
    </row>
    <row r="1203" spans="1:12" customFormat="1" ht="14.4" x14ac:dyDescent="0.3">
      <c r="A1203" s="1" t="s">
        <v>12</v>
      </c>
      <c r="B1203" s="1" t="s">
        <v>13</v>
      </c>
      <c r="C1203" s="2" t="s">
        <v>14</v>
      </c>
      <c r="D1203" s="22" t="s">
        <v>193</v>
      </c>
      <c r="E1203" s="22" t="s">
        <v>194</v>
      </c>
      <c r="F1203" s="22" t="s">
        <v>195</v>
      </c>
      <c r="G1203" s="3">
        <v>2000</v>
      </c>
      <c r="H1203" s="5">
        <v>45577</v>
      </c>
      <c r="I1203" s="3" t="s">
        <v>93</v>
      </c>
      <c r="J1203" s="3" t="s">
        <v>34</v>
      </c>
      <c r="K1203" s="24">
        <v>352405737</v>
      </c>
      <c r="L1203" s="6" t="s">
        <v>429</v>
      </c>
    </row>
    <row r="1204" spans="1:12" customFormat="1" ht="14.4" x14ac:dyDescent="0.3">
      <c r="A1204" s="1" t="s">
        <v>12</v>
      </c>
      <c r="B1204" s="1" t="s">
        <v>13</v>
      </c>
      <c r="C1204" s="2" t="s">
        <v>14</v>
      </c>
      <c r="D1204" s="3" t="s">
        <v>149</v>
      </c>
      <c r="E1204" s="18">
        <v>50100624324501</v>
      </c>
      <c r="F1204" s="3" t="s">
        <v>150</v>
      </c>
      <c r="G1204" s="3">
        <v>1500</v>
      </c>
      <c r="H1204" s="5">
        <v>45577</v>
      </c>
      <c r="I1204" s="3" t="s">
        <v>77</v>
      </c>
      <c r="J1204" s="3" t="s">
        <v>29</v>
      </c>
      <c r="K1204" s="24">
        <v>352405741</v>
      </c>
      <c r="L1204" s="6" t="s">
        <v>430</v>
      </c>
    </row>
    <row r="1205" spans="1:12" customFormat="1" ht="14.4" x14ac:dyDescent="0.3">
      <c r="A1205" s="1" t="s">
        <v>12</v>
      </c>
      <c r="B1205" s="1" t="s">
        <v>13</v>
      </c>
      <c r="C1205" s="2" t="s">
        <v>14</v>
      </c>
      <c r="D1205" s="1" t="s">
        <v>343</v>
      </c>
      <c r="E1205" s="1" t="s">
        <v>344</v>
      </c>
      <c r="F1205" s="1" t="s">
        <v>345</v>
      </c>
      <c r="G1205" s="3">
        <v>500</v>
      </c>
      <c r="H1205" s="5">
        <v>45580</v>
      </c>
      <c r="I1205" s="3" t="s">
        <v>186</v>
      </c>
      <c r="J1205" s="3" t="s">
        <v>187</v>
      </c>
      <c r="K1205" s="24">
        <v>352405774</v>
      </c>
      <c r="L1205" s="6" t="s">
        <v>431</v>
      </c>
    </row>
    <row r="1206" spans="1:12" s="25" customFormat="1" ht="14.4" x14ac:dyDescent="0.3">
      <c r="A1206" s="22" t="s">
        <v>12</v>
      </c>
      <c r="B1206" s="22" t="s">
        <v>13</v>
      </c>
      <c r="C1206" s="22" t="s">
        <v>14</v>
      </c>
      <c r="D1206" s="22" t="s">
        <v>215</v>
      </c>
      <c r="E1206" s="22" t="s">
        <v>216</v>
      </c>
      <c r="F1206" s="22" t="s">
        <v>33</v>
      </c>
      <c r="G1206" s="23">
        <v>500</v>
      </c>
      <c r="H1206" s="5">
        <v>45580</v>
      </c>
      <c r="I1206" s="23" t="s">
        <v>155</v>
      </c>
      <c r="J1206" s="23" t="s">
        <v>156</v>
      </c>
      <c r="K1206" s="22">
        <v>352405791</v>
      </c>
      <c r="L1206" s="6" t="s">
        <v>432</v>
      </c>
    </row>
    <row r="1207" spans="1:12" customFormat="1" ht="14.4" x14ac:dyDescent="0.3">
      <c r="A1207" s="1" t="s">
        <v>12</v>
      </c>
      <c r="B1207" s="1" t="s">
        <v>13</v>
      </c>
      <c r="C1207" s="2" t="s">
        <v>14</v>
      </c>
      <c r="D1207" s="1" t="s">
        <v>15</v>
      </c>
      <c r="E1207" s="1" t="s">
        <v>16</v>
      </c>
      <c r="F1207" s="1" t="s">
        <v>17</v>
      </c>
      <c r="G1207" s="3">
        <v>5000</v>
      </c>
      <c r="H1207" s="5">
        <v>45580</v>
      </c>
      <c r="I1207" s="3" t="s">
        <v>85</v>
      </c>
      <c r="J1207" s="3" t="s">
        <v>19</v>
      </c>
      <c r="K1207" s="24"/>
      <c r="L1207" s="6" t="s">
        <v>164</v>
      </c>
    </row>
    <row r="1208" spans="1:12" customFormat="1" ht="14.4" x14ac:dyDescent="0.3">
      <c r="A1208" s="1" t="s">
        <v>12</v>
      </c>
      <c r="B1208" s="1" t="s">
        <v>13</v>
      </c>
      <c r="C1208" s="2" t="s">
        <v>14</v>
      </c>
      <c r="D1208" s="1" t="s">
        <v>41</v>
      </c>
      <c r="E1208" s="1" t="s">
        <v>42</v>
      </c>
      <c r="F1208" s="1" t="s">
        <v>43</v>
      </c>
      <c r="G1208" s="3">
        <v>5000</v>
      </c>
      <c r="H1208" s="5">
        <v>45580</v>
      </c>
      <c r="I1208" s="3" t="s">
        <v>87</v>
      </c>
      <c r="J1208" s="3" t="s">
        <v>45</v>
      </c>
      <c r="K1208" s="24"/>
      <c r="L1208" s="6" t="s">
        <v>164</v>
      </c>
    </row>
    <row r="1209" spans="1:12" customFormat="1" ht="14.4" x14ac:dyDescent="0.3">
      <c r="A1209" s="1" t="s">
        <v>12</v>
      </c>
      <c r="B1209" s="1" t="s">
        <v>13</v>
      </c>
      <c r="C1209" s="2" t="s">
        <v>14</v>
      </c>
      <c r="D1209" s="1" t="s">
        <v>41</v>
      </c>
      <c r="E1209" s="1" t="s">
        <v>61</v>
      </c>
      <c r="F1209" s="1" t="s">
        <v>62</v>
      </c>
      <c r="G1209" s="3">
        <v>5000</v>
      </c>
      <c r="H1209" s="5">
        <v>45580</v>
      </c>
      <c r="I1209" s="3" t="s">
        <v>204</v>
      </c>
      <c r="J1209" s="3" t="s">
        <v>205</v>
      </c>
      <c r="K1209" s="24"/>
      <c r="L1209" s="6" t="s">
        <v>164</v>
      </c>
    </row>
    <row r="1210" spans="1:12" customFormat="1" ht="14.4" x14ac:dyDescent="0.3">
      <c r="A1210" s="1" t="s">
        <v>12</v>
      </c>
      <c r="B1210" s="1" t="s">
        <v>13</v>
      </c>
      <c r="C1210" s="2" t="s">
        <v>14</v>
      </c>
      <c r="D1210" s="22" t="s">
        <v>193</v>
      </c>
      <c r="E1210" s="22" t="s">
        <v>194</v>
      </c>
      <c r="F1210" s="22" t="s">
        <v>195</v>
      </c>
      <c r="G1210" s="3">
        <v>1000</v>
      </c>
      <c r="H1210" s="5">
        <v>45580</v>
      </c>
      <c r="I1210" s="3" t="s">
        <v>93</v>
      </c>
      <c r="J1210" s="3" t="s">
        <v>34</v>
      </c>
      <c r="K1210" s="24">
        <v>352405737</v>
      </c>
      <c r="L1210" s="6" t="s">
        <v>433</v>
      </c>
    </row>
    <row r="1211" spans="1:12" customFormat="1" ht="14.4" x14ac:dyDescent="0.3">
      <c r="A1211" s="1" t="s">
        <v>12</v>
      </c>
      <c r="B1211" s="1" t="s">
        <v>13</v>
      </c>
      <c r="C1211" s="2" t="s">
        <v>14</v>
      </c>
      <c r="D1211" s="1" t="s">
        <v>435</v>
      </c>
      <c r="E1211" s="7">
        <v>31095925572</v>
      </c>
      <c r="F1211" s="22" t="s">
        <v>33</v>
      </c>
      <c r="G1211" s="3">
        <v>500</v>
      </c>
      <c r="H1211" s="5">
        <v>45580</v>
      </c>
      <c r="I1211" s="3" t="s">
        <v>125</v>
      </c>
      <c r="J1211" s="3" t="s">
        <v>126</v>
      </c>
      <c r="K1211" s="24">
        <v>352405785</v>
      </c>
      <c r="L1211" s="6" t="s">
        <v>434</v>
      </c>
    </row>
    <row r="1212" spans="1:12" s="25" customFormat="1" ht="14.4" x14ac:dyDescent="0.3">
      <c r="A1212" s="22" t="s">
        <v>12</v>
      </c>
      <c r="B1212" s="22" t="s">
        <v>13</v>
      </c>
      <c r="C1212" s="22" t="s">
        <v>14</v>
      </c>
      <c r="D1212" s="22" t="s">
        <v>215</v>
      </c>
      <c r="E1212" s="22" t="s">
        <v>216</v>
      </c>
      <c r="F1212" s="22" t="s">
        <v>33</v>
      </c>
      <c r="G1212" s="23">
        <v>500</v>
      </c>
      <c r="H1212" s="5">
        <v>45581</v>
      </c>
      <c r="I1212" s="23" t="s">
        <v>155</v>
      </c>
      <c r="J1212" s="23" t="s">
        <v>156</v>
      </c>
      <c r="K1212" s="22">
        <v>352405811</v>
      </c>
      <c r="L1212" s="6" t="s">
        <v>436</v>
      </c>
    </row>
    <row r="1213" spans="1:12" customFormat="1" ht="14.4" x14ac:dyDescent="0.3">
      <c r="A1213" s="1" t="s">
        <v>12</v>
      </c>
      <c r="B1213" s="1" t="s">
        <v>13</v>
      </c>
      <c r="C1213" s="2" t="s">
        <v>14</v>
      </c>
      <c r="D1213" s="1" t="s">
        <v>343</v>
      </c>
      <c r="E1213" s="1" t="s">
        <v>344</v>
      </c>
      <c r="F1213" s="1" t="s">
        <v>345</v>
      </c>
      <c r="G1213" s="3">
        <v>500</v>
      </c>
      <c r="H1213" s="5">
        <v>45581</v>
      </c>
      <c r="I1213" s="3" t="s">
        <v>186</v>
      </c>
      <c r="J1213" s="3" t="s">
        <v>187</v>
      </c>
      <c r="K1213" s="24">
        <v>352405834</v>
      </c>
      <c r="L1213" s="6" t="s">
        <v>437</v>
      </c>
    </row>
    <row r="1214" spans="1:12" s="25" customFormat="1" ht="14.4" x14ac:dyDescent="0.3">
      <c r="A1214" s="22" t="s">
        <v>12</v>
      </c>
      <c r="B1214" s="22" t="s">
        <v>13</v>
      </c>
      <c r="C1214" s="22" t="s">
        <v>14</v>
      </c>
      <c r="D1214" s="22" t="s">
        <v>215</v>
      </c>
      <c r="E1214" s="22" t="s">
        <v>216</v>
      </c>
      <c r="F1214" s="22" t="s">
        <v>33</v>
      </c>
      <c r="G1214" s="23">
        <v>500</v>
      </c>
      <c r="H1214" s="5">
        <v>45581</v>
      </c>
      <c r="I1214" s="23" t="s">
        <v>155</v>
      </c>
      <c r="J1214" s="23" t="s">
        <v>156</v>
      </c>
      <c r="K1214" s="22">
        <v>352405841</v>
      </c>
      <c r="L1214" s="6" t="s">
        <v>438</v>
      </c>
    </row>
    <row r="1215" spans="1:12" s="25" customFormat="1" ht="14.4" x14ac:dyDescent="0.3">
      <c r="A1215" s="22" t="s">
        <v>12</v>
      </c>
      <c r="B1215" s="22" t="s">
        <v>13</v>
      </c>
      <c r="C1215" s="22" t="s">
        <v>14</v>
      </c>
      <c r="D1215" s="22" t="s">
        <v>215</v>
      </c>
      <c r="E1215" s="22" t="s">
        <v>216</v>
      </c>
      <c r="F1215" s="22" t="s">
        <v>33</v>
      </c>
      <c r="G1215" s="23">
        <v>500</v>
      </c>
      <c r="H1215" s="5">
        <v>45582</v>
      </c>
      <c r="I1215" s="23" t="s">
        <v>155</v>
      </c>
      <c r="J1215" s="23" t="s">
        <v>156</v>
      </c>
      <c r="K1215" s="22">
        <v>352405871</v>
      </c>
      <c r="L1215" s="6" t="s">
        <v>439</v>
      </c>
    </row>
    <row r="1216" spans="1:12" customFormat="1" ht="14.4" x14ac:dyDescent="0.3">
      <c r="A1216" s="1" t="s">
        <v>12</v>
      </c>
      <c r="B1216" s="1" t="s">
        <v>13</v>
      </c>
      <c r="C1216" s="2" t="s">
        <v>14</v>
      </c>
      <c r="D1216" s="1" t="s">
        <v>343</v>
      </c>
      <c r="E1216" s="1" t="s">
        <v>344</v>
      </c>
      <c r="F1216" s="1" t="s">
        <v>345</v>
      </c>
      <c r="G1216" s="3">
        <v>500</v>
      </c>
      <c r="H1216" s="5">
        <v>45582</v>
      </c>
      <c r="I1216" s="3" t="s">
        <v>186</v>
      </c>
      <c r="J1216" s="3" t="s">
        <v>187</v>
      </c>
      <c r="K1216" s="22">
        <v>352405872</v>
      </c>
      <c r="L1216" s="6" t="s">
        <v>439</v>
      </c>
    </row>
    <row r="1217" spans="1:12" customFormat="1" ht="14.4" x14ac:dyDescent="0.3">
      <c r="A1217" s="1" t="s">
        <v>12</v>
      </c>
      <c r="B1217" s="1" t="s">
        <v>13</v>
      </c>
      <c r="C1217" s="2" t="s">
        <v>14</v>
      </c>
      <c r="D1217" s="22" t="s">
        <v>193</v>
      </c>
      <c r="E1217" s="22" t="s">
        <v>194</v>
      </c>
      <c r="F1217" s="22" t="s">
        <v>195</v>
      </c>
      <c r="G1217" s="3">
        <v>5000</v>
      </c>
      <c r="H1217" s="5">
        <v>45582</v>
      </c>
      <c r="I1217" s="3" t="s">
        <v>93</v>
      </c>
      <c r="J1217" s="3" t="s">
        <v>34</v>
      </c>
      <c r="K1217" s="24"/>
      <c r="L1217" s="6" t="s">
        <v>164</v>
      </c>
    </row>
    <row r="1218" spans="1:12" customFormat="1" ht="14.4" x14ac:dyDescent="0.3">
      <c r="A1218" s="1" t="s">
        <v>12</v>
      </c>
      <c r="B1218" s="1" t="s">
        <v>13</v>
      </c>
      <c r="C1218" s="2" t="s">
        <v>14</v>
      </c>
      <c r="D1218" s="1" t="s">
        <v>152</v>
      </c>
      <c r="E1218" s="1" t="s">
        <v>153</v>
      </c>
      <c r="F1218" s="1" t="s">
        <v>154</v>
      </c>
      <c r="G1218" s="3">
        <v>5000</v>
      </c>
      <c r="H1218" s="5">
        <v>45582</v>
      </c>
      <c r="I1218" s="3" t="s">
        <v>83</v>
      </c>
      <c r="J1218" s="3" t="s">
        <v>84</v>
      </c>
      <c r="K1218" s="24"/>
      <c r="L1218" s="6" t="s">
        <v>164</v>
      </c>
    </row>
    <row r="1219" spans="1:12" customFormat="1" ht="14.4" x14ac:dyDescent="0.3">
      <c r="A1219" s="1" t="s">
        <v>12</v>
      </c>
      <c r="B1219" s="1" t="s">
        <v>13</v>
      </c>
      <c r="C1219" s="2" t="s">
        <v>14</v>
      </c>
      <c r="D1219" s="1" t="s">
        <v>36</v>
      </c>
      <c r="E1219" s="1" t="s">
        <v>37</v>
      </c>
      <c r="F1219" s="1" t="s">
        <v>38</v>
      </c>
      <c r="G1219" s="3">
        <v>5000</v>
      </c>
      <c r="H1219" s="5">
        <v>45582</v>
      </c>
      <c r="I1219" s="3" t="s">
        <v>92</v>
      </c>
      <c r="J1219" s="3" t="s">
        <v>40</v>
      </c>
      <c r="K1219" s="24"/>
      <c r="L1219" s="6" t="s">
        <v>164</v>
      </c>
    </row>
    <row r="1220" spans="1:12" customFormat="1" ht="14.4" x14ac:dyDescent="0.3">
      <c r="A1220" s="1" t="s">
        <v>12</v>
      </c>
      <c r="B1220" s="1" t="s">
        <v>13</v>
      </c>
      <c r="C1220" s="2" t="s">
        <v>14</v>
      </c>
      <c r="D1220" s="1" t="s">
        <v>108</v>
      </c>
      <c r="E1220" s="1" t="s">
        <v>109</v>
      </c>
      <c r="F1220" s="1" t="s">
        <v>110</v>
      </c>
      <c r="G1220" s="3">
        <v>5000</v>
      </c>
      <c r="H1220" s="5">
        <v>45582</v>
      </c>
      <c r="I1220" s="3" t="s">
        <v>101</v>
      </c>
      <c r="J1220" s="3" t="s">
        <v>68</v>
      </c>
      <c r="K1220" s="24"/>
      <c r="L1220" s="6" t="s">
        <v>164</v>
      </c>
    </row>
    <row r="1221" spans="1:12" customFormat="1" ht="14.4" x14ac:dyDescent="0.3">
      <c r="A1221" s="1" t="s">
        <v>12</v>
      </c>
      <c r="B1221" s="1" t="s">
        <v>13</v>
      </c>
      <c r="C1221" s="2" t="s">
        <v>14</v>
      </c>
      <c r="D1221" s="1" t="s">
        <v>343</v>
      </c>
      <c r="E1221" s="1" t="s">
        <v>344</v>
      </c>
      <c r="F1221" s="1" t="s">
        <v>345</v>
      </c>
      <c r="G1221" s="3">
        <v>500</v>
      </c>
      <c r="H1221" s="5">
        <v>45582</v>
      </c>
      <c r="I1221" s="3" t="s">
        <v>186</v>
      </c>
      <c r="J1221" s="3" t="s">
        <v>187</v>
      </c>
      <c r="K1221" s="22">
        <v>352405887</v>
      </c>
      <c r="L1221" s="6" t="s">
        <v>440</v>
      </c>
    </row>
    <row r="1222" spans="1:12" customFormat="1" ht="14.4" x14ac:dyDescent="0.3">
      <c r="A1222" s="1" t="s">
        <v>12</v>
      </c>
      <c r="B1222" s="1" t="s">
        <v>13</v>
      </c>
      <c r="C1222" s="2" t="s">
        <v>14</v>
      </c>
      <c r="D1222" s="1" t="s">
        <v>343</v>
      </c>
      <c r="E1222" s="1" t="s">
        <v>344</v>
      </c>
      <c r="F1222" s="1" t="s">
        <v>345</v>
      </c>
      <c r="G1222" s="3">
        <v>500</v>
      </c>
      <c r="H1222" s="5">
        <v>45583</v>
      </c>
      <c r="I1222" s="3" t="s">
        <v>186</v>
      </c>
      <c r="J1222" s="3" t="s">
        <v>187</v>
      </c>
      <c r="K1222" s="22">
        <v>352405920</v>
      </c>
      <c r="L1222" s="6" t="s">
        <v>441</v>
      </c>
    </row>
    <row r="1223" spans="1:12" s="25" customFormat="1" ht="14.4" x14ac:dyDescent="0.3">
      <c r="A1223" s="22" t="s">
        <v>12</v>
      </c>
      <c r="B1223" s="22" t="s">
        <v>13</v>
      </c>
      <c r="C1223" s="22" t="s">
        <v>14</v>
      </c>
      <c r="D1223" s="22" t="s">
        <v>215</v>
      </c>
      <c r="E1223" s="22" t="s">
        <v>216</v>
      </c>
      <c r="F1223" s="22" t="s">
        <v>33</v>
      </c>
      <c r="G1223" s="23">
        <v>500</v>
      </c>
      <c r="H1223" s="5">
        <v>45583</v>
      </c>
      <c r="I1223" s="23" t="s">
        <v>155</v>
      </c>
      <c r="J1223" s="23" t="s">
        <v>156</v>
      </c>
      <c r="K1223" s="22">
        <v>352405921</v>
      </c>
      <c r="L1223" s="6" t="s">
        <v>441</v>
      </c>
    </row>
    <row r="1224" spans="1:12" x14ac:dyDescent="0.25">
      <c r="A1224" s="30" t="s">
        <v>12</v>
      </c>
      <c r="B1224" s="30" t="s">
        <v>13</v>
      </c>
      <c r="C1224" s="30" t="s">
        <v>14</v>
      </c>
      <c r="D1224" s="30" t="s">
        <v>144</v>
      </c>
      <c r="E1224" s="39">
        <v>42542201947</v>
      </c>
      <c r="F1224" s="30" t="s">
        <v>145</v>
      </c>
      <c r="G1224" s="32">
        <v>5000</v>
      </c>
      <c r="H1224" s="33">
        <v>45583</v>
      </c>
      <c r="I1224" s="32" t="s">
        <v>146</v>
      </c>
      <c r="J1224" s="32" t="s">
        <v>147</v>
      </c>
      <c r="K1224" s="34"/>
      <c r="L1224" s="35" t="s">
        <v>164</v>
      </c>
    </row>
    <row r="1225" spans="1:12" customFormat="1" ht="14.4" x14ac:dyDescent="0.3">
      <c r="A1225" s="1" t="s">
        <v>12</v>
      </c>
      <c r="B1225" s="1" t="s">
        <v>13</v>
      </c>
      <c r="C1225" s="2" t="s">
        <v>14</v>
      </c>
      <c r="D1225" s="3" t="s">
        <v>149</v>
      </c>
      <c r="E1225" s="18">
        <v>50100624324501</v>
      </c>
      <c r="F1225" s="3" t="s">
        <v>150</v>
      </c>
      <c r="G1225" s="3">
        <v>5000</v>
      </c>
      <c r="H1225" s="5">
        <v>45583</v>
      </c>
      <c r="I1225" s="3" t="s">
        <v>77</v>
      </c>
      <c r="J1225" s="3" t="s">
        <v>29</v>
      </c>
      <c r="K1225" s="24"/>
      <c r="L1225" s="6" t="s">
        <v>164</v>
      </c>
    </row>
    <row r="1226" spans="1:12" customFormat="1" ht="14.4" x14ac:dyDescent="0.3">
      <c r="A1226" s="1" t="s">
        <v>12</v>
      </c>
      <c r="B1226" s="1" t="s">
        <v>13</v>
      </c>
      <c r="C1226" s="2" t="s">
        <v>14</v>
      </c>
      <c r="D1226" s="1" t="s">
        <v>108</v>
      </c>
      <c r="E1226" s="1" t="s">
        <v>109</v>
      </c>
      <c r="F1226" s="1" t="s">
        <v>110</v>
      </c>
      <c r="G1226" s="3">
        <v>3000</v>
      </c>
      <c r="H1226" s="5">
        <v>45583</v>
      </c>
      <c r="I1226" s="3" t="s">
        <v>101</v>
      </c>
      <c r="J1226" s="3" t="s">
        <v>68</v>
      </c>
      <c r="K1226" s="24">
        <v>352405882</v>
      </c>
      <c r="L1226" s="6" t="s">
        <v>164</v>
      </c>
    </row>
    <row r="1227" spans="1:12" s="25" customFormat="1" ht="14.4" x14ac:dyDescent="0.3">
      <c r="A1227" s="22" t="s">
        <v>12</v>
      </c>
      <c r="B1227" s="22" t="s">
        <v>13</v>
      </c>
      <c r="C1227" s="22" t="s">
        <v>14</v>
      </c>
      <c r="D1227" s="22" t="s">
        <v>215</v>
      </c>
      <c r="E1227" s="22" t="s">
        <v>216</v>
      </c>
      <c r="F1227" s="22" t="s">
        <v>33</v>
      </c>
      <c r="G1227" s="23">
        <v>500</v>
      </c>
      <c r="H1227" s="5">
        <v>45584</v>
      </c>
      <c r="I1227" s="23" t="s">
        <v>155</v>
      </c>
      <c r="J1227" s="23" t="s">
        <v>156</v>
      </c>
      <c r="K1227" s="22">
        <v>352405942</v>
      </c>
      <c r="L1227" s="6" t="s">
        <v>442</v>
      </c>
    </row>
    <row r="1228" spans="1:12" customFormat="1" ht="14.4" x14ac:dyDescent="0.3">
      <c r="A1228" s="1" t="s">
        <v>12</v>
      </c>
      <c r="B1228" s="1" t="s">
        <v>13</v>
      </c>
      <c r="C1228" s="2" t="s">
        <v>14</v>
      </c>
      <c r="D1228" s="1" t="s">
        <v>343</v>
      </c>
      <c r="E1228" s="1" t="s">
        <v>344</v>
      </c>
      <c r="F1228" s="1" t="s">
        <v>345</v>
      </c>
      <c r="G1228" s="3">
        <v>500</v>
      </c>
      <c r="H1228" s="5">
        <v>45584</v>
      </c>
      <c r="I1228" s="3" t="s">
        <v>186</v>
      </c>
      <c r="J1228" s="3" t="s">
        <v>187</v>
      </c>
      <c r="K1228" s="22">
        <v>352405943</v>
      </c>
      <c r="L1228" s="6" t="s">
        <v>442</v>
      </c>
    </row>
    <row r="1229" spans="1:12" customFormat="1" ht="14.4" x14ac:dyDescent="0.3">
      <c r="A1229" s="1" t="s">
        <v>12</v>
      </c>
      <c r="B1229" s="1" t="s">
        <v>13</v>
      </c>
      <c r="C1229" s="2" t="s">
        <v>14</v>
      </c>
      <c r="D1229" s="1" t="s">
        <v>343</v>
      </c>
      <c r="E1229" s="1" t="s">
        <v>344</v>
      </c>
      <c r="F1229" s="1" t="s">
        <v>345</v>
      </c>
      <c r="G1229" s="3">
        <v>500</v>
      </c>
      <c r="H1229" s="5">
        <v>45584</v>
      </c>
      <c r="I1229" s="3" t="s">
        <v>186</v>
      </c>
      <c r="J1229" s="3" t="s">
        <v>187</v>
      </c>
      <c r="K1229" s="22">
        <v>352405958</v>
      </c>
      <c r="L1229" s="6" t="s">
        <v>443</v>
      </c>
    </row>
    <row r="1230" spans="1:12" s="25" customFormat="1" ht="14.4" x14ac:dyDescent="0.3">
      <c r="A1230" s="22" t="s">
        <v>12</v>
      </c>
      <c r="B1230" s="22" t="s">
        <v>13</v>
      </c>
      <c r="C1230" s="22" t="s">
        <v>14</v>
      </c>
      <c r="D1230" s="22" t="s">
        <v>215</v>
      </c>
      <c r="E1230" s="22" t="s">
        <v>216</v>
      </c>
      <c r="F1230" s="22" t="s">
        <v>33</v>
      </c>
      <c r="G1230" s="23">
        <v>500</v>
      </c>
      <c r="H1230" s="5">
        <v>45585</v>
      </c>
      <c r="I1230" s="23" t="s">
        <v>155</v>
      </c>
      <c r="J1230" s="23" t="s">
        <v>156</v>
      </c>
      <c r="K1230" s="22">
        <v>352405973</v>
      </c>
      <c r="L1230" s="6" t="s">
        <v>444</v>
      </c>
    </row>
    <row r="1231" spans="1:12" customFormat="1" ht="14.4" x14ac:dyDescent="0.3">
      <c r="A1231" s="1" t="s">
        <v>12</v>
      </c>
      <c r="B1231" s="1" t="s">
        <v>13</v>
      </c>
      <c r="C1231" s="2" t="s">
        <v>14</v>
      </c>
      <c r="D1231" s="1" t="s">
        <v>343</v>
      </c>
      <c r="E1231" s="1" t="s">
        <v>344</v>
      </c>
      <c r="F1231" s="1" t="s">
        <v>345</v>
      </c>
      <c r="G1231" s="3">
        <v>500</v>
      </c>
      <c r="H1231" s="5">
        <v>45585</v>
      </c>
      <c r="I1231" s="3" t="s">
        <v>186</v>
      </c>
      <c r="J1231" s="3" t="s">
        <v>187</v>
      </c>
      <c r="K1231" s="22">
        <v>352405974</v>
      </c>
      <c r="L1231" s="6" t="s">
        <v>444</v>
      </c>
    </row>
    <row r="1232" spans="1:12" customFormat="1" ht="14.4" x14ac:dyDescent="0.3">
      <c r="A1232" s="1" t="s">
        <v>12</v>
      </c>
      <c r="B1232" s="1" t="s">
        <v>13</v>
      </c>
      <c r="C1232" s="2" t="s">
        <v>14</v>
      </c>
      <c r="D1232" s="1" t="s">
        <v>343</v>
      </c>
      <c r="E1232" s="1" t="s">
        <v>344</v>
      </c>
      <c r="F1232" s="1" t="s">
        <v>345</v>
      </c>
      <c r="G1232" s="3">
        <v>500</v>
      </c>
      <c r="H1232" s="5">
        <v>45587</v>
      </c>
      <c r="I1232" s="3" t="s">
        <v>186</v>
      </c>
      <c r="J1232" s="3" t="s">
        <v>187</v>
      </c>
      <c r="K1232" s="22">
        <v>352406007</v>
      </c>
      <c r="L1232" s="6" t="s">
        <v>445</v>
      </c>
    </row>
    <row r="1233" spans="1:12" customFormat="1" ht="14.4" x14ac:dyDescent="0.3">
      <c r="A1233" s="1" t="s">
        <v>12</v>
      </c>
      <c r="B1233" s="1" t="s">
        <v>13</v>
      </c>
      <c r="C1233" s="2" t="s">
        <v>14</v>
      </c>
      <c r="D1233" s="1" t="s">
        <v>343</v>
      </c>
      <c r="E1233" s="1" t="s">
        <v>344</v>
      </c>
      <c r="F1233" s="1" t="s">
        <v>345</v>
      </c>
      <c r="G1233" s="3">
        <v>500</v>
      </c>
      <c r="H1233" s="5">
        <v>45587</v>
      </c>
      <c r="I1233" s="3" t="s">
        <v>186</v>
      </c>
      <c r="J1233" s="3" t="s">
        <v>187</v>
      </c>
      <c r="K1233" s="22">
        <v>352406008</v>
      </c>
      <c r="L1233" s="6" t="s">
        <v>446</v>
      </c>
    </row>
    <row r="1234" spans="1:12" s="25" customFormat="1" ht="14.4" x14ac:dyDescent="0.3">
      <c r="A1234" s="22" t="s">
        <v>12</v>
      </c>
      <c r="B1234" s="22" t="s">
        <v>13</v>
      </c>
      <c r="C1234" s="22" t="s">
        <v>14</v>
      </c>
      <c r="D1234" s="22" t="s">
        <v>215</v>
      </c>
      <c r="E1234" s="22" t="s">
        <v>216</v>
      </c>
      <c r="F1234" s="22" t="s">
        <v>33</v>
      </c>
      <c r="G1234" s="23">
        <v>500</v>
      </c>
      <c r="H1234" s="5">
        <v>45587</v>
      </c>
      <c r="I1234" s="23" t="s">
        <v>155</v>
      </c>
      <c r="J1234" s="23" t="s">
        <v>156</v>
      </c>
      <c r="K1234" s="22">
        <v>352406009</v>
      </c>
      <c r="L1234" s="6" t="s">
        <v>447</v>
      </c>
    </row>
    <row r="1235" spans="1:12" s="25" customFormat="1" ht="14.4" x14ac:dyDescent="0.3">
      <c r="A1235" s="22" t="s">
        <v>12</v>
      </c>
      <c r="B1235" s="22" t="s">
        <v>13</v>
      </c>
      <c r="C1235" s="22" t="s">
        <v>14</v>
      </c>
      <c r="D1235" s="22" t="s">
        <v>215</v>
      </c>
      <c r="E1235" s="22" t="s">
        <v>216</v>
      </c>
      <c r="F1235" s="22" t="s">
        <v>33</v>
      </c>
      <c r="G1235" s="23">
        <v>500</v>
      </c>
      <c r="H1235" s="5">
        <v>45587</v>
      </c>
      <c r="I1235" s="23" t="s">
        <v>155</v>
      </c>
      <c r="J1235" s="23" t="s">
        <v>156</v>
      </c>
      <c r="K1235" s="22">
        <v>352406010</v>
      </c>
      <c r="L1235" s="6" t="s">
        <v>445</v>
      </c>
    </row>
    <row r="1236" spans="1:12" s="25" customFormat="1" ht="14.4" x14ac:dyDescent="0.3">
      <c r="A1236" s="22" t="s">
        <v>12</v>
      </c>
      <c r="B1236" s="22" t="s">
        <v>13</v>
      </c>
      <c r="C1236" s="22" t="s">
        <v>14</v>
      </c>
      <c r="D1236" s="22" t="s">
        <v>215</v>
      </c>
      <c r="E1236" s="22" t="s">
        <v>216</v>
      </c>
      <c r="F1236" s="22" t="s">
        <v>33</v>
      </c>
      <c r="G1236" s="23">
        <v>500</v>
      </c>
      <c r="H1236" s="5">
        <v>45588</v>
      </c>
      <c r="I1236" s="23" t="s">
        <v>155</v>
      </c>
      <c r="J1236" s="23" t="s">
        <v>156</v>
      </c>
      <c r="K1236" s="22">
        <v>352406027</v>
      </c>
      <c r="L1236" s="6" t="s">
        <v>448</v>
      </c>
    </row>
    <row r="1237" spans="1:12" customFormat="1" ht="14.4" x14ac:dyDescent="0.3">
      <c r="A1237" s="1" t="s">
        <v>12</v>
      </c>
      <c r="B1237" s="1" t="s">
        <v>13</v>
      </c>
      <c r="C1237" s="2" t="s">
        <v>14</v>
      </c>
      <c r="D1237" s="1" t="s">
        <v>48</v>
      </c>
      <c r="E1237" s="1" t="s">
        <v>49</v>
      </c>
      <c r="F1237" s="1" t="s">
        <v>50</v>
      </c>
      <c r="G1237" s="3">
        <v>5000</v>
      </c>
      <c r="H1237" s="5">
        <v>45588</v>
      </c>
      <c r="I1237" s="3" t="s">
        <v>206</v>
      </c>
      <c r="J1237" s="3" t="s">
        <v>52</v>
      </c>
      <c r="K1237" s="24"/>
      <c r="L1237" s="6" t="s">
        <v>164</v>
      </c>
    </row>
    <row r="1238" spans="1:12" customFormat="1" ht="14.4" x14ac:dyDescent="0.3">
      <c r="A1238" s="1" t="s">
        <v>12</v>
      </c>
      <c r="B1238" s="1" t="s">
        <v>13</v>
      </c>
      <c r="C1238" s="2" t="s">
        <v>14</v>
      </c>
      <c r="D1238" s="1" t="s">
        <v>343</v>
      </c>
      <c r="E1238" s="1" t="s">
        <v>344</v>
      </c>
      <c r="F1238" s="1" t="s">
        <v>345</v>
      </c>
      <c r="G1238" s="3">
        <v>500</v>
      </c>
      <c r="H1238" s="5">
        <v>45588</v>
      </c>
      <c r="I1238" s="3" t="s">
        <v>186</v>
      </c>
      <c r="J1238" s="3" t="s">
        <v>187</v>
      </c>
      <c r="K1238" s="22">
        <v>352406045</v>
      </c>
      <c r="L1238" s="6" t="s">
        <v>449</v>
      </c>
    </row>
    <row r="1239" spans="1:12" s="25" customFormat="1" ht="14.4" x14ac:dyDescent="0.3">
      <c r="A1239" s="22" t="s">
        <v>12</v>
      </c>
      <c r="B1239" s="22" t="s">
        <v>13</v>
      </c>
      <c r="C1239" s="22" t="s">
        <v>14</v>
      </c>
      <c r="D1239" s="22" t="s">
        <v>215</v>
      </c>
      <c r="E1239" s="22" t="s">
        <v>216</v>
      </c>
      <c r="F1239" s="22" t="s">
        <v>33</v>
      </c>
      <c r="G1239" s="23">
        <v>500</v>
      </c>
      <c r="H1239" s="5">
        <v>45588</v>
      </c>
      <c r="I1239" s="23" t="s">
        <v>155</v>
      </c>
      <c r="J1239" s="23" t="s">
        <v>156</v>
      </c>
      <c r="K1239" s="22">
        <v>352406046</v>
      </c>
      <c r="L1239" s="6" t="s">
        <v>449</v>
      </c>
    </row>
    <row r="1240" spans="1:12" customFormat="1" ht="14.4" x14ac:dyDescent="0.3">
      <c r="A1240" s="1" t="s">
        <v>12</v>
      </c>
      <c r="B1240" s="1" t="s">
        <v>13</v>
      </c>
      <c r="C1240" s="2" t="s">
        <v>14</v>
      </c>
      <c r="D1240" s="1" t="s">
        <v>108</v>
      </c>
      <c r="E1240" s="1" t="s">
        <v>109</v>
      </c>
      <c r="F1240" s="1" t="s">
        <v>110</v>
      </c>
      <c r="G1240" s="3">
        <v>2000</v>
      </c>
      <c r="H1240" s="5">
        <v>45588</v>
      </c>
      <c r="I1240" s="3" t="s">
        <v>101</v>
      </c>
      <c r="J1240" s="3" t="s">
        <v>68</v>
      </c>
      <c r="K1240" s="24">
        <v>352406062</v>
      </c>
      <c r="L1240" s="6" t="s">
        <v>450</v>
      </c>
    </row>
    <row r="1241" spans="1:12" customFormat="1" ht="14.4" x14ac:dyDescent="0.3">
      <c r="A1241" s="1" t="s">
        <v>12</v>
      </c>
      <c r="B1241" s="1" t="s">
        <v>13</v>
      </c>
      <c r="C1241" s="2" t="s">
        <v>14</v>
      </c>
      <c r="D1241" s="1" t="s">
        <v>152</v>
      </c>
      <c r="E1241" s="1" t="s">
        <v>153</v>
      </c>
      <c r="F1241" s="1" t="s">
        <v>154</v>
      </c>
      <c r="G1241" s="3">
        <v>2000</v>
      </c>
      <c r="H1241" s="5">
        <v>45588</v>
      </c>
      <c r="I1241" s="3" t="s">
        <v>83</v>
      </c>
      <c r="J1241" s="3" t="s">
        <v>84</v>
      </c>
      <c r="K1241" s="24">
        <v>352406063</v>
      </c>
      <c r="L1241" s="6" t="s">
        <v>450</v>
      </c>
    </row>
    <row r="1242" spans="1:12" customFormat="1" ht="14.4" x14ac:dyDescent="0.3">
      <c r="A1242" s="1" t="s">
        <v>12</v>
      </c>
      <c r="B1242" s="1" t="s">
        <v>13</v>
      </c>
      <c r="C1242" s="2" t="s">
        <v>14</v>
      </c>
      <c r="D1242" s="1" t="s">
        <v>343</v>
      </c>
      <c r="E1242" s="1" t="s">
        <v>344</v>
      </c>
      <c r="F1242" s="1" t="s">
        <v>345</v>
      </c>
      <c r="G1242" s="3">
        <v>500</v>
      </c>
      <c r="H1242" s="5">
        <v>45589</v>
      </c>
      <c r="I1242" s="3" t="s">
        <v>186</v>
      </c>
      <c r="J1242" s="3" t="s">
        <v>187</v>
      </c>
      <c r="K1242" s="22">
        <v>352406074</v>
      </c>
      <c r="L1242" s="6" t="s">
        <v>451</v>
      </c>
    </row>
    <row r="1243" spans="1:12" s="25" customFormat="1" ht="14.4" x14ac:dyDescent="0.3">
      <c r="A1243" s="22" t="s">
        <v>12</v>
      </c>
      <c r="B1243" s="22" t="s">
        <v>13</v>
      </c>
      <c r="C1243" s="22" t="s">
        <v>14</v>
      </c>
      <c r="D1243" s="22" t="s">
        <v>215</v>
      </c>
      <c r="E1243" s="22" t="s">
        <v>216</v>
      </c>
      <c r="F1243" s="22" t="s">
        <v>33</v>
      </c>
      <c r="G1243" s="23">
        <v>500</v>
      </c>
      <c r="H1243" s="5">
        <v>45589</v>
      </c>
      <c r="I1243" s="23" t="s">
        <v>155</v>
      </c>
      <c r="J1243" s="23" t="s">
        <v>156</v>
      </c>
      <c r="K1243" s="22">
        <v>352406089</v>
      </c>
      <c r="L1243" s="6" t="s">
        <v>452</v>
      </c>
    </row>
    <row r="1244" spans="1:12" customFormat="1" ht="14.4" x14ac:dyDescent="0.3">
      <c r="A1244" s="1" t="s">
        <v>12</v>
      </c>
      <c r="B1244" s="1" t="s">
        <v>13</v>
      </c>
      <c r="C1244" s="2" t="s">
        <v>14</v>
      </c>
      <c r="D1244" s="1" t="s">
        <v>343</v>
      </c>
      <c r="E1244" s="1" t="s">
        <v>344</v>
      </c>
      <c r="F1244" s="1" t="s">
        <v>345</v>
      </c>
      <c r="G1244" s="3">
        <v>500</v>
      </c>
      <c r="H1244" s="5">
        <v>45589</v>
      </c>
      <c r="I1244" s="3" t="s">
        <v>186</v>
      </c>
      <c r="J1244" s="3" t="s">
        <v>187</v>
      </c>
      <c r="K1244" s="22">
        <v>352406090</v>
      </c>
      <c r="L1244" s="6" t="s">
        <v>452</v>
      </c>
    </row>
    <row r="1245" spans="1:12" customFormat="1" ht="14.4" x14ac:dyDescent="0.3">
      <c r="A1245" s="1" t="s">
        <v>12</v>
      </c>
      <c r="B1245" s="1" t="s">
        <v>13</v>
      </c>
      <c r="C1245" s="2" t="s">
        <v>14</v>
      </c>
      <c r="D1245" s="22" t="s">
        <v>193</v>
      </c>
      <c r="E1245" s="22" t="s">
        <v>194</v>
      </c>
      <c r="F1245" s="22" t="s">
        <v>195</v>
      </c>
      <c r="G1245" s="3">
        <v>5250</v>
      </c>
      <c r="H1245" s="5">
        <v>45589</v>
      </c>
      <c r="I1245" s="3" t="s">
        <v>93</v>
      </c>
      <c r="J1245" s="3" t="s">
        <v>34</v>
      </c>
      <c r="K1245" s="24">
        <v>352406099</v>
      </c>
      <c r="L1245" s="6" t="s">
        <v>453</v>
      </c>
    </row>
    <row r="1246" spans="1:12" customFormat="1" ht="14.4" x14ac:dyDescent="0.3">
      <c r="A1246" s="1" t="s">
        <v>12</v>
      </c>
      <c r="B1246" s="1" t="s">
        <v>13</v>
      </c>
      <c r="C1246" s="2" t="s">
        <v>14</v>
      </c>
      <c r="D1246" s="3" t="s">
        <v>149</v>
      </c>
      <c r="E1246" s="18">
        <v>50100624324501</v>
      </c>
      <c r="F1246" s="3" t="s">
        <v>150</v>
      </c>
      <c r="G1246" s="3">
        <v>5250</v>
      </c>
      <c r="H1246" s="5">
        <v>45589</v>
      </c>
      <c r="I1246" s="3" t="s">
        <v>77</v>
      </c>
      <c r="J1246" s="3" t="s">
        <v>29</v>
      </c>
      <c r="K1246" s="24">
        <v>352406100</v>
      </c>
      <c r="L1246" s="6" t="s">
        <v>453</v>
      </c>
    </row>
    <row r="1247" spans="1:12" customFormat="1" ht="14.4" x14ac:dyDescent="0.3">
      <c r="A1247" s="1" t="s">
        <v>12</v>
      </c>
      <c r="B1247" s="1" t="s">
        <v>13</v>
      </c>
      <c r="C1247" s="2" t="s">
        <v>14</v>
      </c>
      <c r="D1247" s="1" t="s">
        <v>15</v>
      </c>
      <c r="E1247" s="1" t="s">
        <v>16</v>
      </c>
      <c r="F1247" s="1" t="s">
        <v>17</v>
      </c>
      <c r="G1247" s="3">
        <v>2000</v>
      </c>
      <c r="H1247" s="5">
        <v>45590</v>
      </c>
      <c r="I1247" s="3" t="s">
        <v>85</v>
      </c>
      <c r="J1247" s="3" t="s">
        <v>19</v>
      </c>
      <c r="K1247" s="24">
        <v>352406104</v>
      </c>
      <c r="L1247" s="6" t="s">
        <v>454</v>
      </c>
    </row>
    <row r="1248" spans="1:12" customFormat="1" ht="14.4" x14ac:dyDescent="0.3">
      <c r="A1248" s="1" t="s">
        <v>12</v>
      </c>
      <c r="B1248" s="1" t="s">
        <v>13</v>
      </c>
      <c r="C1248" s="2" t="s">
        <v>14</v>
      </c>
      <c r="D1248" s="1" t="s">
        <v>343</v>
      </c>
      <c r="E1248" s="1" t="s">
        <v>344</v>
      </c>
      <c r="F1248" s="1" t="s">
        <v>345</v>
      </c>
      <c r="G1248" s="3">
        <v>500</v>
      </c>
      <c r="H1248" s="5">
        <v>45590</v>
      </c>
      <c r="I1248" s="3" t="s">
        <v>186</v>
      </c>
      <c r="J1248" s="3" t="s">
        <v>187</v>
      </c>
      <c r="K1248" s="22">
        <v>352406111</v>
      </c>
      <c r="L1248" s="6" t="s">
        <v>455</v>
      </c>
    </row>
    <row r="1249" spans="1:12" customFormat="1" ht="14.4" x14ac:dyDescent="0.3">
      <c r="A1249" s="1" t="s">
        <v>12</v>
      </c>
      <c r="B1249" s="1" t="s">
        <v>13</v>
      </c>
      <c r="C1249" s="2" t="s">
        <v>14</v>
      </c>
      <c r="D1249" s="1" t="s">
        <v>343</v>
      </c>
      <c r="E1249" s="1" t="s">
        <v>344</v>
      </c>
      <c r="F1249" s="1" t="s">
        <v>345</v>
      </c>
      <c r="G1249" s="3">
        <v>500</v>
      </c>
      <c r="H1249" s="5">
        <v>45590</v>
      </c>
      <c r="I1249" s="3" t="s">
        <v>186</v>
      </c>
      <c r="J1249" s="3" t="s">
        <v>187</v>
      </c>
      <c r="K1249" s="22">
        <v>352406112</v>
      </c>
      <c r="L1249" s="6" t="s">
        <v>456</v>
      </c>
    </row>
    <row r="1250" spans="1:12" s="25" customFormat="1" ht="14.4" x14ac:dyDescent="0.3">
      <c r="A1250" s="22" t="s">
        <v>12</v>
      </c>
      <c r="B1250" s="22" t="s">
        <v>13</v>
      </c>
      <c r="C1250" s="22" t="s">
        <v>14</v>
      </c>
      <c r="D1250" s="22" t="s">
        <v>215</v>
      </c>
      <c r="E1250" s="22" t="s">
        <v>216</v>
      </c>
      <c r="F1250" s="22" t="s">
        <v>33</v>
      </c>
      <c r="G1250" s="23">
        <v>500</v>
      </c>
      <c r="H1250" s="5">
        <v>45590</v>
      </c>
      <c r="I1250" s="23" t="s">
        <v>155</v>
      </c>
      <c r="J1250" s="23" t="s">
        <v>156</v>
      </c>
      <c r="K1250" s="22">
        <v>352406124</v>
      </c>
      <c r="L1250" s="6" t="s">
        <v>457</v>
      </c>
    </row>
    <row r="1251" spans="1:12" customFormat="1" ht="14.4" x14ac:dyDescent="0.3">
      <c r="A1251" s="1" t="s">
        <v>12</v>
      </c>
      <c r="B1251" s="1" t="s">
        <v>13</v>
      </c>
      <c r="C1251" s="2" t="s">
        <v>14</v>
      </c>
      <c r="D1251" s="1" t="s">
        <v>48</v>
      </c>
      <c r="E1251" s="1" t="s">
        <v>49</v>
      </c>
      <c r="F1251" s="1" t="s">
        <v>50</v>
      </c>
      <c r="G1251" s="3">
        <v>4500</v>
      </c>
      <c r="H1251" s="5">
        <v>45590</v>
      </c>
      <c r="I1251" s="3" t="s">
        <v>117</v>
      </c>
      <c r="J1251" s="3" t="s">
        <v>118</v>
      </c>
      <c r="K1251" s="24">
        <v>352406138</v>
      </c>
      <c r="L1251" s="6" t="s">
        <v>458</v>
      </c>
    </row>
    <row r="1252" spans="1:12" customFormat="1" ht="14.4" x14ac:dyDescent="0.3">
      <c r="A1252" s="1" t="s">
        <v>12</v>
      </c>
      <c r="B1252" s="1" t="s">
        <v>13</v>
      </c>
      <c r="C1252" s="2" t="s">
        <v>14</v>
      </c>
      <c r="D1252" s="3" t="s">
        <v>149</v>
      </c>
      <c r="E1252" s="18">
        <v>50100624324501</v>
      </c>
      <c r="F1252" s="3" t="s">
        <v>150</v>
      </c>
      <c r="G1252" s="3">
        <v>4750</v>
      </c>
      <c r="H1252" s="5">
        <v>45590</v>
      </c>
      <c r="I1252" s="3" t="s">
        <v>77</v>
      </c>
      <c r="J1252" s="3" t="s">
        <v>29</v>
      </c>
      <c r="K1252" s="24">
        <v>352406141</v>
      </c>
      <c r="L1252" s="6" t="s">
        <v>459</v>
      </c>
    </row>
    <row r="1253" spans="1:12" customFormat="1" ht="14.4" x14ac:dyDescent="0.3">
      <c r="A1253" s="1" t="s">
        <v>12</v>
      </c>
      <c r="B1253" s="1" t="s">
        <v>13</v>
      </c>
      <c r="C1253" s="2" t="s">
        <v>14</v>
      </c>
      <c r="D1253" s="1" t="s">
        <v>343</v>
      </c>
      <c r="E1253" s="1" t="s">
        <v>344</v>
      </c>
      <c r="F1253" s="1" t="s">
        <v>345</v>
      </c>
      <c r="G1253" s="3">
        <v>500</v>
      </c>
      <c r="H1253" s="5">
        <v>45591</v>
      </c>
      <c r="I1253" s="3" t="s">
        <v>186</v>
      </c>
      <c r="J1253" s="3" t="s">
        <v>187</v>
      </c>
      <c r="K1253" s="22">
        <v>352406175</v>
      </c>
      <c r="L1253" s="6" t="s">
        <v>460</v>
      </c>
    </row>
    <row r="1254" spans="1:12" s="25" customFormat="1" ht="14.4" x14ac:dyDescent="0.3">
      <c r="A1254" s="22" t="s">
        <v>12</v>
      </c>
      <c r="B1254" s="22" t="s">
        <v>13</v>
      </c>
      <c r="C1254" s="22" t="s">
        <v>14</v>
      </c>
      <c r="D1254" s="22" t="s">
        <v>215</v>
      </c>
      <c r="E1254" s="22" t="s">
        <v>216</v>
      </c>
      <c r="F1254" s="22" t="s">
        <v>33</v>
      </c>
      <c r="G1254" s="23">
        <v>500</v>
      </c>
      <c r="H1254" s="5">
        <v>45591</v>
      </c>
      <c r="I1254" s="23" t="s">
        <v>155</v>
      </c>
      <c r="J1254" s="23" t="s">
        <v>156</v>
      </c>
      <c r="K1254" s="22">
        <v>352406176</v>
      </c>
      <c r="L1254" s="6" t="s">
        <v>460</v>
      </c>
    </row>
    <row r="1255" spans="1:12" customFormat="1" ht="14.4" x14ac:dyDescent="0.3">
      <c r="A1255" s="1" t="s">
        <v>12</v>
      </c>
      <c r="B1255" s="1" t="s">
        <v>13</v>
      </c>
      <c r="C1255" s="2" t="s">
        <v>14</v>
      </c>
      <c r="D1255" s="3" t="s">
        <v>149</v>
      </c>
      <c r="E1255" s="18">
        <v>50100624324501</v>
      </c>
      <c r="F1255" s="3" t="s">
        <v>150</v>
      </c>
      <c r="G1255" s="3">
        <v>500</v>
      </c>
      <c r="H1255" s="5">
        <v>45591</v>
      </c>
      <c r="I1255" s="3" t="s">
        <v>77</v>
      </c>
      <c r="J1255" s="3" t="s">
        <v>29</v>
      </c>
      <c r="K1255" s="24">
        <v>352406200</v>
      </c>
      <c r="L1255" s="6" t="s">
        <v>461</v>
      </c>
    </row>
    <row r="1256" spans="1:12" customFormat="1" ht="14.4" x14ac:dyDescent="0.3">
      <c r="A1256" s="1" t="s">
        <v>12</v>
      </c>
      <c r="B1256" s="1" t="s">
        <v>13</v>
      </c>
      <c r="C1256" s="2" t="s">
        <v>14</v>
      </c>
      <c r="D1256" s="1" t="s">
        <v>36</v>
      </c>
      <c r="E1256" s="1" t="s">
        <v>37</v>
      </c>
      <c r="F1256" s="1" t="s">
        <v>38</v>
      </c>
      <c r="G1256" s="3">
        <v>2000</v>
      </c>
      <c r="H1256" s="5">
        <v>45591</v>
      </c>
      <c r="I1256" s="3" t="s">
        <v>92</v>
      </c>
      <c r="J1256" s="3" t="s">
        <v>40</v>
      </c>
      <c r="K1256" s="24">
        <v>352406201</v>
      </c>
      <c r="L1256" s="6" t="s">
        <v>461</v>
      </c>
    </row>
    <row r="1257" spans="1:12" customFormat="1" ht="14.4" x14ac:dyDescent="0.3">
      <c r="A1257" s="1" t="s">
        <v>12</v>
      </c>
      <c r="B1257" s="1" t="s">
        <v>13</v>
      </c>
      <c r="C1257" s="2" t="s">
        <v>14</v>
      </c>
      <c r="D1257" s="22" t="s">
        <v>193</v>
      </c>
      <c r="E1257" s="22" t="s">
        <v>194</v>
      </c>
      <c r="F1257" s="22" t="s">
        <v>195</v>
      </c>
      <c r="G1257" s="3">
        <v>2000</v>
      </c>
      <c r="H1257" s="5">
        <v>45591</v>
      </c>
      <c r="I1257" s="3" t="s">
        <v>93</v>
      </c>
      <c r="J1257" s="3" t="s">
        <v>34</v>
      </c>
      <c r="K1257" s="24">
        <v>352406202</v>
      </c>
      <c r="L1257" s="6" t="s">
        <v>461</v>
      </c>
    </row>
    <row r="1258" spans="1:12" customFormat="1" ht="14.4" x14ac:dyDescent="0.3">
      <c r="A1258" s="1" t="s">
        <v>12</v>
      </c>
      <c r="B1258" s="1" t="s">
        <v>13</v>
      </c>
      <c r="C1258" s="2" t="s">
        <v>14</v>
      </c>
      <c r="D1258" s="1" t="s">
        <v>343</v>
      </c>
      <c r="E1258" s="1" t="s">
        <v>344</v>
      </c>
      <c r="F1258" s="1" t="s">
        <v>345</v>
      </c>
      <c r="G1258" s="3">
        <v>500</v>
      </c>
      <c r="H1258" s="5">
        <v>45593</v>
      </c>
      <c r="I1258" s="3" t="s">
        <v>186</v>
      </c>
      <c r="J1258" s="3" t="s">
        <v>187</v>
      </c>
      <c r="K1258" s="22">
        <v>352406233</v>
      </c>
      <c r="L1258" s="6" t="s">
        <v>463</v>
      </c>
    </row>
    <row r="1259" spans="1:12" s="25" customFormat="1" ht="14.4" x14ac:dyDescent="0.3">
      <c r="A1259" s="22" t="s">
        <v>12</v>
      </c>
      <c r="B1259" s="22" t="s">
        <v>13</v>
      </c>
      <c r="C1259" s="22" t="s">
        <v>14</v>
      </c>
      <c r="D1259" s="22" t="s">
        <v>215</v>
      </c>
      <c r="E1259" s="22" t="s">
        <v>216</v>
      </c>
      <c r="F1259" s="22" t="s">
        <v>33</v>
      </c>
      <c r="G1259" s="23">
        <v>500</v>
      </c>
      <c r="H1259" s="5">
        <v>45593</v>
      </c>
      <c r="I1259" s="23" t="s">
        <v>155</v>
      </c>
      <c r="J1259" s="23" t="s">
        <v>156</v>
      </c>
      <c r="K1259" s="22">
        <v>352406234</v>
      </c>
      <c r="L1259" s="6" t="s">
        <v>463</v>
      </c>
    </row>
    <row r="1260" spans="1:12" customFormat="1" ht="14.4" x14ac:dyDescent="0.3">
      <c r="A1260" s="1" t="s">
        <v>12</v>
      </c>
      <c r="B1260" s="1" t="s">
        <v>13</v>
      </c>
      <c r="C1260" s="2" t="s">
        <v>14</v>
      </c>
      <c r="D1260" s="1" t="s">
        <v>15</v>
      </c>
      <c r="E1260" s="1" t="s">
        <v>16</v>
      </c>
      <c r="F1260" s="1" t="s">
        <v>17</v>
      </c>
      <c r="G1260" s="3">
        <v>4000</v>
      </c>
      <c r="H1260" s="5">
        <v>45593</v>
      </c>
      <c r="I1260" s="3" t="s">
        <v>85</v>
      </c>
      <c r="J1260" s="3" t="s">
        <v>19</v>
      </c>
      <c r="K1260" s="24">
        <v>352406235</v>
      </c>
      <c r="L1260" s="6" t="s">
        <v>464</v>
      </c>
    </row>
    <row r="1261" spans="1:12" customFormat="1" ht="14.4" x14ac:dyDescent="0.3">
      <c r="A1261" s="1" t="s">
        <v>12</v>
      </c>
      <c r="B1261" s="1" t="s">
        <v>13</v>
      </c>
      <c r="C1261" s="2" t="s">
        <v>14</v>
      </c>
      <c r="D1261" s="1" t="s">
        <v>48</v>
      </c>
      <c r="E1261" s="1" t="s">
        <v>49</v>
      </c>
      <c r="F1261" s="1" t="s">
        <v>50</v>
      </c>
      <c r="G1261" s="3">
        <v>4500</v>
      </c>
      <c r="H1261" s="5">
        <v>45593</v>
      </c>
      <c r="I1261" s="3" t="s">
        <v>117</v>
      </c>
      <c r="J1261" s="3" t="s">
        <v>118</v>
      </c>
      <c r="K1261" s="24">
        <v>352406138</v>
      </c>
      <c r="L1261" s="6" t="s">
        <v>465</v>
      </c>
    </row>
    <row r="1262" spans="1:12" customFormat="1" ht="14.4" x14ac:dyDescent="0.3">
      <c r="A1262" s="1" t="s">
        <v>12</v>
      </c>
      <c r="B1262" s="1" t="s">
        <v>13</v>
      </c>
      <c r="C1262" s="2" t="s">
        <v>14</v>
      </c>
      <c r="D1262" s="1" t="s">
        <v>466</v>
      </c>
      <c r="E1262" s="1" t="s">
        <v>467</v>
      </c>
      <c r="F1262" s="1" t="s">
        <v>468</v>
      </c>
      <c r="G1262" s="3">
        <v>2000</v>
      </c>
      <c r="H1262" s="5">
        <v>45593</v>
      </c>
      <c r="I1262" s="3" t="s">
        <v>469</v>
      </c>
      <c r="J1262" s="3" t="s">
        <v>470</v>
      </c>
      <c r="K1262" s="1"/>
      <c r="L1262" s="6" t="s">
        <v>164</v>
      </c>
    </row>
    <row r="1263" spans="1:12" customFormat="1" ht="14.4" x14ac:dyDescent="0.3">
      <c r="A1263" s="1" t="s">
        <v>12</v>
      </c>
      <c r="B1263" s="1" t="s">
        <v>13</v>
      </c>
      <c r="C1263" s="2" t="s">
        <v>14</v>
      </c>
      <c r="D1263" s="1" t="s">
        <v>41</v>
      </c>
      <c r="E1263" s="1" t="s">
        <v>42</v>
      </c>
      <c r="F1263" s="1" t="s">
        <v>43</v>
      </c>
      <c r="G1263" s="3">
        <v>4000</v>
      </c>
      <c r="H1263" s="5">
        <v>45593</v>
      </c>
      <c r="I1263" s="3" t="s">
        <v>87</v>
      </c>
      <c r="J1263" s="3" t="s">
        <v>45</v>
      </c>
      <c r="K1263" s="24">
        <v>352406238</v>
      </c>
      <c r="L1263" s="6" t="s">
        <v>462</v>
      </c>
    </row>
    <row r="1264" spans="1:12" customFormat="1" ht="14.4" x14ac:dyDescent="0.3">
      <c r="A1264" s="1" t="s">
        <v>12</v>
      </c>
      <c r="B1264" s="1" t="s">
        <v>13</v>
      </c>
      <c r="C1264" s="2" t="s">
        <v>14</v>
      </c>
      <c r="D1264" s="1" t="s">
        <v>152</v>
      </c>
      <c r="E1264" s="1" t="s">
        <v>153</v>
      </c>
      <c r="F1264" s="1" t="s">
        <v>154</v>
      </c>
      <c r="G1264" s="3">
        <v>7500</v>
      </c>
      <c r="H1264" s="5">
        <v>45593</v>
      </c>
      <c r="I1264" s="3" t="s">
        <v>83</v>
      </c>
      <c r="J1264" s="3" t="s">
        <v>84</v>
      </c>
      <c r="K1264" s="24">
        <v>352406232</v>
      </c>
      <c r="L1264" s="6" t="s">
        <v>471</v>
      </c>
    </row>
    <row r="1265" spans="1:12" customFormat="1" ht="14.4" x14ac:dyDescent="0.3">
      <c r="A1265" s="1" t="s">
        <v>12</v>
      </c>
      <c r="B1265" s="1" t="s">
        <v>13</v>
      </c>
      <c r="C1265" s="2" t="s">
        <v>14</v>
      </c>
      <c r="D1265" s="1" t="s">
        <v>343</v>
      </c>
      <c r="E1265" s="1" t="s">
        <v>344</v>
      </c>
      <c r="F1265" s="1" t="s">
        <v>345</v>
      </c>
      <c r="G1265" s="3">
        <v>500</v>
      </c>
      <c r="H1265" s="5">
        <v>45594</v>
      </c>
      <c r="I1265" s="3" t="s">
        <v>186</v>
      </c>
      <c r="J1265" s="3" t="s">
        <v>187</v>
      </c>
      <c r="K1265" s="22">
        <v>352406253</v>
      </c>
      <c r="L1265" s="6" t="s">
        <v>472</v>
      </c>
    </row>
    <row r="1266" spans="1:12" s="25" customFormat="1" ht="14.4" x14ac:dyDescent="0.3">
      <c r="A1266" s="22" t="s">
        <v>12</v>
      </c>
      <c r="B1266" s="22" t="s">
        <v>13</v>
      </c>
      <c r="C1266" s="22" t="s">
        <v>14</v>
      </c>
      <c r="D1266" s="22" t="s">
        <v>215</v>
      </c>
      <c r="E1266" s="22" t="s">
        <v>216</v>
      </c>
      <c r="F1266" s="22" t="s">
        <v>33</v>
      </c>
      <c r="G1266" s="23">
        <v>500</v>
      </c>
      <c r="H1266" s="5">
        <v>45594</v>
      </c>
      <c r="I1266" s="23" t="s">
        <v>155</v>
      </c>
      <c r="J1266" s="23" t="s">
        <v>156</v>
      </c>
      <c r="K1266" s="22">
        <v>352406254</v>
      </c>
      <c r="L1266" s="6" t="s">
        <v>473</v>
      </c>
    </row>
    <row r="1267" spans="1:12" s="25" customFormat="1" ht="14.4" x14ac:dyDescent="0.3">
      <c r="A1267" s="22" t="s">
        <v>12</v>
      </c>
      <c r="B1267" s="22" t="s">
        <v>13</v>
      </c>
      <c r="C1267" s="22" t="s">
        <v>14</v>
      </c>
      <c r="D1267" s="22" t="s">
        <v>215</v>
      </c>
      <c r="E1267" s="22" t="s">
        <v>216</v>
      </c>
      <c r="F1267" s="22" t="s">
        <v>33</v>
      </c>
      <c r="G1267" s="23">
        <v>500</v>
      </c>
      <c r="H1267" s="5">
        <v>45594</v>
      </c>
      <c r="I1267" s="23" t="s">
        <v>155</v>
      </c>
      <c r="J1267" s="23" t="s">
        <v>156</v>
      </c>
      <c r="K1267" s="22">
        <v>352406276</v>
      </c>
      <c r="L1267" s="6" t="s">
        <v>474</v>
      </c>
    </row>
    <row r="1268" spans="1:12" customFormat="1" ht="14.4" x14ac:dyDescent="0.3">
      <c r="A1268" s="1" t="s">
        <v>12</v>
      </c>
      <c r="B1268" s="1" t="s">
        <v>13</v>
      </c>
      <c r="C1268" s="2" t="s">
        <v>14</v>
      </c>
      <c r="D1268" s="1" t="s">
        <v>343</v>
      </c>
      <c r="E1268" s="1" t="s">
        <v>344</v>
      </c>
      <c r="F1268" s="1" t="s">
        <v>345</v>
      </c>
      <c r="G1268" s="3">
        <v>500</v>
      </c>
      <c r="H1268" s="5">
        <v>45594</v>
      </c>
      <c r="I1268" s="3" t="s">
        <v>186</v>
      </c>
      <c r="J1268" s="3" t="s">
        <v>187</v>
      </c>
      <c r="K1268" s="22">
        <v>352406277</v>
      </c>
      <c r="L1268" s="6" t="s">
        <v>474</v>
      </c>
    </row>
    <row r="1269" spans="1:12" customFormat="1" ht="14.4" x14ac:dyDescent="0.3">
      <c r="A1269" s="1" t="s">
        <v>12</v>
      </c>
      <c r="B1269" s="1" t="s">
        <v>13</v>
      </c>
      <c r="C1269" s="2" t="s">
        <v>14</v>
      </c>
      <c r="D1269" s="1" t="s">
        <v>41</v>
      </c>
      <c r="E1269" s="1" t="s">
        <v>42</v>
      </c>
      <c r="F1269" s="1" t="s">
        <v>43</v>
      </c>
      <c r="G1269" s="3">
        <v>500</v>
      </c>
      <c r="H1269" s="5">
        <v>45594</v>
      </c>
      <c r="I1269" s="3" t="s">
        <v>87</v>
      </c>
      <c r="J1269" s="3" t="s">
        <v>45</v>
      </c>
      <c r="K1269" s="24">
        <v>352406279</v>
      </c>
      <c r="L1269" s="6" t="s">
        <v>475</v>
      </c>
    </row>
    <row r="1270" spans="1:12" customFormat="1" ht="14.4" x14ac:dyDescent="0.3">
      <c r="A1270" s="1" t="s">
        <v>12</v>
      </c>
      <c r="B1270" s="1" t="s">
        <v>13</v>
      </c>
      <c r="C1270" s="2" t="s">
        <v>14</v>
      </c>
      <c r="D1270" s="1" t="s">
        <v>36</v>
      </c>
      <c r="E1270" s="1" t="s">
        <v>37</v>
      </c>
      <c r="F1270" s="1" t="s">
        <v>38</v>
      </c>
      <c r="G1270" s="3">
        <v>400</v>
      </c>
      <c r="H1270" s="5">
        <v>45596</v>
      </c>
      <c r="I1270" s="3" t="s">
        <v>97</v>
      </c>
      <c r="J1270" s="3" t="s">
        <v>98</v>
      </c>
      <c r="K1270" s="24">
        <v>352406294</v>
      </c>
      <c r="L1270" s="6" t="s">
        <v>476</v>
      </c>
    </row>
    <row r="1271" spans="1:12" customFormat="1" ht="14.4" x14ac:dyDescent="0.3">
      <c r="A1271" s="10" t="s">
        <v>12</v>
      </c>
      <c r="B1271" s="10" t="s">
        <v>13</v>
      </c>
      <c r="C1271" s="10" t="s">
        <v>14</v>
      </c>
      <c r="D1271" s="10" t="s">
        <v>343</v>
      </c>
      <c r="E1271" s="10" t="s">
        <v>344</v>
      </c>
      <c r="F1271" s="10" t="s">
        <v>345</v>
      </c>
      <c r="G1271" s="13">
        <v>500</v>
      </c>
      <c r="H1271" s="12">
        <v>45596</v>
      </c>
      <c r="I1271" s="13" t="s">
        <v>186</v>
      </c>
      <c r="J1271" s="13" t="s">
        <v>187</v>
      </c>
      <c r="K1271" s="10">
        <v>352406311</v>
      </c>
      <c r="L1271" s="14" t="s">
        <v>477</v>
      </c>
    </row>
    <row r="1272" spans="1:12" s="25" customFormat="1" ht="14.4" x14ac:dyDescent="0.3">
      <c r="A1272" s="22" t="s">
        <v>12</v>
      </c>
      <c r="B1272" s="22" t="s">
        <v>13</v>
      </c>
      <c r="C1272" s="22" t="s">
        <v>14</v>
      </c>
      <c r="D1272" s="22" t="s">
        <v>215</v>
      </c>
      <c r="E1272" s="22" t="s">
        <v>216</v>
      </c>
      <c r="F1272" s="22" t="s">
        <v>33</v>
      </c>
      <c r="G1272" s="23">
        <v>500</v>
      </c>
      <c r="H1272" s="5">
        <v>45596</v>
      </c>
      <c r="I1272" s="23" t="s">
        <v>155</v>
      </c>
      <c r="J1272" s="23" t="s">
        <v>156</v>
      </c>
      <c r="K1272" s="22">
        <v>352406312</v>
      </c>
      <c r="L1272" s="6" t="s">
        <v>477</v>
      </c>
    </row>
    <row r="1273" spans="1:12" customFormat="1" ht="14.4" x14ac:dyDescent="0.3">
      <c r="A1273" s="1" t="s">
        <v>12</v>
      </c>
      <c r="B1273" s="1" t="s">
        <v>13</v>
      </c>
      <c r="C1273" s="2" t="s">
        <v>14</v>
      </c>
      <c r="D1273" s="3" t="s">
        <v>149</v>
      </c>
      <c r="E1273" s="18">
        <v>50100624324501</v>
      </c>
      <c r="F1273" s="3" t="s">
        <v>150</v>
      </c>
      <c r="G1273" s="3">
        <v>3000</v>
      </c>
      <c r="H1273" s="5">
        <v>45596</v>
      </c>
      <c r="I1273" s="3" t="s">
        <v>77</v>
      </c>
      <c r="J1273" s="3" t="s">
        <v>29</v>
      </c>
      <c r="K1273" s="24">
        <v>352406331</v>
      </c>
      <c r="L1273" s="6" t="s">
        <v>478</v>
      </c>
    </row>
    <row r="1274" spans="1:12" customFormat="1" ht="14.4" x14ac:dyDescent="0.3">
      <c r="A1274" s="1" t="s">
        <v>12</v>
      </c>
      <c r="B1274" s="1" t="s">
        <v>13</v>
      </c>
      <c r="C1274" s="2" t="s">
        <v>14</v>
      </c>
      <c r="D1274" s="1" t="s">
        <v>36</v>
      </c>
      <c r="E1274" s="1" t="s">
        <v>37</v>
      </c>
      <c r="F1274" s="1" t="s">
        <v>38</v>
      </c>
      <c r="G1274" s="3">
        <v>3000</v>
      </c>
      <c r="H1274" s="5">
        <v>45596</v>
      </c>
      <c r="I1274" s="3" t="s">
        <v>92</v>
      </c>
      <c r="J1274" s="3" t="s">
        <v>40</v>
      </c>
      <c r="K1274" s="24">
        <v>352406332</v>
      </c>
      <c r="L1274" s="6" t="s">
        <v>478</v>
      </c>
    </row>
    <row r="1275" spans="1:12" customFormat="1" ht="14.4" x14ac:dyDescent="0.3">
      <c r="A1275" s="1" t="s">
        <v>12</v>
      </c>
      <c r="B1275" s="1" t="s">
        <v>13</v>
      </c>
      <c r="C1275" s="2" t="s">
        <v>14</v>
      </c>
      <c r="D1275" s="22" t="s">
        <v>193</v>
      </c>
      <c r="E1275" s="22" t="s">
        <v>194</v>
      </c>
      <c r="F1275" s="22" t="s">
        <v>195</v>
      </c>
      <c r="G1275" s="3">
        <v>3000</v>
      </c>
      <c r="H1275" s="5">
        <v>45596</v>
      </c>
      <c r="I1275" s="3" t="s">
        <v>93</v>
      </c>
      <c r="J1275" s="3" t="s">
        <v>34</v>
      </c>
      <c r="K1275" s="24">
        <v>352406333</v>
      </c>
      <c r="L1275" s="6" t="s">
        <v>479</v>
      </c>
    </row>
    <row r="1276" spans="1:12" customFormat="1" ht="14.4" x14ac:dyDescent="0.3">
      <c r="A1276" s="1" t="s">
        <v>12</v>
      </c>
      <c r="B1276" s="1" t="s">
        <v>13</v>
      </c>
      <c r="C1276" s="2" t="s">
        <v>14</v>
      </c>
      <c r="D1276" s="1" t="s">
        <v>95</v>
      </c>
      <c r="E1276" s="1" t="s">
        <v>96</v>
      </c>
      <c r="F1276" s="1" t="s">
        <v>33</v>
      </c>
      <c r="G1276" s="1">
        <v>2000</v>
      </c>
      <c r="H1276" s="5">
        <v>45596</v>
      </c>
      <c r="I1276" s="3" t="s">
        <v>90</v>
      </c>
      <c r="J1276" s="3" t="s">
        <v>76</v>
      </c>
      <c r="K1276" s="1"/>
      <c r="L1276" s="6" t="s">
        <v>480</v>
      </c>
    </row>
    <row r="1277" spans="1:12" s="25" customFormat="1" ht="14.4" x14ac:dyDescent="0.3">
      <c r="A1277" s="22" t="s">
        <v>12</v>
      </c>
      <c r="B1277" s="22" t="s">
        <v>13</v>
      </c>
      <c r="C1277" s="22" t="s">
        <v>14</v>
      </c>
      <c r="D1277" s="22" t="s">
        <v>215</v>
      </c>
      <c r="E1277" s="22" t="s">
        <v>216</v>
      </c>
      <c r="F1277" s="22" t="s">
        <v>33</v>
      </c>
      <c r="G1277" s="23">
        <v>500</v>
      </c>
      <c r="H1277" s="5">
        <v>45596</v>
      </c>
      <c r="I1277" s="23" t="s">
        <v>155</v>
      </c>
      <c r="J1277" s="23" t="s">
        <v>156</v>
      </c>
      <c r="K1277" s="22">
        <v>352406349</v>
      </c>
      <c r="L1277" s="6" t="s">
        <v>481</v>
      </c>
    </row>
    <row r="1278" spans="1:12" s="25" customFormat="1" ht="14.4" x14ac:dyDescent="0.3">
      <c r="A1278" s="22" t="s">
        <v>12</v>
      </c>
      <c r="B1278" s="22" t="s">
        <v>13</v>
      </c>
      <c r="C1278" s="22" t="s">
        <v>14</v>
      </c>
      <c r="D1278" s="22" t="s">
        <v>215</v>
      </c>
      <c r="E1278" s="22" t="s">
        <v>216</v>
      </c>
      <c r="F1278" s="22" t="s">
        <v>33</v>
      </c>
      <c r="G1278" s="23">
        <v>500</v>
      </c>
      <c r="H1278" s="5">
        <v>45596</v>
      </c>
      <c r="I1278" s="23" t="s">
        <v>155</v>
      </c>
      <c r="J1278" s="23" t="s">
        <v>156</v>
      </c>
      <c r="K1278" s="22">
        <v>352406350</v>
      </c>
      <c r="L1278" s="6" t="s">
        <v>482</v>
      </c>
    </row>
    <row r="1279" spans="1:12" customFormat="1" ht="14.4" x14ac:dyDescent="0.3">
      <c r="A1279" s="1" t="s">
        <v>12</v>
      </c>
      <c r="B1279" s="1" t="s">
        <v>13</v>
      </c>
      <c r="C1279" s="2" t="s">
        <v>14</v>
      </c>
      <c r="D1279" s="1" t="s">
        <v>48</v>
      </c>
      <c r="E1279" s="1" t="s">
        <v>49</v>
      </c>
      <c r="F1279" s="1" t="s">
        <v>50</v>
      </c>
      <c r="G1279" s="3">
        <v>4750</v>
      </c>
      <c r="H1279" s="5">
        <v>45596</v>
      </c>
      <c r="I1279" s="3" t="s">
        <v>206</v>
      </c>
      <c r="J1279" s="3" t="s">
        <v>52</v>
      </c>
      <c r="K1279" s="24"/>
      <c r="L1279" s="6" t="s">
        <v>483</v>
      </c>
    </row>
    <row r="1280" spans="1:12" customFormat="1" ht="14.4" x14ac:dyDescent="0.3">
      <c r="A1280" s="1" t="s">
        <v>12</v>
      </c>
      <c r="B1280" s="1" t="s">
        <v>13</v>
      </c>
      <c r="C1280" s="2" t="s">
        <v>14</v>
      </c>
      <c r="D1280" s="1" t="s">
        <v>36</v>
      </c>
      <c r="E1280" s="1" t="s">
        <v>37</v>
      </c>
      <c r="F1280" s="1" t="s">
        <v>38</v>
      </c>
      <c r="G1280" s="3">
        <v>5000</v>
      </c>
      <c r="H1280" s="5">
        <v>45596</v>
      </c>
      <c r="I1280" s="3" t="s">
        <v>92</v>
      </c>
      <c r="J1280" s="3" t="s">
        <v>40</v>
      </c>
      <c r="K1280" s="24">
        <v>352406363</v>
      </c>
      <c r="L1280" s="6" t="s">
        <v>484</v>
      </c>
    </row>
    <row r="1281" spans="1:12" customFormat="1" ht="14.4" x14ac:dyDescent="0.3">
      <c r="A1281" s="1" t="s">
        <v>12</v>
      </c>
      <c r="B1281" s="1" t="s">
        <v>13</v>
      </c>
      <c r="C1281" s="2" t="s">
        <v>14</v>
      </c>
      <c r="D1281" s="1" t="s">
        <v>343</v>
      </c>
      <c r="E1281" s="1" t="s">
        <v>344</v>
      </c>
      <c r="F1281" s="1" t="s">
        <v>345</v>
      </c>
      <c r="G1281" s="3">
        <v>500</v>
      </c>
      <c r="H1281" s="5">
        <v>45597</v>
      </c>
      <c r="I1281" s="3" t="s">
        <v>186</v>
      </c>
      <c r="J1281" s="3" t="s">
        <v>187</v>
      </c>
      <c r="K1281" s="22">
        <v>352406311</v>
      </c>
      <c r="L1281" s="6" t="s">
        <v>477</v>
      </c>
    </row>
    <row r="1282" spans="1:12" customFormat="1" ht="14.4" x14ac:dyDescent="0.3">
      <c r="A1282" s="1" t="s">
        <v>12</v>
      </c>
      <c r="B1282" s="1" t="s">
        <v>13</v>
      </c>
      <c r="C1282" s="2" t="s">
        <v>14</v>
      </c>
      <c r="D1282" s="1" t="s">
        <v>343</v>
      </c>
      <c r="E1282" s="1" t="s">
        <v>344</v>
      </c>
      <c r="F1282" s="1" t="s">
        <v>345</v>
      </c>
      <c r="G1282" s="3">
        <v>500</v>
      </c>
      <c r="H1282" s="5">
        <v>45597</v>
      </c>
      <c r="I1282" s="3" t="s">
        <v>186</v>
      </c>
      <c r="J1282" s="3" t="s">
        <v>187</v>
      </c>
      <c r="K1282" s="22">
        <v>352406381</v>
      </c>
      <c r="L1282" s="6" t="s">
        <v>485</v>
      </c>
    </row>
    <row r="1283" spans="1:12" s="25" customFormat="1" ht="14.4" x14ac:dyDescent="0.3">
      <c r="A1283" s="22" t="s">
        <v>12</v>
      </c>
      <c r="B1283" s="22" t="s">
        <v>13</v>
      </c>
      <c r="C1283" s="22" t="s">
        <v>14</v>
      </c>
      <c r="D1283" s="22" t="s">
        <v>215</v>
      </c>
      <c r="E1283" s="22" t="s">
        <v>216</v>
      </c>
      <c r="F1283" s="22" t="s">
        <v>33</v>
      </c>
      <c r="G1283" s="23">
        <v>500</v>
      </c>
      <c r="H1283" s="5">
        <v>45597</v>
      </c>
      <c r="I1283" s="23" t="s">
        <v>155</v>
      </c>
      <c r="J1283" s="23" t="s">
        <v>156</v>
      </c>
      <c r="K1283" s="22">
        <v>352406382</v>
      </c>
      <c r="L1283" s="6" t="s">
        <v>485</v>
      </c>
    </row>
    <row r="1284" spans="1:12" customFormat="1" ht="14.4" x14ac:dyDescent="0.3">
      <c r="A1284" s="1" t="s">
        <v>12</v>
      </c>
      <c r="B1284" s="1" t="s">
        <v>13</v>
      </c>
      <c r="C1284" s="2" t="s">
        <v>14</v>
      </c>
      <c r="D1284" s="1" t="s">
        <v>108</v>
      </c>
      <c r="E1284" s="1" t="s">
        <v>109</v>
      </c>
      <c r="F1284" s="1" t="s">
        <v>110</v>
      </c>
      <c r="G1284" s="3">
        <v>2000</v>
      </c>
      <c r="H1284" s="5">
        <v>45600</v>
      </c>
      <c r="I1284" s="3" t="s">
        <v>101</v>
      </c>
      <c r="J1284" s="3" t="s">
        <v>68</v>
      </c>
      <c r="K1284" s="24">
        <v>352406399</v>
      </c>
      <c r="L1284" s="6" t="s">
        <v>486</v>
      </c>
    </row>
    <row r="1285" spans="1:12" customFormat="1" ht="14.4" x14ac:dyDescent="0.3">
      <c r="A1285" s="1" t="s">
        <v>12</v>
      </c>
      <c r="B1285" s="1" t="s">
        <v>13</v>
      </c>
      <c r="C1285" s="2" t="s">
        <v>14</v>
      </c>
      <c r="D1285" s="1" t="s">
        <v>48</v>
      </c>
      <c r="E1285" s="1" t="s">
        <v>49</v>
      </c>
      <c r="F1285" s="1" t="s">
        <v>50</v>
      </c>
      <c r="G1285" s="3">
        <v>2000</v>
      </c>
      <c r="H1285" s="5">
        <v>45600</v>
      </c>
      <c r="I1285" s="3" t="s">
        <v>206</v>
      </c>
      <c r="J1285" s="3" t="s">
        <v>52</v>
      </c>
      <c r="K1285" s="24">
        <v>352406400</v>
      </c>
      <c r="L1285" s="6" t="s">
        <v>486</v>
      </c>
    </row>
    <row r="1286" spans="1:12" s="25" customFormat="1" ht="14.4" x14ac:dyDescent="0.3">
      <c r="A1286" s="22" t="s">
        <v>12</v>
      </c>
      <c r="B1286" s="22" t="s">
        <v>13</v>
      </c>
      <c r="C1286" s="22" t="s">
        <v>14</v>
      </c>
      <c r="D1286" s="22" t="s">
        <v>215</v>
      </c>
      <c r="E1286" s="22" t="s">
        <v>216</v>
      </c>
      <c r="F1286" s="22" t="s">
        <v>33</v>
      </c>
      <c r="G1286" s="23">
        <v>500</v>
      </c>
      <c r="H1286" s="5">
        <v>45601</v>
      </c>
      <c r="I1286" s="23" t="s">
        <v>155</v>
      </c>
      <c r="J1286" s="23" t="s">
        <v>156</v>
      </c>
      <c r="K1286" s="22">
        <v>352406413</v>
      </c>
      <c r="L1286" s="6" t="s">
        <v>487</v>
      </c>
    </row>
    <row r="1287" spans="1:12" customFormat="1" ht="14.4" x14ac:dyDescent="0.3">
      <c r="A1287" s="1" t="s">
        <v>12</v>
      </c>
      <c r="B1287" s="1" t="s">
        <v>13</v>
      </c>
      <c r="C1287" s="2" t="s">
        <v>14</v>
      </c>
      <c r="D1287" s="1" t="s">
        <v>343</v>
      </c>
      <c r="E1287" s="1" t="s">
        <v>344</v>
      </c>
      <c r="F1287" s="1" t="s">
        <v>345</v>
      </c>
      <c r="G1287" s="3">
        <v>500</v>
      </c>
      <c r="H1287" s="5">
        <v>45601</v>
      </c>
      <c r="I1287" s="3" t="s">
        <v>186</v>
      </c>
      <c r="J1287" s="3" t="s">
        <v>187</v>
      </c>
      <c r="K1287" s="22">
        <v>352406420</v>
      </c>
      <c r="L1287" s="6" t="s">
        <v>489</v>
      </c>
    </row>
    <row r="1288" spans="1:12" customFormat="1" ht="14.4" x14ac:dyDescent="0.3">
      <c r="A1288" s="1" t="s">
        <v>12</v>
      </c>
      <c r="B1288" s="1" t="s">
        <v>13</v>
      </c>
      <c r="C1288" s="2" t="s">
        <v>14</v>
      </c>
      <c r="D1288" s="1" t="s">
        <v>343</v>
      </c>
      <c r="E1288" s="1" t="s">
        <v>344</v>
      </c>
      <c r="F1288" s="1" t="s">
        <v>345</v>
      </c>
      <c r="G1288" s="3">
        <v>500</v>
      </c>
      <c r="H1288" s="5">
        <v>45601</v>
      </c>
      <c r="I1288" s="3" t="s">
        <v>186</v>
      </c>
      <c r="J1288" s="3" t="s">
        <v>187</v>
      </c>
      <c r="K1288" s="22">
        <v>352406421</v>
      </c>
      <c r="L1288" s="6" t="s">
        <v>488</v>
      </c>
    </row>
    <row r="1289" spans="1:12" customFormat="1" ht="14.4" x14ac:dyDescent="0.3">
      <c r="A1289" s="1" t="s">
        <v>12</v>
      </c>
      <c r="B1289" s="1" t="s">
        <v>13</v>
      </c>
      <c r="C1289" s="2" t="s">
        <v>14</v>
      </c>
      <c r="D1289" s="1" t="s">
        <v>36</v>
      </c>
      <c r="E1289" s="1" t="s">
        <v>37</v>
      </c>
      <c r="F1289" s="1" t="s">
        <v>38</v>
      </c>
      <c r="G1289" s="3">
        <v>500</v>
      </c>
      <c r="H1289" s="5">
        <v>45602</v>
      </c>
      <c r="I1289" s="3" t="s">
        <v>469</v>
      </c>
      <c r="J1289" s="3" t="s">
        <v>470</v>
      </c>
      <c r="K1289" s="24">
        <v>352406414</v>
      </c>
      <c r="L1289" s="6" t="s">
        <v>490</v>
      </c>
    </row>
    <row r="1290" spans="1:12" customFormat="1" ht="14.4" x14ac:dyDescent="0.3">
      <c r="A1290" s="1" t="s">
        <v>12</v>
      </c>
      <c r="B1290" s="1" t="s">
        <v>13</v>
      </c>
      <c r="C1290" s="2" t="s">
        <v>14</v>
      </c>
      <c r="D1290" s="1" t="s">
        <v>36</v>
      </c>
      <c r="E1290" s="1" t="s">
        <v>37</v>
      </c>
      <c r="F1290" s="1" t="s">
        <v>38</v>
      </c>
      <c r="G1290" s="3">
        <v>5250</v>
      </c>
      <c r="H1290" s="5">
        <v>45602</v>
      </c>
      <c r="I1290" s="3" t="s">
        <v>92</v>
      </c>
      <c r="J1290" s="3" t="s">
        <v>40</v>
      </c>
      <c r="K1290" s="24">
        <v>352406454</v>
      </c>
      <c r="L1290" s="6" t="s">
        <v>491</v>
      </c>
    </row>
    <row r="1291" spans="1:12" customFormat="1" ht="14.4" x14ac:dyDescent="0.3">
      <c r="A1291" s="1" t="s">
        <v>12</v>
      </c>
      <c r="B1291" s="1" t="s">
        <v>13</v>
      </c>
      <c r="C1291" s="2" t="s">
        <v>14</v>
      </c>
      <c r="D1291" s="1" t="s">
        <v>152</v>
      </c>
      <c r="E1291" s="1" t="s">
        <v>153</v>
      </c>
      <c r="F1291" s="1" t="s">
        <v>154</v>
      </c>
      <c r="G1291" s="3">
        <v>5250</v>
      </c>
      <c r="H1291" s="5">
        <v>45602</v>
      </c>
      <c r="I1291" s="3" t="s">
        <v>83</v>
      </c>
      <c r="J1291" s="3" t="s">
        <v>84</v>
      </c>
      <c r="K1291" s="24">
        <v>352406455</v>
      </c>
      <c r="L1291" s="6" t="s">
        <v>491</v>
      </c>
    </row>
    <row r="1292" spans="1:12" customFormat="1" ht="14.4" x14ac:dyDescent="0.3">
      <c r="A1292" s="1" t="s">
        <v>12</v>
      </c>
      <c r="B1292" s="1" t="s">
        <v>13</v>
      </c>
      <c r="C1292" s="2" t="s">
        <v>14</v>
      </c>
      <c r="D1292" s="3" t="s">
        <v>149</v>
      </c>
      <c r="E1292" s="18">
        <v>50100624324501</v>
      </c>
      <c r="F1292" s="3" t="s">
        <v>150</v>
      </c>
      <c r="G1292" s="3">
        <v>5250</v>
      </c>
      <c r="H1292" s="5">
        <v>45602</v>
      </c>
      <c r="I1292" s="3" t="s">
        <v>77</v>
      </c>
      <c r="J1292" s="3" t="s">
        <v>29</v>
      </c>
      <c r="K1292" s="24">
        <v>352406456</v>
      </c>
      <c r="L1292" s="6" t="s">
        <v>491</v>
      </c>
    </row>
    <row r="1293" spans="1:12" customFormat="1" ht="14.4" x14ac:dyDescent="0.3">
      <c r="A1293" s="1" t="s">
        <v>12</v>
      </c>
      <c r="B1293" s="1" t="s">
        <v>13</v>
      </c>
      <c r="C1293" s="2" t="s">
        <v>14</v>
      </c>
      <c r="D1293" s="1" t="s">
        <v>15</v>
      </c>
      <c r="E1293" s="1" t="s">
        <v>16</v>
      </c>
      <c r="F1293" s="1" t="s">
        <v>17</v>
      </c>
      <c r="G1293" s="3">
        <v>4000</v>
      </c>
      <c r="H1293" s="5">
        <v>45602</v>
      </c>
      <c r="I1293" s="3" t="s">
        <v>85</v>
      </c>
      <c r="J1293" s="3" t="s">
        <v>19</v>
      </c>
      <c r="K1293" s="24">
        <v>352406457</v>
      </c>
      <c r="L1293" s="6" t="s">
        <v>492</v>
      </c>
    </row>
    <row r="1294" spans="1:12" s="25" customFormat="1" ht="14.4" x14ac:dyDescent="0.3">
      <c r="A1294" s="22" t="s">
        <v>12</v>
      </c>
      <c r="B1294" s="22" t="s">
        <v>13</v>
      </c>
      <c r="C1294" s="22" t="s">
        <v>14</v>
      </c>
      <c r="D1294" s="22" t="s">
        <v>215</v>
      </c>
      <c r="E1294" s="22" t="s">
        <v>216</v>
      </c>
      <c r="F1294" s="22" t="s">
        <v>33</v>
      </c>
      <c r="G1294" s="23">
        <v>500</v>
      </c>
      <c r="H1294" s="5">
        <v>45602</v>
      </c>
      <c r="I1294" s="23" t="s">
        <v>155</v>
      </c>
      <c r="J1294" s="23" t="s">
        <v>156</v>
      </c>
      <c r="K1294" s="22">
        <v>352406458</v>
      </c>
      <c r="L1294" s="6" t="s">
        <v>493</v>
      </c>
    </row>
    <row r="1295" spans="1:12" customFormat="1" ht="14.4" x14ac:dyDescent="0.3">
      <c r="A1295" s="1" t="s">
        <v>12</v>
      </c>
      <c r="B1295" s="1" t="s">
        <v>13</v>
      </c>
      <c r="C1295" s="2" t="s">
        <v>14</v>
      </c>
      <c r="D1295" s="1" t="s">
        <v>41</v>
      </c>
      <c r="E1295" s="1" t="s">
        <v>61</v>
      </c>
      <c r="F1295" s="1" t="s">
        <v>62</v>
      </c>
      <c r="G1295" s="3">
        <v>1300</v>
      </c>
      <c r="H1295" s="5">
        <v>45602</v>
      </c>
      <c r="I1295" s="3" t="s">
        <v>204</v>
      </c>
      <c r="J1295" s="3" t="s">
        <v>205</v>
      </c>
      <c r="K1295" s="24">
        <v>352406459</v>
      </c>
      <c r="L1295" s="6" t="s">
        <v>494</v>
      </c>
    </row>
    <row r="1296" spans="1:12" customFormat="1" ht="14.4" x14ac:dyDescent="0.3">
      <c r="A1296" s="1" t="s">
        <v>12</v>
      </c>
      <c r="B1296" s="1" t="s">
        <v>13</v>
      </c>
      <c r="C1296" s="2" t="s">
        <v>14</v>
      </c>
      <c r="D1296" s="1" t="s">
        <v>41</v>
      </c>
      <c r="E1296" s="1" t="s">
        <v>61</v>
      </c>
      <c r="F1296" s="1" t="s">
        <v>62</v>
      </c>
      <c r="G1296" s="3">
        <v>1300</v>
      </c>
      <c r="H1296" s="5">
        <v>45602</v>
      </c>
      <c r="I1296" s="3" t="s">
        <v>204</v>
      </c>
      <c r="J1296" s="3" t="s">
        <v>205</v>
      </c>
      <c r="K1296" s="24">
        <v>352406460</v>
      </c>
      <c r="L1296" s="6" t="s">
        <v>494</v>
      </c>
    </row>
    <row r="1297" spans="1:12" s="25" customFormat="1" ht="13.8" customHeight="1" x14ac:dyDescent="0.3">
      <c r="A1297" s="22" t="s">
        <v>12</v>
      </c>
      <c r="B1297" s="22" t="s">
        <v>13</v>
      </c>
      <c r="C1297" s="22" t="s">
        <v>14</v>
      </c>
      <c r="D1297" s="1" t="s">
        <v>376</v>
      </c>
      <c r="E1297" s="7" t="s">
        <v>385</v>
      </c>
      <c r="F1297" s="1" t="s">
        <v>33</v>
      </c>
      <c r="G1297" s="23">
        <v>500</v>
      </c>
      <c r="H1297" s="5">
        <v>45602</v>
      </c>
      <c r="I1297" s="23" t="s">
        <v>175</v>
      </c>
      <c r="J1297" s="23" t="s">
        <v>176</v>
      </c>
      <c r="K1297" s="24">
        <v>352406461</v>
      </c>
      <c r="L1297" s="6" t="s">
        <v>495</v>
      </c>
    </row>
    <row r="1298" spans="1:12" s="25" customFormat="1" ht="13.8" customHeight="1" x14ac:dyDescent="0.3">
      <c r="A1298" s="22" t="s">
        <v>12</v>
      </c>
      <c r="B1298" s="22" t="s">
        <v>13</v>
      </c>
      <c r="C1298" s="22" t="s">
        <v>14</v>
      </c>
      <c r="D1298" s="1" t="s">
        <v>376</v>
      </c>
      <c r="E1298" s="7" t="s">
        <v>385</v>
      </c>
      <c r="F1298" s="1" t="s">
        <v>33</v>
      </c>
      <c r="G1298" s="23">
        <v>500</v>
      </c>
      <c r="H1298" s="5">
        <v>45602</v>
      </c>
      <c r="I1298" s="23" t="s">
        <v>175</v>
      </c>
      <c r="J1298" s="23" t="s">
        <v>176</v>
      </c>
      <c r="K1298" s="24">
        <v>352406462</v>
      </c>
      <c r="L1298" s="6" t="s">
        <v>495</v>
      </c>
    </row>
    <row r="1299" spans="1:12" customFormat="1" ht="14.4" x14ac:dyDescent="0.3">
      <c r="A1299" s="1" t="s">
        <v>12</v>
      </c>
      <c r="B1299" s="1" t="s">
        <v>13</v>
      </c>
      <c r="C1299" s="2" t="s">
        <v>14</v>
      </c>
      <c r="D1299" s="1" t="s">
        <v>435</v>
      </c>
      <c r="E1299" s="7">
        <v>31095925572</v>
      </c>
      <c r="F1299" s="22" t="s">
        <v>33</v>
      </c>
      <c r="G1299" s="3">
        <v>500</v>
      </c>
      <c r="H1299" s="5">
        <v>45602</v>
      </c>
      <c r="I1299" s="3" t="s">
        <v>125</v>
      </c>
      <c r="J1299" s="3" t="s">
        <v>126</v>
      </c>
      <c r="K1299" s="24">
        <v>352406463</v>
      </c>
      <c r="L1299" s="6" t="s">
        <v>495</v>
      </c>
    </row>
    <row r="1300" spans="1:12" customFormat="1" ht="14.4" x14ac:dyDescent="0.3">
      <c r="A1300" s="1" t="s">
        <v>12</v>
      </c>
      <c r="B1300" s="1" t="s">
        <v>13</v>
      </c>
      <c r="C1300" s="2" t="s">
        <v>14</v>
      </c>
      <c r="D1300" s="1" t="s">
        <v>435</v>
      </c>
      <c r="E1300" s="7">
        <v>31095925572</v>
      </c>
      <c r="F1300" s="22" t="s">
        <v>33</v>
      </c>
      <c r="G1300" s="3">
        <v>500</v>
      </c>
      <c r="H1300" s="5">
        <v>45602</v>
      </c>
      <c r="I1300" s="3" t="s">
        <v>125</v>
      </c>
      <c r="J1300" s="3" t="s">
        <v>126</v>
      </c>
      <c r="K1300" s="24">
        <v>352406464</v>
      </c>
      <c r="L1300" s="6" t="s">
        <v>495</v>
      </c>
    </row>
    <row r="1301" spans="1:12" customFormat="1" ht="14.4" x14ac:dyDescent="0.3">
      <c r="A1301" s="1" t="s">
        <v>12</v>
      </c>
      <c r="B1301" s="1" t="s">
        <v>13</v>
      </c>
      <c r="C1301" s="2" t="s">
        <v>14</v>
      </c>
      <c r="D1301" s="1" t="s">
        <v>343</v>
      </c>
      <c r="E1301" s="1" t="s">
        <v>344</v>
      </c>
      <c r="F1301" s="1" t="s">
        <v>345</v>
      </c>
      <c r="G1301" s="3">
        <v>500</v>
      </c>
      <c r="H1301" s="5">
        <v>45602</v>
      </c>
      <c r="I1301" s="3" t="s">
        <v>186</v>
      </c>
      <c r="J1301" s="3" t="s">
        <v>187</v>
      </c>
      <c r="K1301" s="22">
        <v>352406465</v>
      </c>
      <c r="L1301" s="6" t="s">
        <v>496</v>
      </c>
    </row>
    <row r="1302" spans="1:12" customFormat="1" ht="14.4" x14ac:dyDescent="0.3">
      <c r="A1302" s="1" t="s">
        <v>12</v>
      </c>
      <c r="B1302" s="1" t="s">
        <v>13</v>
      </c>
      <c r="C1302" s="2" t="s">
        <v>14</v>
      </c>
      <c r="D1302" s="1" t="s">
        <v>343</v>
      </c>
      <c r="E1302" s="1" t="s">
        <v>344</v>
      </c>
      <c r="F1302" s="1" t="s">
        <v>345</v>
      </c>
      <c r="G1302" s="3">
        <v>500</v>
      </c>
      <c r="H1302" s="5">
        <v>45602</v>
      </c>
      <c r="I1302" s="3" t="s">
        <v>186</v>
      </c>
      <c r="J1302" s="3" t="s">
        <v>187</v>
      </c>
      <c r="K1302" s="22">
        <v>352406466</v>
      </c>
      <c r="L1302" s="6" t="s">
        <v>497</v>
      </c>
    </row>
    <row r="1303" spans="1:12" customFormat="1" ht="14.4" x14ac:dyDescent="0.3">
      <c r="A1303" s="1" t="s">
        <v>12</v>
      </c>
      <c r="B1303" s="1" t="s">
        <v>13</v>
      </c>
      <c r="C1303" s="2" t="s">
        <v>14</v>
      </c>
      <c r="D1303" s="1" t="s">
        <v>41</v>
      </c>
      <c r="E1303" s="1" t="s">
        <v>42</v>
      </c>
      <c r="F1303" s="1" t="s">
        <v>43</v>
      </c>
      <c r="G1303" s="3">
        <v>2000</v>
      </c>
      <c r="H1303" s="5">
        <v>45602</v>
      </c>
      <c r="I1303" s="3" t="s">
        <v>87</v>
      </c>
      <c r="J1303" s="3" t="s">
        <v>45</v>
      </c>
      <c r="K1303" s="24">
        <v>352406467</v>
      </c>
      <c r="L1303" s="6" t="s">
        <v>498</v>
      </c>
    </row>
    <row r="1304" spans="1:12" customFormat="1" ht="14.4" x14ac:dyDescent="0.3">
      <c r="A1304" s="1" t="s">
        <v>12</v>
      </c>
      <c r="B1304" s="1" t="s">
        <v>13</v>
      </c>
      <c r="C1304" s="2" t="s">
        <v>14</v>
      </c>
      <c r="D1304" s="1" t="s">
        <v>41</v>
      </c>
      <c r="E1304" s="1" t="s">
        <v>42</v>
      </c>
      <c r="F1304" s="1" t="s">
        <v>43</v>
      </c>
      <c r="G1304" s="3">
        <v>1500</v>
      </c>
      <c r="H1304" s="5">
        <v>45602</v>
      </c>
      <c r="I1304" s="3" t="s">
        <v>87</v>
      </c>
      <c r="J1304" s="3" t="s">
        <v>45</v>
      </c>
      <c r="K1304" s="24">
        <v>352406468</v>
      </c>
      <c r="L1304" s="6" t="s">
        <v>499</v>
      </c>
    </row>
    <row r="1305" spans="1:12" customFormat="1" ht="14.4" x14ac:dyDescent="0.3">
      <c r="A1305" s="1" t="s">
        <v>12</v>
      </c>
      <c r="B1305" s="1" t="s">
        <v>13</v>
      </c>
      <c r="C1305" s="2" t="s">
        <v>14</v>
      </c>
      <c r="D1305" s="1" t="s">
        <v>152</v>
      </c>
      <c r="E1305" s="1" t="s">
        <v>153</v>
      </c>
      <c r="F1305" s="1" t="s">
        <v>154</v>
      </c>
      <c r="G1305" s="3">
        <v>2000</v>
      </c>
      <c r="H1305" s="5">
        <v>45602</v>
      </c>
      <c r="I1305" s="3" t="s">
        <v>83</v>
      </c>
      <c r="J1305" s="3" t="s">
        <v>84</v>
      </c>
      <c r="K1305" s="24">
        <v>352406453</v>
      </c>
      <c r="L1305" s="6" t="s">
        <v>500</v>
      </c>
    </row>
    <row r="1306" spans="1:12" s="25" customFormat="1" ht="14.4" x14ac:dyDescent="0.3">
      <c r="A1306" s="22" t="s">
        <v>12</v>
      </c>
      <c r="B1306" s="22" t="s">
        <v>13</v>
      </c>
      <c r="C1306" s="22" t="s">
        <v>14</v>
      </c>
      <c r="D1306" s="22" t="s">
        <v>215</v>
      </c>
      <c r="E1306" s="22" t="s">
        <v>216</v>
      </c>
      <c r="F1306" s="22" t="s">
        <v>33</v>
      </c>
      <c r="G1306" s="23">
        <v>500</v>
      </c>
      <c r="H1306" s="5">
        <v>45603</v>
      </c>
      <c r="I1306" s="23" t="s">
        <v>155</v>
      </c>
      <c r="J1306" s="23" t="s">
        <v>156</v>
      </c>
      <c r="K1306" s="22">
        <v>352406487</v>
      </c>
      <c r="L1306" s="6" t="s">
        <v>501</v>
      </c>
    </row>
    <row r="1307" spans="1:12" customFormat="1" ht="14.4" x14ac:dyDescent="0.3">
      <c r="A1307" s="1" t="s">
        <v>12</v>
      </c>
      <c r="B1307" s="1" t="s">
        <v>13</v>
      </c>
      <c r="C1307" s="2" t="s">
        <v>14</v>
      </c>
      <c r="D1307" s="1" t="s">
        <v>343</v>
      </c>
      <c r="E1307" s="1" t="s">
        <v>344</v>
      </c>
      <c r="F1307" s="1" t="s">
        <v>345</v>
      </c>
      <c r="G1307" s="3">
        <v>500</v>
      </c>
      <c r="H1307" s="5">
        <v>45603</v>
      </c>
      <c r="I1307" s="3" t="s">
        <v>186</v>
      </c>
      <c r="J1307" s="3" t="s">
        <v>187</v>
      </c>
      <c r="K1307" s="22">
        <v>352406488</v>
      </c>
      <c r="L1307" s="6" t="s">
        <v>501</v>
      </c>
    </row>
    <row r="1308" spans="1:12" customFormat="1" ht="14.4" x14ac:dyDescent="0.3">
      <c r="A1308" s="1" t="s">
        <v>12</v>
      </c>
      <c r="B1308" s="1" t="s">
        <v>13</v>
      </c>
      <c r="C1308" s="2" t="s">
        <v>14</v>
      </c>
      <c r="D1308" s="3" t="s">
        <v>149</v>
      </c>
      <c r="E1308" s="18">
        <v>50100624324501</v>
      </c>
      <c r="F1308" s="3" t="s">
        <v>150</v>
      </c>
      <c r="G1308" s="3">
        <v>5000</v>
      </c>
      <c r="H1308" s="5">
        <v>45603</v>
      </c>
      <c r="I1308" s="3" t="s">
        <v>77</v>
      </c>
      <c r="J1308" s="3" t="s">
        <v>29</v>
      </c>
      <c r="K1308" s="24">
        <v>352406397</v>
      </c>
      <c r="L1308" s="6" t="s">
        <v>502</v>
      </c>
    </row>
    <row r="1309" spans="1:12" s="25" customFormat="1" ht="14.4" x14ac:dyDescent="0.3">
      <c r="A1309" s="22" t="s">
        <v>12</v>
      </c>
      <c r="B1309" s="22" t="s">
        <v>13</v>
      </c>
      <c r="C1309" s="22" t="s">
        <v>14</v>
      </c>
      <c r="D1309" s="22" t="s">
        <v>215</v>
      </c>
      <c r="E1309" s="22" t="s">
        <v>216</v>
      </c>
      <c r="F1309" s="22" t="s">
        <v>33</v>
      </c>
      <c r="G1309" s="23">
        <v>500</v>
      </c>
      <c r="H1309" s="5">
        <v>45604</v>
      </c>
      <c r="I1309" s="23" t="s">
        <v>155</v>
      </c>
      <c r="J1309" s="23" t="s">
        <v>156</v>
      </c>
      <c r="K1309" s="22">
        <v>352406524</v>
      </c>
      <c r="L1309" s="6" t="s">
        <v>503</v>
      </c>
    </row>
    <row r="1310" spans="1:12" customFormat="1" ht="14.4" x14ac:dyDescent="0.3">
      <c r="A1310" s="1" t="s">
        <v>12</v>
      </c>
      <c r="B1310" s="1" t="s">
        <v>13</v>
      </c>
      <c r="C1310" s="2" t="s">
        <v>14</v>
      </c>
      <c r="D1310" s="1" t="s">
        <v>343</v>
      </c>
      <c r="E1310" s="1" t="s">
        <v>344</v>
      </c>
      <c r="F1310" s="1" t="s">
        <v>345</v>
      </c>
      <c r="G1310" s="3">
        <v>500</v>
      </c>
      <c r="H1310" s="5">
        <v>45604</v>
      </c>
      <c r="I1310" s="3" t="s">
        <v>186</v>
      </c>
      <c r="J1310" s="3" t="s">
        <v>187</v>
      </c>
      <c r="K1310" s="22">
        <v>352406525</v>
      </c>
      <c r="L1310" s="6" t="s">
        <v>504</v>
      </c>
    </row>
    <row r="1311" spans="1:12" customFormat="1" ht="14.4" x14ac:dyDescent="0.3">
      <c r="A1311" s="1" t="s">
        <v>12</v>
      </c>
      <c r="B1311" s="1" t="s">
        <v>13</v>
      </c>
      <c r="C1311" s="2" t="s">
        <v>14</v>
      </c>
      <c r="D1311" s="1" t="s">
        <v>343</v>
      </c>
      <c r="E1311" s="1" t="s">
        <v>344</v>
      </c>
      <c r="F1311" s="1" t="s">
        <v>345</v>
      </c>
      <c r="G1311" s="3">
        <v>500</v>
      </c>
      <c r="H1311" s="5">
        <v>45604</v>
      </c>
      <c r="I1311" s="3" t="s">
        <v>186</v>
      </c>
      <c r="J1311" s="3" t="s">
        <v>187</v>
      </c>
      <c r="K1311" s="22">
        <v>352406538</v>
      </c>
      <c r="L1311" s="6" t="s">
        <v>505</v>
      </c>
    </row>
    <row r="1312" spans="1:12" s="25" customFormat="1" ht="14.4" x14ac:dyDescent="0.3">
      <c r="A1312" s="22" t="s">
        <v>12</v>
      </c>
      <c r="B1312" s="22" t="s">
        <v>13</v>
      </c>
      <c r="C1312" s="22" t="s">
        <v>14</v>
      </c>
      <c r="D1312" s="22" t="s">
        <v>215</v>
      </c>
      <c r="E1312" s="22" t="s">
        <v>216</v>
      </c>
      <c r="F1312" s="22" t="s">
        <v>33</v>
      </c>
      <c r="G1312" s="23">
        <v>500</v>
      </c>
      <c r="H1312" s="5">
        <v>45605</v>
      </c>
      <c r="I1312" s="23" t="s">
        <v>155</v>
      </c>
      <c r="J1312" s="23" t="s">
        <v>156</v>
      </c>
      <c r="K1312" s="22">
        <v>352406562</v>
      </c>
      <c r="L1312" s="6" t="s">
        <v>506</v>
      </c>
    </row>
    <row r="1313" spans="1:12" customFormat="1" ht="14.4" x14ac:dyDescent="0.3">
      <c r="A1313" s="1" t="s">
        <v>12</v>
      </c>
      <c r="B1313" s="1" t="s">
        <v>13</v>
      </c>
      <c r="C1313" s="2" t="s">
        <v>14</v>
      </c>
      <c r="D1313" s="1" t="s">
        <v>343</v>
      </c>
      <c r="E1313" s="1" t="s">
        <v>344</v>
      </c>
      <c r="F1313" s="1" t="s">
        <v>345</v>
      </c>
      <c r="G1313" s="3">
        <v>500</v>
      </c>
      <c r="H1313" s="5">
        <v>45605</v>
      </c>
      <c r="I1313" s="3" t="s">
        <v>186</v>
      </c>
      <c r="J1313" s="3" t="s">
        <v>187</v>
      </c>
      <c r="K1313" s="22">
        <v>352406563</v>
      </c>
      <c r="L1313" s="6" t="s">
        <v>506</v>
      </c>
    </row>
    <row r="1314" spans="1:12" s="25" customFormat="1" ht="14.4" x14ac:dyDescent="0.3">
      <c r="A1314" s="22" t="s">
        <v>12</v>
      </c>
      <c r="B1314" s="22" t="s">
        <v>13</v>
      </c>
      <c r="C1314" s="22" t="s">
        <v>14</v>
      </c>
      <c r="D1314" s="22" t="s">
        <v>215</v>
      </c>
      <c r="E1314" s="22" t="s">
        <v>216</v>
      </c>
      <c r="F1314" s="22" t="s">
        <v>33</v>
      </c>
      <c r="G1314" s="23">
        <v>500</v>
      </c>
      <c r="H1314" s="5">
        <v>45606</v>
      </c>
      <c r="I1314" s="23" t="s">
        <v>155</v>
      </c>
      <c r="J1314" s="23" t="s">
        <v>156</v>
      </c>
      <c r="K1314" s="22">
        <v>352406597</v>
      </c>
      <c r="L1314" s="6" t="s">
        <v>507</v>
      </c>
    </row>
    <row r="1315" spans="1:12" customFormat="1" ht="14.4" x14ac:dyDescent="0.3">
      <c r="A1315" s="1" t="s">
        <v>12</v>
      </c>
      <c r="B1315" s="1" t="s">
        <v>13</v>
      </c>
      <c r="C1315" s="2" t="s">
        <v>14</v>
      </c>
      <c r="D1315" s="1" t="s">
        <v>15</v>
      </c>
      <c r="E1315" s="1" t="s">
        <v>16</v>
      </c>
      <c r="F1315" s="1" t="s">
        <v>17</v>
      </c>
      <c r="G1315" s="3">
        <v>5000</v>
      </c>
      <c r="H1315" s="5">
        <v>45606</v>
      </c>
      <c r="I1315" s="3" t="s">
        <v>85</v>
      </c>
      <c r="J1315" s="3" t="s">
        <v>19</v>
      </c>
      <c r="K1315" s="24"/>
      <c r="L1315" s="6" t="s">
        <v>164</v>
      </c>
    </row>
    <row r="1316" spans="1:12" customFormat="1" ht="14.4" x14ac:dyDescent="0.3">
      <c r="A1316" s="1" t="s">
        <v>12</v>
      </c>
      <c r="B1316" s="1" t="s">
        <v>13</v>
      </c>
      <c r="C1316" s="2" t="s">
        <v>14</v>
      </c>
      <c r="D1316" s="1" t="s">
        <v>41</v>
      </c>
      <c r="E1316" s="1" t="s">
        <v>42</v>
      </c>
      <c r="F1316" s="1" t="s">
        <v>43</v>
      </c>
      <c r="G1316" s="3">
        <v>5000</v>
      </c>
      <c r="H1316" s="5">
        <v>45606</v>
      </c>
      <c r="I1316" s="3" t="s">
        <v>87</v>
      </c>
      <c r="J1316" s="3" t="s">
        <v>45</v>
      </c>
      <c r="K1316" s="24"/>
      <c r="L1316" s="6" t="s">
        <v>164</v>
      </c>
    </row>
    <row r="1317" spans="1:12" customFormat="1" ht="14.4" x14ac:dyDescent="0.3">
      <c r="A1317" s="1" t="s">
        <v>12</v>
      </c>
      <c r="B1317" s="1" t="s">
        <v>13</v>
      </c>
      <c r="C1317" s="2" t="s">
        <v>14</v>
      </c>
      <c r="D1317" s="1" t="s">
        <v>41</v>
      </c>
      <c r="E1317" s="1" t="s">
        <v>61</v>
      </c>
      <c r="F1317" s="1" t="s">
        <v>62</v>
      </c>
      <c r="G1317" s="3">
        <v>5000</v>
      </c>
      <c r="H1317" s="5">
        <v>45606</v>
      </c>
      <c r="I1317" s="3" t="s">
        <v>204</v>
      </c>
      <c r="J1317" s="3" t="s">
        <v>205</v>
      </c>
      <c r="K1317" s="24"/>
      <c r="L1317" s="6" t="s">
        <v>164</v>
      </c>
    </row>
    <row r="1318" spans="1:12" customFormat="1" ht="14.4" x14ac:dyDescent="0.3">
      <c r="A1318" s="1" t="s">
        <v>12</v>
      </c>
      <c r="B1318" s="1" t="s">
        <v>13</v>
      </c>
      <c r="C1318" s="2" t="s">
        <v>14</v>
      </c>
      <c r="D1318" s="1" t="s">
        <v>343</v>
      </c>
      <c r="E1318" s="1" t="s">
        <v>344</v>
      </c>
      <c r="F1318" s="1" t="s">
        <v>345</v>
      </c>
      <c r="G1318" s="3">
        <v>500</v>
      </c>
      <c r="H1318" s="5">
        <v>45607</v>
      </c>
      <c r="I1318" s="3" t="s">
        <v>186</v>
      </c>
      <c r="J1318" s="3" t="s">
        <v>187</v>
      </c>
      <c r="K1318" s="22">
        <v>352406627</v>
      </c>
      <c r="L1318" s="6" t="s">
        <v>508</v>
      </c>
    </row>
    <row r="1319" spans="1:12" s="25" customFormat="1" ht="14.4" x14ac:dyDescent="0.3">
      <c r="A1319" s="22" t="s">
        <v>12</v>
      </c>
      <c r="B1319" s="22" t="s">
        <v>13</v>
      </c>
      <c r="C1319" s="22" t="s">
        <v>14</v>
      </c>
      <c r="D1319" s="22" t="s">
        <v>215</v>
      </c>
      <c r="E1319" s="22" t="s">
        <v>216</v>
      </c>
      <c r="F1319" s="22" t="s">
        <v>33</v>
      </c>
      <c r="G1319" s="23">
        <v>500</v>
      </c>
      <c r="H1319" s="5">
        <v>45608</v>
      </c>
      <c r="I1319" s="23" t="s">
        <v>155</v>
      </c>
      <c r="J1319" s="23" t="s">
        <v>156</v>
      </c>
      <c r="K1319" s="22">
        <v>352406637</v>
      </c>
      <c r="L1319" s="6" t="s">
        <v>509</v>
      </c>
    </row>
    <row r="1320" spans="1:12" customFormat="1" ht="14.4" x14ac:dyDescent="0.3">
      <c r="A1320" s="1" t="s">
        <v>12</v>
      </c>
      <c r="B1320" s="1" t="s">
        <v>13</v>
      </c>
      <c r="C1320" s="2" t="s">
        <v>14</v>
      </c>
      <c r="D1320" s="1" t="s">
        <v>343</v>
      </c>
      <c r="E1320" s="1" t="s">
        <v>344</v>
      </c>
      <c r="F1320" s="1" t="s">
        <v>345</v>
      </c>
      <c r="G1320" s="3">
        <v>500</v>
      </c>
      <c r="H1320" s="5">
        <v>45608</v>
      </c>
      <c r="I1320" s="3" t="s">
        <v>186</v>
      </c>
      <c r="J1320" s="3" t="s">
        <v>187</v>
      </c>
      <c r="K1320" s="22">
        <v>352406638</v>
      </c>
      <c r="L1320" s="6" t="s">
        <v>509</v>
      </c>
    </row>
    <row r="1321" spans="1:12" customFormat="1" ht="14.4" x14ac:dyDescent="0.3">
      <c r="A1321" s="1" t="s">
        <v>12</v>
      </c>
      <c r="B1321" s="1" t="s">
        <v>13</v>
      </c>
      <c r="C1321" s="2" t="s">
        <v>14</v>
      </c>
      <c r="D1321" s="1" t="s">
        <v>152</v>
      </c>
      <c r="E1321" s="1" t="s">
        <v>153</v>
      </c>
      <c r="F1321" s="1" t="s">
        <v>154</v>
      </c>
      <c r="G1321" s="3">
        <v>5000</v>
      </c>
      <c r="H1321" s="5">
        <v>45608</v>
      </c>
      <c r="I1321" s="3" t="s">
        <v>83</v>
      </c>
      <c r="J1321" s="3" t="s">
        <v>84</v>
      </c>
      <c r="K1321" s="24">
        <v>352406651</v>
      </c>
      <c r="L1321" s="6" t="s">
        <v>510</v>
      </c>
    </row>
    <row r="1322" spans="1:12" s="25" customFormat="1" ht="14.4" x14ac:dyDescent="0.3">
      <c r="A1322" s="22" t="s">
        <v>12</v>
      </c>
      <c r="B1322" s="22" t="s">
        <v>13</v>
      </c>
      <c r="C1322" s="22" t="s">
        <v>14</v>
      </c>
      <c r="D1322" s="22" t="s">
        <v>215</v>
      </c>
      <c r="E1322" s="22" t="s">
        <v>216</v>
      </c>
      <c r="F1322" s="22" t="s">
        <v>33</v>
      </c>
      <c r="G1322" s="23">
        <v>500</v>
      </c>
      <c r="H1322" s="5">
        <v>45609</v>
      </c>
      <c r="I1322" s="23" t="s">
        <v>155</v>
      </c>
      <c r="J1322" s="23" t="s">
        <v>156</v>
      </c>
      <c r="K1322" s="22">
        <v>352406662</v>
      </c>
      <c r="L1322" s="6" t="s">
        <v>511</v>
      </c>
    </row>
    <row r="1323" spans="1:12" s="25" customFormat="1" ht="14.4" x14ac:dyDescent="0.3">
      <c r="A1323" s="22" t="s">
        <v>12</v>
      </c>
      <c r="B1323" s="22" t="s">
        <v>13</v>
      </c>
      <c r="C1323" s="22" t="s">
        <v>14</v>
      </c>
      <c r="D1323" s="22" t="s">
        <v>215</v>
      </c>
      <c r="E1323" s="22" t="s">
        <v>216</v>
      </c>
      <c r="F1323" s="22" t="s">
        <v>33</v>
      </c>
      <c r="G1323" s="23">
        <v>500</v>
      </c>
      <c r="H1323" s="5">
        <v>45609</v>
      </c>
      <c r="I1323" s="23" t="s">
        <v>155</v>
      </c>
      <c r="J1323" s="23" t="s">
        <v>156</v>
      </c>
      <c r="K1323" s="22">
        <v>352406676</v>
      </c>
      <c r="L1323" s="6" t="s">
        <v>512</v>
      </c>
    </row>
    <row r="1324" spans="1:12" customFormat="1" ht="14.4" x14ac:dyDescent="0.3">
      <c r="A1324" s="1" t="s">
        <v>12</v>
      </c>
      <c r="B1324" s="1" t="s">
        <v>13</v>
      </c>
      <c r="C1324" s="2" t="s">
        <v>14</v>
      </c>
      <c r="D1324" s="1" t="s">
        <v>343</v>
      </c>
      <c r="E1324" s="1" t="s">
        <v>344</v>
      </c>
      <c r="F1324" s="1" t="s">
        <v>345</v>
      </c>
      <c r="G1324" s="3">
        <v>500</v>
      </c>
      <c r="H1324" s="5">
        <v>45609</v>
      </c>
      <c r="I1324" s="3" t="s">
        <v>186</v>
      </c>
      <c r="J1324" s="3" t="s">
        <v>187</v>
      </c>
      <c r="K1324" s="22">
        <v>352406682</v>
      </c>
      <c r="L1324" s="6" t="s">
        <v>513</v>
      </c>
    </row>
    <row r="1325" spans="1:12" s="25" customFormat="1" ht="14.4" x14ac:dyDescent="0.3">
      <c r="A1325" s="1" t="s">
        <v>12</v>
      </c>
      <c r="B1325" s="22" t="s">
        <v>13</v>
      </c>
      <c r="C1325" s="22" t="s">
        <v>14</v>
      </c>
      <c r="D1325" s="22" t="s">
        <v>215</v>
      </c>
      <c r="E1325" s="22" t="s">
        <v>216</v>
      </c>
      <c r="F1325" s="22" t="s">
        <v>33</v>
      </c>
      <c r="G1325" s="23">
        <v>500</v>
      </c>
      <c r="H1325" s="5">
        <v>45609</v>
      </c>
      <c r="I1325" s="23" t="s">
        <v>155</v>
      </c>
      <c r="J1325" s="23" t="s">
        <v>156</v>
      </c>
      <c r="K1325" s="22">
        <v>352406702</v>
      </c>
      <c r="L1325" s="6" t="s">
        <v>514</v>
      </c>
    </row>
    <row r="1326" spans="1:12" customFormat="1" ht="14.4" x14ac:dyDescent="0.3">
      <c r="A1326" s="1" t="s">
        <v>12</v>
      </c>
      <c r="B1326" s="1" t="s">
        <v>13</v>
      </c>
      <c r="C1326" s="2" t="s">
        <v>14</v>
      </c>
      <c r="D1326" s="1" t="s">
        <v>343</v>
      </c>
      <c r="E1326" s="1" t="s">
        <v>344</v>
      </c>
      <c r="F1326" s="1" t="s">
        <v>345</v>
      </c>
      <c r="G1326" s="3">
        <v>500</v>
      </c>
      <c r="H1326" s="5">
        <v>45609</v>
      </c>
      <c r="I1326" s="3" t="s">
        <v>186</v>
      </c>
      <c r="J1326" s="3" t="s">
        <v>187</v>
      </c>
      <c r="K1326" s="22">
        <v>352406703</v>
      </c>
      <c r="L1326" s="6" t="s">
        <v>515</v>
      </c>
    </row>
    <row r="1327" spans="1:12" s="25" customFormat="1" ht="14.4" x14ac:dyDescent="0.3">
      <c r="A1327" s="22" t="s">
        <v>12</v>
      </c>
      <c r="B1327" s="22" t="s">
        <v>13</v>
      </c>
      <c r="C1327" s="22" t="s">
        <v>14</v>
      </c>
      <c r="D1327" s="22" t="s">
        <v>215</v>
      </c>
      <c r="E1327" s="22" t="s">
        <v>216</v>
      </c>
      <c r="F1327" s="22" t="s">
        <v>33</v>
      </c>
      <c r="G1327" s="23">
        <v>500</v>
      </c>
      <c r="H1327" s="5">
        <v>45610</v>
      </c>
      <c r="I1327" s="23" t="s">
        <v>155</v>
      </c>
      <c r="J1327" s="23" t="s">
        <v>156</v>
      </c>
      <c r="K1327" s="22">
        <v>352406723</v>
      </c>
      <c r="L1327" s="6" t="s">
        <v>516</v>
      </c>
    </row>
    <row r="1328" spans="1:12" customFormat="1" ht="14.4" x14ac:dyDescent="0.3">
      <c r="A1328" s="1" t="s">
        <v>12</v>
      </c>
      <c r="B1328" s="1" t="s">
        <v>13</v>
      </c>
      <c r="C1328" s="2" t="s">
        <v>14</v>
      </c>
      <c r="D1328" s="1" t="s">
        <v>343</v>
      </c>
      <c r="E1328" s="1" t="s">
        <v>344</v>
      </c>
      <c r="F1328" s="1" t="s">
        <v>345</v>
      </c>
      <c r="G1328" s="3">
        <v>500</v>
      </c>
      <c r="H1328" s="5">
        <v>45610</v>
      </c>
      <c r="I1328" s="3" t="s">
        <v>186</v>
      </c>
      <c r="J1328" s="3" t="s">
        <v>187</v>
      </c>
      <c r="K1328" s="22">
        <v>352406724</v>
      </c>
      <c r="L1328" s="6" t="s">
        <v>516</v>
      </c>
    </row>
    <row r="1329" spans="1:12" customFormat="1" ht="14.4" x14ac:dyDescent="0.3">
      <c r="A1329" s="1" t="s">
        <v>12</v>
      </c>
      <c r="B1329" s="1" t="s">
        <v>13</v>
      </c>
      <c r="C1329" s="2" t="s">
        <v>14</v>
      </c>
      <c r="D1329" s="1" t="s">
        <v>41</v>
      </c>
      <c r="E1329" s="1" t="s">
        <v>42</v>
      </c>
      <c r="F1329" s="1" t="s">
        <v>43</v>
      </c>
      <c r="G1329" s="3">
        <v>2000</v>
      </c>
      <c r="H1329" s="5">
        <v>45610</v>
      </c>
      <c r="I1329" s="3" t="s">
        <v>87</v>
      </c>
      <c r="J1329" s="3" t="s">
        <v>45</v>
      </c>
      <c r="K1329" s="24">
        <v>352406738</v>
      </c>
      <c r="L1329" s="6" t="s">
        <v>517</v>
      </c>
    </row>
    <row r="1330" spans="1:12" s="25" customFormat="1" ht="14.4" x14ac:dyDescent="0.3">
      <c r="A1330" s="22" t="s">
        <v>12</v>
      </c>
      <c r="B1330" s="22" t="s">
        <v>13</v>
      </c>
      <c r="C1330" s="22" t="s">
        <v>14</v>
      </c>
      <c r="D1330" s="22" t="s">
        <v>215</v>
      </c>
      <c r="E1330" s="22" t="s">
        <v>216</v>
      </c>
      <c r="F1330" s="22" t="s">
        <v>33</v>
      </c>
      <c r="G1330" s="23">
        <v>500</v>
      </c>
      <c r="H1330" s="5">
        <v>45611</v>
      </c>
      <c r="I1330" s="23" t="s">
        <v>155</v>
      </c>
      <c r="J1330" s="23" t="s">
        <v>156</v>
      </c>
      <c r="K1330" s="22">
        <v>352406748</v>
      </c>
      <c r="L1330" s="6" t="s">
        <v>518</v>
      </c>
    </row>
    <row r="1331" spans="1:12" s="25" customFormat="1" ht="14.4" x14ac:dyDescent="0.3">
      <c r="A1331" s="22" t="s">
        <v>12</v>
      </c>
      <c r="B1331" s="22" t="s">
        <v>13</v>
      </c>
      <c r="C1331" s="22" t="s">
        <v>14</v>
      </c>
      <c r="D1331" s="22" t="s">
        <v>215</v>
      </c>
      <c r="E1331" s="22" t="s">
        <v>216</v>
      </c>
      <c r="F1331" s="22" t="s">
        <v>33</v>
      </c>
      <c r="G1331" s="23">
        <v>500</v>
      </c>
      <c r="H1331" s="5">
        <v>45611</v>
      </c>
      <c r="I1331" s="23" t="s">
        <v>155</v>
      </c>
      <c r="J1331" s="23" t="s">
        <v>156</v>
      </c>
      <c r="K1331" s="22">
        <v>352406759</v>
      </c>
      <c r="L1331" s="6" t="s">
        <v>519</v>
      </c>
    </row>
    <row r="1332" spans="1:12" customFormat="1" ht="14.4" x14ac:dyDescent="0.3">
      <c r="A1332" s="1" t="s">
        <v>12</v>
      </c>
      <c r="B1332" s="1" t="s">
        <v>13</v>
      </c>
      <c r="C1332" s="2" t="s">
        <v>14</v>
      </c>
      <c r="D1332" s="1" t="s">
        <v>343</v>
      </c>
      <c r="E1332" s="1" t="s">
        <v>344</v>
      </c>
      <c r="F1332" s="1" t="s">
        <v>345</v>
      </c>
      <c r="G1332" s="3">
        <v>500</v>
      </c>
      <c r="H1332" s="5">
        <v>45611</v>
      </c>
      <c r="I1332" s="3" t="s">
        <v>186</v>
      </c>
      <c r="J1332" s="3" t="s">
        <v>187</v>
      </c>
      <c r="K1332" s="22">
        <v>352406760</v>
      </c>
      <c r="L1332" s="6" t="s">
        <v>519</v>
      </c>
    </row>
    <row r="1333" spans="1:12" customFormat="1" ht="14.4" x14ac:dyDescent="0.3">
      <c r="A1333" s="1" t="s">
        <v>12</v>
      </c>
      <c r="B1333" s="1" t="s">
        <v>13</v>
      </c>
      <c r="C1333" s="2" t="s">
        <v>14</v>
      </c>
      <c r="D1333" s="22" t="s">
        <v>193</v>
      </c>
      <c r="E1333" s="22" t="s">
        <v>194</v>
      </c>
      <c r="F1333" s="22" t="s">
        <v>195</v>
      </c>
      <c r="G1333" s="3">
        <v>2000</v>
      </c>
      <c r="H1333" s="5">
        <v>45611</v>
      </c>
      <c r="I1333" s="3" t="s">
        <v>78</v>
      </c>
      <c r="J1333" s="3" t="s">
        <v>79</v>
      </c>
      <c r="K1333" s="24">
        <v>352406769</v>
      </c>
      <c r="L1333" s="6" t="s">
        <v>520</v>
      </c>
    </row>
    <row r="1334" spans="1:12" customFormat="1" ht="14.4" x14ac:dyDescent="0.3">
      <c r="A1334" s="1" t="s">
        <v>12</v>
      </c>
      <c r="B1334" s="1" t="s">
        <v>13</v>
      </c>
      <c r="C1334" s="2" t="s">
        <v>14</v>
      </c>
      <c r="D1334" s="1" t="s">
        <v>343</v>
      </c>
      <c r="E1334" s="1" t="s">
        <v>344</v>
      </c>
      <c r="F1334" s="1" t="s">
        <v>345</v>
      </c>
      <c r="G1334" s="3">
        <v>500</v>
      </c>
      <c r="H1334" s="5">
        <v>45614</v>
      </c>
      <c r="I1334" s="3" t="s">
        <v>186</v>
      </c>
      <c r="J1334" s="3" t="s">
        <v>187</v>
      </c>
      <c r="K1334" s="22">
        <v>352406801</v>
      </c>
      <c r="L1334" s="6" t="s">
        <v>521</v>
      </c>
    </row>
    <row r="1335" spans="1:12" customFormat="1" ht="14.4" x14ac:dyDescent="0.3">
      <c r="A1335" s="1" t="s">
        <v>12</v>
      </c>
      <c r="B1335" s="1" t="s">
        <v>13</v>
      </c>
      <c r="C1335" s="2" t="s">
        <v>14</v>
      </c>
      <c r="D1335" s="1" t="s">
        <v>15</v>
      </c>
      <c r="E1335" s="1" t="s">
        <v>16</v>
      </c>
      <c r="F1335" s="1" t="s">
        <v>17</v>
      </c>
      <c r="G1335" s="3">
        <v>4000</v>
      </c>
      <c r="H1335" s="5">
        <v>45614</v>
      </c>
      <c r="I1335" s="3" t="s">
        <v>85</v>
      </c>
      <c r="J1335" s="3" t="s">
        <v>19</v>
      </c>
      <c r="K1335" s="24">
        <v>352406811</v>
      </c>
      <c r="L1335" s="6" t="s">
        <v>522</v>
      </c>
    </row>
    <row r="1336" spans="1:12" customFormat="1" ht="14.4" x14ac:dyDescent="0.3">
      <c r="A1336" s="1" t="s">
        <v>12</v>
      </c>
      <c r="B1336" s="1" t="s">
        <v>13</v>
      </c>
      <c r="C1336" s="2" t="s">
        <v>14</v>
      </c>
      <c r="D1336" s="1" t="s">
        <v>257</v>
      </c>
      <c r="E1336" s="7" t="s">
        <v>258</v>
      </c>
      <c r="F1336" s="7" t="s">
        <v>33</v>
      </c>
      <c r="G1336" s="3">
        <v>6000</v>
      </c>
      <c r="H1336" s="5">
        <v>45615</v>
      </c>
      <c r="I1336" s="3" t="s">
        <v>88</v>
      </c>
      <c r="J1336" s="3" t="s">
        <v>59</v>
      </c>
      <c r="K1336" s="24">
        <v>352406833</v>
      </c>
      <c r="L1336" s="6" t="s">
        <v>523</v>
      </c>
    </row>
    <row r="1337" spans="1:12" s="25" customFormat="1" ht="14.4" x14ac:dyDescent="0.3">
      <c r="A1337" s="22" t="s">
        <v>12</v>
      </c>
      <c r="B1337" s="22" t="s">
        <v>13</v>
      </c>
      <c r="C1337" s="22" t="s">
        <v>14</v>
      </c>
      <c r="D1337" s="22" t="s">
        <v>215</v>
      </c>
      <c r="E1337" s="22" t="s">
        <v>216</v>
      </c>
      <c r="F1337" s="22" t="s">
        <v>33</v>
      </c>
      <c r="G1337" s="23">
        <v>500</v>
      </c>
      <c r="H1337" s="5">
        <v>45615</v>
      </c>
      <c r="I1337" s="23" t="s">
        <v>155</v>
      </c>
      <c r="J1337" s="23" t="s">
        <v>156</v>
      </c>
      <c r="K1337" s="22">
        <v>352406837</v>
      </c>
      <c r="L1337" s="6" t="s">
        <v>524</v>
      </c>
    </row>
    <row r="1338" spans="1:12" customFormat="1" ht="14.4" x14ac:dyDescent="0.3">
      <c r="A1338" s="1" t="s">
        <v>12</v>
      </c>
      <c r="B1338" s="1" t="s">
        <v>13</v>
      </c>
      <c r="C1338" s="2" t="s">
        <v>14</v>
      </c>
      <c r="D1338" s="1" t="s">
        <v>343</v>
      </c>
      <c r="E1338" s="1" t="s">
        <v>344</v>
      </c>
      <c r="F1338" s="1" t="s">
        <v>345</v>
      </c>
      <c r="G1338" s="3">
        <v>500</v>
      </c>
      <c r="H1338" s="5">
        <v>45615</v>
      </c>
      <c r="I1338" s="3" t="s">
        <v>186</v>
      </c>
      <c r="J1338" s="3" t="s">
        <v>187</v>
      </c>
      <c r="K1338" s="22">
        <v>352406838</v>
      </c>
      <c r="L1338" s="6" t="s">
        <v>524</v>
      </c>
    </row>
    <row r="1339" spans="1:12" customFormat="1" ht="14.4" x14ac:dyDescent="0.3">
      <c r="A1339" s="1" t="s">
        <v>12</v>
      </c>
      <c r="B1339" s="1" t="s">
        <v>13</v>
      </c>
      <c r="C1339" s="2" t="s">
        <v>14</v>
      </c>
      <c r="D1339" s="22" t="s">
        <v>526</v>
      </c>
      <c r="E1339" s="22" t="s">
        <v>527</v>
      </c>
      <c r="F1339" s="22" t="s">
        <v>528</v>
      </c>
      <c r="G1339" s="3">
        <v>2000</v>
      </c>
      <c r="H1339" s="5">
        <v>45615</v>
      </c>
      <c r="I1339" s="3" t="s">
        <v>137</v>
      </c>
      <c r="J1339" s="3" t="s">
        <v>142</v>
      </c>
      <c r="K1339" s="24">
        <v>352406851</v>
      </c>
      <c r="L1339" s="6" t="s">
        <v>525</v>
      </c>
    </row>
    <row r="1340" spans="1:12" s="25" customFormat="1" ht="14.4" x14ac:dyDescent="0.3">
      <c r="A1340" s="22" t="s">
        <v>12</v>
      </c>
      <c r="B1340" s="22" t="s">
        <v>13</v>
      </c>
      <c r="C1340" s="22" t="s">
        <v>14</v>
      </c>
      <c r="D1340" s="22" t="s">
        <v>215</v>
      </c>
      <c r="E1340" s="22" t="s">
        <v>216</v>
      </c>
      <c r="F1340" s="22" t="s">
        <v>33</v>
      </c>
      <c r="G1340" s="23">
        <v>500</v>
      </c>
      <c r="H1340" s="5">
        <v>45616</v>
      </c>
      <c r="I1340" s="23" t="s">
        <v>155</v>
      </c>
      <c r="J1340" s="23" t="s">
        <v>156</v>
      </c>
      <c r="K1340" s="22">
        <v>352406890</v>
      </c>
      <c r="L1340" s="6" t="s">
        <v>532</v>
      </c>
    </row>
    <row r="1341" spans="1:12" customFormat="1" ht="14.4" x14ac:dyDescent="0.3">
      <c r="A1341" s="1" t="s">
        <v>12</v>
      </c>
      <c r="B1341" s="1" t="s">
        <v>13</v>
      </c>
      <c r="C1341" s="2" t="s">
        <v>14</v>
      </c>
      <c r="D1341" s="1" t="s">
        <v>343</v>
      </c>
      <c r="E1341" s="1" t="s">
        <v>344</v>
      </c>
      <c r="F1341" s="1" t="s">
        <v>345</v>
      </c>
      <c r="G1341" s="3">
        <v>500</v>
      </c>
      <c r="H1341" s="5">
        <v>45616</v>
      </c>
      <c r="I1341" s="3" t="s">
        <v>186</v>
      </c>
      <c r="J1341" s="3" t="s">
        <v>187</v>
      </c>
      <c r="K1341" s="22">
        <v>352406868</v>
      </c>
      <c r="L1341" s="6" t="s">
        <v>529</v>
      </c>
    </row>
    <row r="1342" spans="1:12" s="25" customFormat="1" ht="14.4" x14ac:dyDescent="0.3">
      <c r="A1342" s="22" t="s">
        <v>12</v>
      </c>
      <c r="B1342" s="22" t="s">
        <v>13</v>
      </c>
      <c r="C1342" s="22" t="s">
        <v>14</v>
      </c>
      <c r="D1342" s="22" t="s">
        <v>215</v>
      </c>
      <c r="E1342" s="22" t="s">
        <v>216</v>
      </c>
      <c r="F1342" s="22" t="s">
        <v>33</v>
      </c>
      <c r="G1342" s="23">
        <v>500</v>
      </c>
      <c r="H1342" s="5">
        <v>45616</v>
      </c>
      <c r="I1342" s="23" t="s">
        <v>155</v>
      </c>
      <c r="J1342" s="23" t="s">
        <v>156</v>
      </c>
      <c r="K1342" s="22">
        <v>352406869</v>
      </c>
      <c r="L1342" s="6" t="s">
        <v>529</v>
      </c>
    </row>
    <row r="1343" spans="1:12" customFormat="1" ht="14.4" x14ac:dyDescent="0.3">
      <c r="A1343" s="1" t="s">
        <v>12</v>
      </c>
      <c r="B1343" s="1" t="s">
        <v>13</v>
      </c>
      <c r="C1343" s="2" t="s">
        <v>14</v>
      </c>
      <c r="D1343" s="1" t="s">
        <v>257</v>
      </c>
      <c r="E1343" s="7" t="s">
        <v>258</v>
      </c>
      <c r="F1343" s="7" t="s">
        <v>33</v>
      </c>
      <c r="G1343" s="3">
        <v>5250</v>
      </c>
      <c r="H1343" s="5">
        <v>45616</v>
      </c>
      <c r="I1343" s="3" t="s">
        <v>88</v>
      </c>
      <c r="J1343" s="3" t="s">
        <v>59</v>
      </c>
      <c r="K1343" s="24">
        <v>352406876</v>
      </c>
      <c r="L1343" s="6" t="s">
        <v>530</v>
      </c>
    </row>
    <row r="1344" spans="1:12" s="25" customFormat="1" ht="14.4" x14ac:dyDescent="0.3">
      <c r="A1344" s="22" t="s">
        <v>12</v>
      </c>
      <c r="B1344" s="22" t="s">
        <v>13</v>
      </c>
      <c r="C1344" s="22" t="s">
        <v>14</v>
      </c>
      <c r="D1344" s="22" t="s">
        <v>215</v>
      </c>
      <c r="E1344" s="22" t="s">
        <v>216</v>
      </c>
      <c r="F1344" s="22" t="s">
        <v>33</v>
      </c>
      <c r="G1344" s="23">
        <v>500</v>
      </c>
      <c r="H1344" s="5">
        <v>45616</v>
      </c>
      <c r="I1344" s="23" t="s">
        <v>155</v>
      </c>
      <c r="J1344" s="23" t="s">
        <v>156</v>
      </c>
      <c r="K1344" s="22">
        <v>352406884</v>
      </c>
      <c r="L1344" s="6" t="s">
        <v>531</v>
      </c>
    </row>
    <row r="1345" spans="1:12" customFormat="1" ht="14.4" x14ac:dyDescent="0.3">
      <c r="A1345" s="1" t="s">
        <v>12</v>
      </c>
      <c r="B1345" s="1" t="s">
        <v>13</v>
      </c>
      <c r="C1345" s="2" t="s">
        <v>14</v>
      </c>
      <c r="D1345" s="1" t="s">
        <v>343</v>
      </c>
      <c r="E1345" s="1" t="s">
        <v>344</v>
      </c>
      <c r="F1345" s="1" t="s">
        <v>345</v>
      </c>
      <c r="G1345" s="3">
        <v>500</v>
      </c>
      <c r="H1345" s="5">
        <v>45617</v>
      </c>
      <c r="I1345" s="3" t="s">
        <v>186</v>
      </c>
      <c r="J1345" s="3" t="s">
        <v>187</v>
      </c>
      <c r="K1345" s="22">
        <v>352406892</v>
      </c>
      <c r="L1345" s="6" t="s">
        <v>534</v>
      </c>
    </row>
    <row r="1346" spans="1:12" customFormat="1" ht="14.4" x14ac:dyDescent="0.3">
      <c r="A1346" s="1" t="s">
        <v>12</v>
      </c>
      <c r="B1346" s="1" t="s">
        <v>13</v>
      </c>
      <c r="C1346" s="2" t="s">
        <v>14</v>
      </c>
      <c r="D1346" s="1" t="s">
        <v>343</v>
      </c>
      <c r="E1346" s="1" t="s">
        <v>344</v>
      </c>
      <c r="F1346" s="1" t="s">
        <v>345</v>
      </c>
      <c r="G1346" s="3">
        <v>500</v>
      </c>
      <c r="H1346" s="5">
        <v>45617</v>
      </c>
      <c r="I1346" s="3" t="s">
        <v>186</v>
      </c>
      <c r="J1346" s="3" t="s">
        <v>187</v>
      </c>
      <c r="K1346" s="22">
        <v>352406918</v>
      </c>
      <c r="L1346" s="6" t="s">
        <v>533</v>
      </c>
    </row>
    <row r="1347" spans="1:12" customFormat="1" ht="14.4" x14ac:dyDescent="0.3">
      <c r="A1347" s="1" t="s">
        <v>12</v>
      </c>
      <c r="B1347" s="1" t="s">
        <v>13</v>
      </c>
      <c r="C1347" s="2" t="s">
        <v>14</v>
      </c>
      <c r="D1347" s="1" t="s">
        <v>257</v>
      </c>
      <c r="E1347" s="7" t="s">
        <v>258</v>
      </c>
      <c r="F1347" s="7" t="s">
        <v>33</v>
      </c>
      <c r="G1347" s="3">
        <v>5250</v>
      </c>
      <c r="H1347" s="5">
        <v>45617</v>
      </c>
      <c r="I1347" s="3" t="s">
        <v>88</v>
      </c>
      <c r="J1347" s="3" t="s">
        <v>59</v>
      </c>
      <c r="K1347" s="24">
        <v>352406923</v>
      </c>
      <c r="L1347" s="6" t="s">
        <v>535</v>
      </c>
    </row>
    <row r="1348" spans="1:12" customFormat="1" ht="14.4" x14ac:dyDescent="0.3">
      <c r="A1348" s="1" t="s">
        <v>12</v>
      </c>
      <c r="B1348" s="1" t="s">
        <v>13</v>
      </c>
      <c r="C1348" s="2" t="s">
        <v>14</v>
      </c>
      <c r="D1348" s="1" t="s">
        <v>48</v>
      </c>
      <c r="E1348" s="1" t="s">
        <v>49</v>
      </c>
      <c r="F1348" s="1" t="s">
        <v>50</v>
      </c>
      <c r="G1348" s="3">
        <v>2000</v>
      </c>
      <c r="H1348" s="5">
        <v>45617</v>
      </c>
      <c r="I1348" s="3" t="s">
        <v>206</v>
      </c>
      <c r="J1348" s="3" t="s">
        <v>52</v>
      </c>
      <c r="K1348" s="24">
        <v>352406929</v>
      </c>
      <c r="L1348" s="6" t="s">
        <v>536</v>
      </c>
    </row>
    <row r="1349" spans="1:12" s="25" customFormat="1" ht="14.4" x14ac:dyDescent="0.3">
      <c r="A1349" s="22" t="s">
        <v>12</v>
      </c>
      <c r="B1349" s="22" t="s">
        <v>13</v>
      </c>
      <c r="C1349" s="22" t="s">
        <v>14</v>
      </c>
      <c r="D1349" s="22" t="s">
        <v>215</v>
      </c>
      <c r="E1349" s="22" t="s">
        <v>216</v>
      </c>
      <c r="F1349" s="22" t="s">
        <v>33</v>
      </c>
      <c r="G1349" s="23">
        <v>500</v>
      </c>
      <c r="H1349" s="5">
        <v>45617</v>
      </c>
      <c r="I1349" s="23" t="s">
        <v>155</v>
      </c>
      <c r="J1349" s="23" t="s">
        <v>156</v>
      </c>
      <c r="K1349" s="22">
        <v>352406930</v>
      </c>
      <c r="L1349" s="6" t="s">
        <v>533</v>
      </c>
    </row>
    <row r="1350" spans="1:12" s="25" customFormat="1" ht="14.4" x14ac:dyDescent="0.3">
      <c r="A1350" s="22" t="s">
        <v>12</v>
      </c>
      <c r="B1350" s="22" t="s">
        <v>13</v>
      </c>
      <c r="C1350" s="22" t="s">
        <v>14</v>
      </c>
      <c r="D1350" s="22" t="s">
        <v>215</v>
      </c>
      <c r="E1350" s="22" t="s">
        <v>216</v>
      </c>
      <c r="F1350" s="22" t="s">
        <v>33</v>
      </c>
      <c r="G1350" s="23">
        <v>500</v>
      </c>
      <c r="H1350" s="5">
        <v>45618</v>
      </c>
      <c r="I1350" s="23" t="s">
        <v>155</v>
      </c>
      <c r="J1350" s="23" t="s">
        <v>156</v>
      </c>
      <c r="K1350" s="22">
        <v>352406955</v>
      </c>
      <c r="L1350" s="6" t="s">
        <v>537</v>
      </c>
    </row>
    <row r="1351" spans="1:12" customFormat="1" ht="14.4" x14ac:dyDescent="0.3">
      <c r="A1351" s="1" t="s">
        <v>12</v>
      </c>
      <c r="B1351" s="1" t="s">
        <v>13</v>
      </c>
      <c r="C1351" s="2" t="s">
        <v>14</v>
      </c>
      <c r="D1351" s="1" t="s">
        <v>343</v>
      </c>
      <c r="E1351" s="1" t="s">
        <v>344</v>
      </c>
      <c r="F1351" s="1" t="s">
        <v>345</v>
      </c>
      <c r="G1351" s="3">
        <v>500</v>
      </c>
      <c r="H1351" s="5">
        <v>45618</v>
      </c>
      <c r="I1351" s="3" t="s">
        <v>186</v>
      </c>
      <c r="J1351" s="3" t="s">
        <v>187</v>
      </c>
      <c r="K1351" s="22">
        <v>352406956</v>
      </c>
      <c r="L1351" s="6" t="s">
        <v>537</v>
      </c>
    </row>
    <row r="1352" spans="1:12" customFormat="1" ht="14.4" x14ac:dyDescent="0.3">
      <c r="A1352" s="1" t="s">
        <v>12</v>
      </c>
      <c r="B1352" s="1" t="s">
        <v>13</v>
      </c>
      <c r="C1352" s="2" t="s">
        <v>14</v>
      </c>
      <c r="D1352" s="1" t="s">
        <v>257</v>
      </c>
      <c r="E1352" s="7" t="s">
        <v>258</v>
      </c>
      <c r="F1352" s="7" t="s">
        <v>33</v>
      </c>
      <c r="G1352" s="3">
        <v>5250</v>
      </c>
      <c r="H1352" s="5">
        <v>45618</v>
      </c>
      <c r="I1352" s="3" t="s">
        <v>88</v>
      </c>
      <c r="J1352" s="3" t="s">
        <v>59</v>
      </c>
      <c r="K1352" s="24">
        <v>352406959</v>
      </c>
      <c r="L1352" s="6" t="s">
        <v>538</v>
      </c>
    </row>
    <row r="1353" spans="1:12" s="25" customFormat="1" ht="14.4" x14ac:dyDescent="0.3">
      <c r="A1353" s="22" t="s">
        <v>12</v>
      </c>
      <c r="B1353" s="22" t="s">
        <v>13</v>
      </c>
      <c r="C1353" s="22" t="s">
        <v>14</v>
      </c>
      <c r="D1353" s="22" t="s">
        <v>215</v>
      </c>
      <c r="E1353" s="22" t="s">
        <v>216</v>
      </c>
      <c r="F1353" s="22" t="s">
        <v>33</v>
      </c>
      <c r="G1353" s="23">
        <v>500</v>
      </c>
      <c r="H1353" s="5">
        <v>45618</v>
      </c>
      <c r="I1353" s="23" t="s">
        <v>155</v>
      </c>
      <c r="J1353" s="23" t="s">
        <v>156</v>
      </c>
      <c r="K1353" s="22">
        <v>352406972</v>
      </c>
      <c r="L1353" s="6" t="s">
        <v>539</v>
      </c>
    </row>
    <row r="1354" spans="1:12" customFormat="1" ht="14.4" x14ac:dyDescent="0.3">
      <c r="A1354" s="1" t="s">
        <v>12</v>
      </c>
      <c r="B1354" s="1" t="s">
        <v>13</v>
      </c>
      <c r="C1354" s="2" t="s">
        <v>14</v>
      </c>
      <c r="D1354" s="1" t="s">
        <v>343</v>
      </c>
      <c r="E1354" s="1" t="s">
        <v>344</v>
      </c>
      <c r="F1354" s="1" t="s">
        <v>345</v>
      </c>
      <c r="G1354" s="3">
        <v>500</v>
      </c>
      <c r="H1354" s="5">
        <v>45618</v>
      </c>
      <c r="I1354" s="3" t="s">
        <v>186</v>
      </c>
      <c r="J1354" s="3" t="s">
        <v>187</v>
      </c>
      <c r="K1354" s="22">
        <v>352406973</v>
      </c>
      <c r="L1354" s="6" t="s">
        <v>540</v>
      </c>
    </row>
    <row r="1355" spans="1:12" s="25" customFormat="1" ht="14.4" x14ac:dyDescent="0.3">
      <c r="A1355" s="22" t="s">
        <v>12</v>
      </c>
      <c r="B1355" s="22" t="s">
        <v>13</v>
      </c>
      <c r="C1355" s="22" t="s">
        <v>14</v>
      </c>
      <c r="D1355" s="22" t="s">
        <v>215</v>
      </c>
      <c r="E1355" s="22" t="s">
        <v>216</v>
      </c>
      <c r="F1355" s="22" t="s">
        <v>33</v>
      </c>
      <c r="G1355" s="23">
        <v>500</v>
      </c>
      <c r="H1355" s="5">
        <v>45619</v>
      </c>
      <c r="I1355" s="23" t="s">
        <v>155</v>
      </c>
      <c r="J1355" s="23" t="s">
        <v>156</v>
      </c>
      <c r="K1355" s="22">
        <v>352407000</v>
      </c>
      <c r="L1355" s="6" t="s">
        <v>541</v>
      </c>
    </row>
    <row r="1356" spans="1:12" customFormat="1" ht="14.4" x14ac:dyDescent="0.3">
      <c r="A1356" s="1" t="s">
        <v>12</v>
      </c>
      <c r="B1356" s="1" t="s">
        <v>13</v>
      </c>
      <c r="C1356" s="2" t="s">
        <v>14</v>
      </c>
      <c r="D1356" s="1" t="s">
        <v>343</v>
      </c>
      <c r="E1356" s="1" t="s">
        <v>344</v>
      </c>
      <c r="F1356" s="1" t="s">
        <v>345</v>
      </c>
      <c r="G1356" s="3">
        <v>500</v>
      </c>
      <c r="H1356" s="5">
        <v>45619</v>
      </c>
      <c r="I1356" s="3" t="s">
        <v>186</v>
      </c>
      <c r="J1356" s="3" t="s">
        <v>187</v>
      </c>
      <c r="K1356" s="22">
        <v>352407001</v>
      </c>
      <c r="L1356" s="6" t="s">
        <v>541</v>
      </c>
    </row>
    <row r="1357" spans="1:12" customFormat="1" ht="14.4" x14ac:dyDescent="0.3">
      <c r="A1357" s="1" t="s">
        <v>12</v>
      </c>
      <c r="B1357" s="1" t="s">
        <v>13</v>
      </c>
      <c r="C1357" s="2" t="s">
        <v>14</v>
      </c>
      <c r="D1357" s="1" t="s">
        <v>41</v>
      </c>
      <c r="E1357" s="1" t="s">
        <v>61</v>
      </c>
      <c r="F1357" s="1" t="s">
        <v>62</v>
      </c>
      <c r="G1357" s="3">
        <v>2500</v>
      </c>
      <c r="H1357" s="5">
        <v>45619</v>
      </c>
      <c r="I1357" s="3" t="s">
        <v>204</v>
      </c>
      <c r="J1357" s="3" t="s">
        <v>205</v>
      </c>
      <c r="K1357" s="24">
        <v>352407008</v>
      </c>
      <c r="L1357" s="6" t="s">
        <v>542</v>
      </c>
    </row>
    <row r="1358" spans="1:12" customFormat="1" ht="14.4" x14ac:dyDescent="0.3">
      <c r="A1358" s="1" t="s">
        <v>12</v>
      </c>
      <c r="B1358" s="1" t="s">
        <v>13</v>
      </c>
      <c r="C1358" s="2" t="s">
        <v>14</v>
      </c>
      <c r="D1358" s="1" t="s">
        <v>15</v>
      </c>
      <c r="E1358" s="1" t="s">
        <v>16</v>
      </c>
      <c r="F1358" s="1" t="s">
        <v>17</v>
      </c>
      <c r="G1358" s="3">
        <v>4000</v>
      </c>
      <c r="H1358" s="5">
        <v>45620</v>
      </c>
      <c r="I1358" s="3" t="s">
        <v>85</v>
      </c>
      <c r="J1358" s="3" t="s">
        <v>19</v>
      </c>
      <c r="K1358" s="24">
        <v>352407033</v>
      </c>
      <c r="L1358" s="6" t="s">
        <v>543</v>
      </c>
    </row>
    <row r="1359" spans="1:12" customFormat="1" ht="14.4" x14ac:dyDescent="0.3">
      <c r="A1359" s="1" t="s">
        <v>12</v>
      </c>
      <c r="B1359" s="1" t="s">
        <v>13</v>
      </c>
      <c r="C1359" s="2" t="s">
        <v>14</v>
      </c>
      <c r="D1359" s="1" t="s">
        <v>257</v>
      </c>
      <c r="E1359" s="7" t="s">
        <v>258</v>
      </c>
      <c r="F1359" s="7" t="s">
        <v>33</v>
      </c>
      <c r="G1359" s="3">
        <v>5250</v>
      </c>
      <c r="H1359" s="5">
        <v>45620</v>
      </c>
      <c r="I1359" s="3" t="s">
        <v>88</v>
      </c>
      <c r="J1359" s="3" t="s">
        <v>59</v>
      </c>
      <c r="K1359" s="24">
        <v>352407027</v>
      </c>
      <c r="L1359" s="6" t="s">
        <v>544</v>
      </c>
    </row>
    <row r="1360" spans="1:12" customFormat="1" ht="14.4" x14ac:dyDescent="0.3">
      <c r="A1360" s="1" t="s">
        <v>12</v>
      </c>
      <c r="B1360" s="1" t="s">
        <v>13</v>
      </c>
      <c r="C1360" s="2" t="s">
        <v>14</v>
      </c>
      <c r="D1360" s="1" t="s">
        <v>466</v>
      </c>
      <c r="E1360" s="1" t="s">
        <v>467</v>
      </c>
      <c r="F1360" s="1" t="s">
        <v>468</v>
      </c>
      <c r="G1360" s="3">
        <v>5000</v>
      </c>
      <c r="H1360" s="5">
        <v>45620</v>
      </c>
      <c r="I1360" s="3" t="s">
        <v>469</v>
      </c>
      <c r="J1360" s="3" t="s">
        <v>470</v>
      </c>
      <c r="K1360" s="1"/>
      <c r="L1360" s="6" t="s">
        <v>164</v>
      </c>
    </row>
    <row r="1361" spans="1:12" customFormat="1" ht="14.4" x14ac:dyDescent="0.3">
      <c r="A1361" s="1" t="s">
        <v>12</v>
      </c>
      <c r="B1361" s="1" t="s">
        <v>13</v>
      </c>
      <c r="C1361" s="2" t="s">
        <v>14</v>
      </c>
      <c r="D1361" s="1" t="s">
        <v>343</v>
      </c>
      <c r="E1361" s="1" t="s">
        <v>344</v>
      </c>
      <c r="F1361" s="1" t="s">
        <v>345</v>
      </c>
      <c r="G1361" s="3">
        <v>500</v>
      </c>
      <c r="H1361" s="5">
        <v>45620</v>
      </c>
      <c r="I1361" s="3" t="s">
        <v>186</v>
      </c>
      <c r="J1361" s="3" t="s">
        <v>187</v>
      </c>
      <c r="K1361" s="22">
        <v>352407034</v>
      </c>
      <c r="L1361" s="6" t="s">
        <v>545</v>
      </c>
    </row>
    <row r="1362" spans="1:12" s="25" customFormat="1" ht="14.4" x14ac:dyDescent="0.3">
      <c r="A1362" s="22" t="s">
        <v>12</v>
      </c>
      <c r="B1362" s="22" t="s">
        <v>13</v>
      </c>
      <c r="C1362" s="22" t="s">
        <v>14</v>
      </c>
      <c r="D1362" s="22" t="s">
        <v>215</v>
      </c>
      <c r="E1362" s="22" t="s">
        <v>216</v>
      </c>
      <c r="F1362" s="22" t="s">
        <v>33</v>
      </c>
      <c r="G1362" s="23">
        <v>500</v>
      </c>
      <c r="H1362" s="5">
        <v>45621</v>
      </c>
      <c r="I1362" s="23" t="s">
        <v>155</v>
      </c>
      <c r="J1362" s="23" t="s">
        <v>156</v>
      </c>
      <c r="K1362" s="22">
        <v>352407042</v>
      </c>
      <c r="L1362" s="6" t="s">
        <v>546</v>
      </c>
    </row>
    <row r="1363" spans="1:12" customFormat="1" ht="14.4" x14ac:dyDescent="0.3">
      <c r="A1363" s="1" t="s">
        <v>12</v>
      </c>
      <c r="B1363" s="1" t="s">
        <v>13</v>
      </c>
      <c r="C1363" s="2" t="s">
        <v>14</v>
      </c>
      <c r="D1363" s="1" t="s">
        <v>343</v>
      </c>
      <c r="E1363" s="1" t="s">
        <v>344</v>
      </c>
      <c r="F1363" s="1" t="s">
        <v>345</v>
      </c>
      <c r="G1363" s="3">
        <v>500</v>
      </c>
      <c r="H1363" s="5">
        <v>45622</v>
      </c>
      <c r="I1363" s="3" t="s">
        <v>186</v>
      </c>
      <c r="J1363" s="3" t="s">
        <v>187</v>
      </c>
      <c r="K1363" s="22">
        <v>302407054</v>
      </c>
      <c r="L1363" s="6" t="s">
        <v>547</v>
      </c>
    </row>
    <row r="1364" spans="1:12" s="25" customFormat="1" ht="14.4" x14ac:dyDescent="0.3">
      <c r="A1364" s="22" t="s">
        <v>12</v>
      </c>
      <c r="B1364" s="22" t="s">
        <v>13</v>
      </c>
      <c r="C1364" s="22" t="s">
        <v>14</v>
      </c>
      <c r="D1364" s="22" t="s">
        <v>215</v>
      </c>
      <c r="E1364" s="22" t="s">
        <v>216</v>
      </c>
      <c r="F1364" s="22" t="s">
        <v>33</v>
      </c>
      <c r="G1364" s="23">
        <v>500</v>
      </c>
      <c r="H1364" s="5">
        <v>45622</v>
      </c>
      <c r="I1364" s="23" t="s">
        <v>155</v>
      </c>
      <c r="J1364" s="23" t="s">
        <v>156</v>
      </c>
      <c r="K1364" s="22">
        <v>352407078</v>
      </c>
      <c r="L1364" s="6" t="s">
        <v>546</v>
      </c>
    </row>
    <row r="1365" spans="1:12" customFormat="1" ht="14.4" x14ac:dyDescent="0.3">
      <c r="A1365" s="1" t="s">
        <v>12</v>
      </c>
      <c r="B1365" s="1" t="s">
        <v>13</v>
      </c>
      <c r="C1365" s="2" t="s">
        <v>14</v>
      </c>
      <c r="D1365" s="1" t="s">
        <v>343</v>
      </c>
      <c r="E1365" s="1" t="s">
        <v>344</v>
      </c>
      <c r="F1365" s="1" t="s">
        <v>345</v>
      </c>
      <c r="G1365" s="3">
        <v>500</v>
      </c>
      <c r="H1365" s="5">
        <v>45622</v>
      </c>
      <c r="I1365" s="3" t="s">
        <v>186</v>
      </c>
      <c r="J1365" s="3" t="s">
        <v>187</v>
      </c>
      <c r="K1365" s="22">
        <v>352407079</v>
      </c>
      <c r="L1365" s="6" t="s">
        <v>546</v>
      </c>
    </row>
    <row r="1366" spans="1:12" customFormat="1" ht="14.4" x14ac:dyDescent="0.3">
      <c r="A1366" s="1" t="s">
        <v>12</v>
      </c>
      <c r="B1366" s="1" t="s">
        <v>13</v>
      </c>
      <c r="C1366" s="2" t="s">
        <v>14</v>
      </c>
      <c r="D1366" s="1" t="s">
        <v>257</v>
      </c>
      <c r="E1366" s="7" t="s">
        <v>258</v>
      </c>
      <c r="F1366" s="7" t="s">
        <v>33</v>
      </c>
      <c r="G1366" s="3">
        <v>5250</v>
      </c>
      <c r="H1366" s="5">
        <v>45622</v>
      </c>
      <c r="I1366" s="3" t="s">
        <v>88</v>
      </c>
      <c r="J1366" s="3" t="s">
        <v>59</v>
      </c>
      <c r="K1366" s="24">
        <v>352407086</v>
      </c>
      <c r="L1366" s="6" t="s">
        <v>548</v>
      </c>
    </row>
    <row r="1367" spans="1:12" customFormat="1" ht="14.4" x14ac:dyDescent="0.3">
      <c r="A1367" s="1" t="s">
        <v>12</v>
      </c>
      <c r="B1367" s="1" t="s">
        <v>13</v>
      </c>
      <c r="C1367" s="2" t="s">
        <v>14</v>
      </c>
      <c r="D1367" s="1" t="s">
        <v>343</v>
      </c>
      <c r="E1367" s="1" t="s">
        <v>344</v>
      </c>
      <c r="F1367" s="1" t="s">
        <v>345</v>
      </c>
      <c r="G1367" s="3">
        <v>500</v>
      </c>
      <c r="H1367" s="5">
        <v>45623</v>
      </c>
      <c r="I1367" s="3" t="s">
        <v>186</v>
      </c>
      <c r="J1367" s="3" t="s">
        <v>187</v>
      </c>
      <c r="K1367" s="22">
        <v>352407112</v>
      </c>
      <c r="L1367" s="6" t="s">
        <v>549</v>
      </c>
    </row>
    <row r="1368" spans="1:12" s="25" customFormat="1" ht="14.4" x14ac:dyDescent="0.3">
      <c r="A1368" s="22" t="s">
        <v>12</v>
      </c>
      <c r="B1368" s="22" t="s">
        <v>13</v>
      </c>
      <c r="C1368" s="22" t="s">
        <v>14</v>
      </c>
      <c r="D1368" s="22" t="s">
        <v>215</v>
      </c>
      <c r="E1368" s="22" t="s">
        <v>216</v>
      </c>
      <c r="F1368" s="22" t="s">
        <v>33</v>
      </c>
      <c r="G1368" s="23">
        <v>500</v>
      </c>
      <c r="H1368" s="5">
        <v>45623</v>
      </c>
      <c r="I1368" s="23" t="s">
        <v>155</v>
      </c>
      <c r="J1368" s="23" t="s">
        <v>156</v>
      </c>
      <c r="K1368" s="22">
        <v>352407113</v>
      </c>
      <c r="L1368" s="6" t="s">
        <v>550</v>
      </c>
    </row>
    <row r="1369" spans="1:12" customFormat="1" ht="14.4" x14ac:dyDescent="0.3">
      <c r="A1369" s="1" t="s">
        <v>12</v>
      </c>
      <c r="B1369" s="1" t="s">
        <v>13</v>
      </c>
      <c r="C1369" s="2" t="s">
        <v>14</v>
      </c>
      <c r="D1369" s="1" t="s">
        <v>343</v>
      </c>
      <c r="E1369" s="1" t="s">
        <v>344</v>
      </c>
      <c r="F1369" s="1" t="s">
        <v>345</v>
      </c>
      <c r="G1369" s="3">
        <v>500</v>
      </c>
      <c r="H1369" s="5">
        <v>45623</v>
      </c>
      <c r="I1369" s="3" t="s">
        <v>186</v>
      </c>
      <c r="J1369" s="3" t="s">
        <v>187</v>
      </c>
      <c r="K1369" s="22">
        <v>352407114</v>
      </c>
      <c r="L1369" s="6" t="s">
        <v>551</v>
      </c>
    </row>
    <row r="1370" spans="1:12" customFormat="1" ht="14.4" x14ac:dyDescent="0.3">
      <c r="A1370" s="1" t="s">
        <v>12</v>
      </c>
      <c r="B1370" s="1" t="s">
        <v>13</v>
      </c>
      <c r="C1370" s="2" t="s">
        <v>14</v>
      </c>
      <c r="D1370" s="1" t="s">
        <v>257</v>
      </c>
      <c r="E1370" s="7" t="s">
        <v>258</v>
      </c>
      <c r="F1370" s="7" t="s">
        <v>33</v>
      </c>
      <c r="G1370" s="3">
        <v>5250</v>
      </c>
      <c r="H1370" s="5">
        <v>45623</v>
      </c>
      <c r="I1370" s="3" t="s">
        <v>88</v>
      </c>
      <c r="J1370" s="3" t="s">
        <v>59</v>
      </c>
      <c r="K1370" s="24">
        <v>352407121</v>
      </c>
      <c r="L1370" s="6" t="s">
        <v>552</v>
      </c>
    </row>
    <row r="1371" spans="1:12" customFormat="1" ht="14.4" x14ac:dyDescent="0.3">
      <c r="A1371" s="1" t="s">
        <v>12</v>
      </c>
      <c r="B1371" s="1" t="s">
        <v>13</v>
      </c>
      <c r="C1371" s="2" t="s">
        <v>14</v>
      </c>
      <c r="D1371" s="1" t="s">
        <v>36</v>
      </c>
      <c r="E1371" s="1" t="s">
        <v>37</v>
      </c>
      <c r="F1371" s="1" t="s">
        <v>38</v>
      </c>
      <c r="G1371" s="3">
        <v>5250</v>
      </c>
      <c r="H1371" s="5">
        <v>45623</v>
      </c>
      <c r="I1371" s="3" t="s">
        <v>92</v>
      </c>
      <c r="J1371" s="3" t="s">
        <v>40</v>
      </c>
      <c r="K1371" s="24">
        <v>352407138</v>
      </c>
      <c r="L1371" s="6" t="s">
        <v>553</v>
      </c>
    </row>
    <row r="1372" spans="1:12" s="25" customFormat="1" ht="14.4" x14ac:dyDescent="0.3">
      <c r="A1372" s="22" t="s">
        <v>12</v>
      </c>
      <c r="B1372" s="22" t="s">
        <v>13</v>
      </c>
      <c r="C1372" s="22" t="s">
        <v>14</v>
      </c>
      <c r="D1372" s="22" t="s">
        <v>215</v>
      </c>
      <c r="E1372" s="22" t="s">
        <v>216</v>
      </c>
      <c r="F1372" s="22" t="s">
        <v>33</v>
      </c>
      <c r="G1372" s="23">
        <v>500</v>
      </c>
      <c r="H1372" s="5">
        <v>45623</v>
      </c>
      <c r="I1372" s="23" t="s">
        <v>155</v>
      </c>
      <c r="J1372" s="23" t="s">
        <v>156</v>
      </c>
      <c r="K1372" s="22">
        <v>352407139</v>
      </c>
      <c r="L1372" s="6" t="s">
        <v>554</v>
      </c>
    </row>
    <row r="1373" spans="1:12" customFormat="1" ht="14.4" x14ac:dyDescent="0.3">
      <c r="A1373" s="1" t="s">
        <v>12</v>
      </c>
      <c r="B1373" s="1" t="s">
        <v>13</v>
      </c>
      <c r="C1373" s="2" t="s">
        <v>14</v>
      </c>
      <c r="D1373" s="1" t="s">
        <v>343</v>
      </c>
      <c r="E1373" s="1" t="s">
        <v>344</v>
      </c>
      <c r="F1373" s="1" t="s">
        <v>345</v>
      </c>
      <c r="G1373" s="3">
        <v>500</v>
      </c>
      <c r="H1373" s="5">
        <v>45623</v>
      </c>
      <c r="I1373" s="3" t="s">
        <v>186</v>
      </c>
      <c r="J1373" s="3" t="s">
        <v>187</v>
      </c>
      <c r="K1373" s="22">
        <v>352407142</v>
      </c>
      <c r="L1373" s="6" t="s">
        <v>555</v>
      </c>
    </row>
    <row r="1374" spans="1:12" customFormat="1" ht="14.4" x14ac:dyDescent="0.3">
      <c r="A1374" s="1" t="s">
        <v>12</v>
      </c>
      <c r="B1374" s="1" t="s">
        <v>13</v>
      </c>
      <c r="C1374" s="2" t="s">
        <v>14</v>
      </c>
      <c r="D1374" s="1" t="s">
        <v>343</v>
      </c>
      <c r="E1374" s="1" t="s">
        <v>344</v>
      </c>
      <c r="F1374" s="1" t="s">
        <v>345</v>
      </c>
      <c r="G1374" s="3">
        <v>500</v>
      </c>
      <c r="H1374" s="5">
        <v>45624</v>
      </c>
      <c r="I1374" s="3" t="s">
        <v>186</v>
      </c>
      <c r="J1374" s="3" t="s">
        <v>187</v>
      </c>
      <c r="K1374" s="22">
        <v>352407166</v>
      </c>
      <c r="L1374" s="6" t="s">
        <v>554</v>
      </c>
    </row>
    <row r="1375" spans="1:12" customFormat="1" ht="14.4" x14ac:dyDescent="0.3">
      <c r="A1375" s="1" t="s">
        <v>12</v>
      </c>
      <c r="B1375" s="1" t="s">
        <v>13</v>
      </c>
      <c r="C1375" s="2" t="s">
        <v>14</v>
      </c>
      <c r="D1375" s="1" t="s">
        <v>257</v>
      </c>
      <c r="E1375" s="7" t="s">
        <v>258</v>
      </c>
      <c r="F1375" s="7" t="s">
        <v>33</v>
      </c>
      <c r="G1375" s="3">
        <v>5250</v>
      </c>
      <c r="H1375" s="5">
        <v>45624</v>
      </c>
      <c r="I1375" s="3" t="s">
        <v>88</v>
      </c>
      <c r="J1375" s="3" t="s">
        <v>59</v>
      </c>
      <c r="K1375" s="24">
        <v>352407169</v>
      </c>
      <c r="L1375" s="6" t="s">
        <v>553</v>
      </c>
    </row>
    <row r="1376" spans="1:12" customFormat="1" ht="14.4" x14ac:dyDescent="0.3">
      <c r="A1376" s="1" t="s">
        <v>12</v>
      </c>
      <c r="B1376" s="1" t="s">
        <v>13</v>
      </c>
      <c r="C1376" s="2" t="s">
        <v>14</v>
      </c>
      <c r="D1376" s="1" t="s">
        <v>41</v>
      </c>
      <c r="E1376" s="1" t="s">
        <v>42</v>
      </c>
      <c r="F1376" s="1" t="s">
        <v>43</v>
      </c>
      <c r="G1376" s="3">
        <v>4000</v>
      </c>
      <c r="H1376" s="5">
        <v>45624</v>
      </c>
      <c r="I1376" s="3" t="s">
        <v>87</v>
      </c>
      <c r="J1376" s="3" t="s">
        <v>45</v>
      </c>
      <c r="K1376" s="24">
        <v>352407189</v>
      </c>
      <c r="L1376" s="6" t="s">
        <v>556</v>
      </c>
    </row>
    <row r="1377" spans="1:12" s="25" customFormat="1" ht="14.4" x14ac:dyDescent="0.3">
      <c r="A1377" s="22" t="s">
        <v>12</v>
      </c>
      <c r="B1377" s="22" t="s">
        <v>13</v>
      </c>
      <c r="C1377" s="22" t="s">
        <v>14</v>
      </c>
      <c r="D1377" s="22" t="s">
        <v>215</v>
      </c>
      <c r="E1377" s="22" t="s">
        <v>216</v>
      </c>
      <c r="F1377" s="22" t="s">
        <v>33</v>
      </c>
      <c r="G1377" s="23">
        <v>500</v>
      </c>
      <c r="H1377" s="5">
        <v>45624</v>
      </c>
      <c r="I1377" s="23" t="s">
        <v>155</v>
      </c>
      <c r="J1377" s="23" t="s">
        <v>156</v>
      </c>
      <c r="K1377" s="22">
        <v>352407191</v>
      </c>
      <c r="L1377" s="6" t="s">
        <v>557</v>
      </c>
    </row>
    <row r="1378" spans="1:12" customFormat="1" ht="14.4" x14ac:dyDescent="0.3">
      <c r="A1378" s="1" t="s">
        <v>12</v>
      </c>
      <c r="B1378" s="1" t="s">
        <v>13</v>
      </c>
      <c r="C1378" s="2" t="s">
        <v>14</v>
      </c>
      <c r="D1378" s="1" t="s">
        <v>343</v>
      </c>
      <c r="E1378" s="1" t="s">
        <v>344</v>
      </c>
      <c r="F1378" s="1" t="s">
        <v>345</v>
      </c>
      <c r="G1378" s="3">
        <v>500</v>
      </c>
      <c r="H1378" s="5">
        <v>45625</v>
      </c>
      <c r="I1378" s="3" t="s">
        <v>186</v>
      </c>
      <c r="J1378" s="3" t="s">
        <v>187</v>
      </c>
      <c r="K1378" s="22">
        <v>352407217</v>
      </c>
      <c r="L1378" s="6" t="s">
        <v>558</v>
      </c>
    </row>
    <row r="1379" spans="1:12" customFormat="1" ht="14.4" x14ac:dyDescent="0.3">
      <c r="A1379" s="1" t="s">
        <v>12</v>
      </c>
      <c r="B1379" s="1" t="s">
        <v>13</v>
      </c>
      <c r="C1379" s="2" t="s">
        <v>14</v>
      </c>
      <c r="D1379" s="1" t="s">
        <v>257</v>
      </c>
      <c r="E1379" s="7" t="s">
        <v>258</v>
      </c>
      <c r="F1379" s="7" t="s">
        <v>33</v>
      </c>
      <c r="G1379" s="3">
        <v>5250</v>
      </c>
      <c r="H1379" s="5">
        <v>45625</v>
      </c>
      <c r="I1379" s="3" t="s">
        <v>88</v>
      </c>
      <c r="J1379" s="3" t="s">
        <v>59</v>
      </c>
      <c r="K1379" s="24">
        <v>352407218</v>
      </c>
      <c r="L1379" s="6" t="s">
        <v>559</v>
      </c>
    </row>
    <row r="1380" spans="1:12" s="25" customFormat="1" ht="14.4" x14ac:dyDescent="0.3">
      <c r="A1380" s="22" t="s">
        <v>12</v>
      </c>
      <c r="B1380" s="22" t="s">
        <v>13</v>
      </c>
      <c r="C1380" s="22" t="s">
        <v>14</v>
      </c>
      <c r="D1380" s="22" t="s">
        <v>215</v>
      </c>
      <c r="E1380" s="22" t="s">
        <v>216</v>
      </c>
      <c r="F1380" s="22" t="s">
        <v>33</v>
      </c>
      <c r="G1380" s="23">
        <v>500</v>
      </c>
      <c r="H1380" s="5">
        <v>45625</v>
      </c>
      <c r="I1380" s="23" t="s">
        <v>155</v>
      </c>
      <c r="J1380" s="23" t="s">
        <v>156</v>
      </c>
      <c r="K1380" s="22">
        <v>352407232</v>
      </c>
      <c r="L1380" s="6" t="s">
        <v>560</v>
      </c>
    </row>
    <row r="1381" spans="1:12" customFormat="1" ht="14.4" x14ac:dyDescent="0.3">
      <c r="A1381" s="1" t="s">
        <v>12</v>
      </c>
      <c r="B1381" s="1" t="s">
        <v>13</v>
      </c>
      <c r="C1381" s="2" t="s">
        <v>14</v>
      </c>
      <c r="D1381" s="1" t="s">
        <v>343</v>
      </c>
      <c r="E1381" s="1" t="s">
        <v>344</v>
      </c>
      <c r="F1381" s="1" t="s">
        <v>345</v>
      </c>
      <c r="G1381" s="3">
        <v>500</v>
      </c>
      <c r="H1381" s="5">
        <v>45625</v>
      </c>
      <c r="I1381" s="3" t="s">
        <v>186</v>
      </c>
      <c r="J1381" s="3" t="s">
        <v>187</v>
      </c>
      <c r="K1381" s="22" t="s">
        <v>561</v>
      </c>
      <c r="L1381" s="6" t="s">
        <v>562</v>
      </c>
    </row>
    <row r="1382" spans="1:12" s="25" customFormat="1" ht="14.4" x14ac:dyDescent="0.3">
      <c r="A1382" s="22" t="s">
        <v>12</v>
      </c>
      <c r="B1382" s="22" t="s">
        <v>13</v>
      </c>
      <c r="C1382" s="22" t="s">
        <v>14</v>
      </c>
      <c r="D1382" s="22" t="s">
        <v>215</v>
      </c>
      <c r="E1382" s="22" t="s">
        <v>216</v>
      </c>
      <c r="F1382" s="22" t="s">
        <v>33</v>
      </c>
      <c r="G1382" s="23">
        <v>500</v>
      </c>
      <c r="H1382" s="5">
        <v>45626</v>
      </c>
      <c r="I1382" s="23" t="s">
        <v>566</v>
      </c>
      <c r="J1382" s="23" t="s">
        <v>156</v>
      </c>
      <c r="K1382" s="22">
        <v>352407249</v>
      </c>
      <c r="L1382" s="6" t="s">
        <v>563</v>
      </c>
    </row>
    <row r="1383" spans="1:12" customFormat="1" ht="14.4" x14ac:dyDescent="0.3">
      <c r="A1383" s="1" t="s">
        <v>12</v>
      </c>
      <c r="B1383" s="1" t="s">
        <v>13</v>
      </c>
      <c r="C1383" s="2" t="s">
        <v>14</v>
      </c>
      <c r="D1383" s="3" t="s">
        <v>149</v>
      </c>
      <c r="E1383" s="18">
        <v>50100624324501</v>
      </c>
      <c r="F1383" s="3" t="s">
        <v>150</v>
      </c>
      <c r="G1383" s="3">
        <v>7500</v>
      </c>
      <c r="H1383" s="5">
        <v>45626</v>
      </c>
      <c r="I1383" s="3" t="s">
        <v>567</v>
      </c>
      <c r="J1383" s="3" t="s">
        <v>29</v>
      </c>
      <c r="K1383" s="24">
        <v>352407245</v>
      </c>
      <c r="L1383" s="6" t="s">
        <v>564</v>
      </c>
    </row>
    <row r="1384" spans="1:12" customFormat="1" ht="14.4" x14ac:dyDescent="0.3">
      <c r="A1384" s="1" t="s">
        <v>12</v>
      </c>
      <c r="B1384" s="1" t="s">
        <v>13</v>
      </c>
      <c r="C1384" s="2" t="s">
        <v>14</v>
      </c>
      <c r="D1384" s="1" t="s">
        <v>343</v>
      </c>
      <c r="E1384" s="1" t="s">
        <v>344</v>
      </c>
      <c r="F1384" s="1" t="s">
        <v>345</v>
      </c>
      <c r="G1384" s="3">
        <v>500</v>
      </c>
      <c r="H1384" s="5">
        <v>45627</v>
      </c>
      <c r="I1384" s="3" t="s">
        <v>568</v>
      </c>
      <c r="J1384" s="3" t="s">
        <v>187</v>
      </c>
      <c r="K1384" s="22">
        <v>352407286</v>
      </c>
      <c r="L1384" s="6" t="s">
        <v>565</v>
      </c>
    </row>
    <row r="1385" spans="1:12" customFormat="1" ht="14.4" x14ac:dyDescent="0.3">
      <c r="A1385" s="1" t="s">
        <v>12</v>
      </c>
      <c r="B1385" s="1" t="s">
        <v>13</v>
      </c>
      <c r="C1385" s="2" t="s">
        <v>14</v>
      </c>
      <c r="D1385" s="1" t="s">
        <v>36</v>
      </c>
      <c r="E1385" s="1" t="s">
        <v>37</v>
      </c>
      <c r="F1385" s="1" t="s">
        <v>38</v>
      </c>
      <c r="G1385" s="3">
        <v>5250</v>
      </c>
      <c r="H1385" s="5">
        <v>45627</v>
      </c>
      <c r="I1385" s="3" t="s">
        <v>569</v>
      </c>
      <c r="J1385" s="3" t="s">
        <v>40</v>
      </c>
      <c r="K1385" s="24">
        <v>352407287</v>
      </c>
      <c r="L1385" s="6" t="s">
        <v>570</v>
      </c>
    </row>
    <row r="1386" spans="1:12" customFormat="1" ht="14.4" x14ac:dyDescent="0.3">
      <c r="A1386" s="1" t="s">
        <v>12</v>
      </c>
      <c r="B1386" s="1" t="s">
        <v>13</v>
      </c>
      <c r="C1386" s="2" t="s">
        <v>14</v>
      </c>
      <c r="D1386" s="1" t="s">
        <v>257</v>
      </c>
      <c r="E1386" s="7" t="s">
        <v>258</v>
      </c>
      <c r="F1386" s="7" t="s">
        <v>33</v>
      </c>
      <c r="G1386" s="3">
        <v>5250</v>
      </c>
      <c r="H1386" s="5">
        <v>45627</v>
      </c>
      <c r="I1386" s="3" t="s">
        <v>571</v>
      </c>
      <c r="J1386" s="3" t="s">
        <v>59</v>
      </c>
      <c r="K1386" s="24">
        <v>352407288</v>
      </c>
      <c r="L1386" s="6" t="s">
        <v>570</v>
      </c>
    </row>
    <row r="1387" spans="1:12" customFormat="1" ht="14.4" x14ac:dyDescent="0.3">
      <c r="A1387" s="1" t="s">
        <v>12</v>
      </c>
      <c r="B1387" s="1" t="s">
        <v>13</v>
      </c>
      <c r="C1387" s="2" t="s">
        <v>14</v>
      </c>
      <c r="D1387" s="22" t="s">
        <v>193</v>
      </c>
      <c r="E1387" s="22" t="s">
        <v>194</v>
      </c>
      <c r="F1387" s="22" t="s">
        <v>195</v>
      </c>
      <c r="G1387" s="3">
        <v>5250</v>
      </c>
      <c r="H1387" s="5">
        <v>45627</v>
      </c>
      <c r="I1387" s="3" t="s">
        <v>572</v>
      </c>
      <c r="J1387" s="3" t="s">
        <v>34</v>
      </c>
      <c r="K1387" s="24">
        <v>352407289</v>
      </c>
      <c r="L1387" s="6" t="s">
        <v>570</v>
      </c>
    </row>
    <row r="1388" spans="1:12" customFormat="1" ht="14.4" x14ac:dyDescent="0.3">
      <c r="A1388" s="1" t="s">
        <v>12</v>
      </c>
      <c r="B1388" s="1" t="s">
        <v>13</v>
      </c>
      <c r="C1388" s="2" t="s">
        <v>14</v>
      </c>
      <c r="D1388" s="3" t="s">
        <v>149</v>
      </c>
      <c r="E1388" s="18">
        <v>50100624324501</v>
      </c>
      <c r="F1388" s="3" t="s">
        <v>150</v>
      </c>
      <c r="G1388" s="3">
        <v>5250</v>
      </c>
      <c r="H1388" s="5">
        <v>45627</v>
      </c>
      <c r="I1388" s="3" t="s">
        <v>567</v>
      </c>
      <c r="J1388" s="3" t="s">
        <v>29</v>
      </c>
      <c r="K1388" s="24">
        <v>352407290</v>
      </c>
      <c r="L1388" s="6" t="s">
        <v>570</v>
      </c>
    </row>
    <row r="1389" spans="1:12" customFormat="1" ht="14.4" x14ac:dyDescent="0.3">
      <c r="A1389" s="1" t="s">
        <v>12</v>
      </c>
      <c r="B1389" s="1" t="s">
        <v>13</v>
      </c>
      <c r="C1389" s="2" t="s">
        <v>14</v>
      </c>
      <c r="D1389" s="1" t="s">
        <v>152</v>
      </c>
      <c r="E1389" s="1" t="s">
        <v>153</v>
      </c>
      <c r="F1389" s="1" t="s">
        <v>154</v>
      </c>
      <c r="G1389" s="3">
        <v>5000</v>
      </c>
      <c r="H1389" s="5">
        <v>45627</v>
      </c>
      <c r="I1389" s="3" t="s">
        <v>573</v>
      </c>
      <c r="J1389" s="3" t="s">
        <v>84</v>
      </c>
      <c r="K1389" s="24">
        <v>352407274</v>
      </c>
      <c r="L1389" s="6" t="s">
        <v>574</v>
      </c>
    </row>
    <row r="1390" spans="1:12" customFormat="1" ht="14.4" x14ac:dyDescent="0.3">
      <c r="A1390" s="1" t="s">
        <v>12</v>
      </c>
      <c r="B1390" s="1" t="s">
        <v>13</v>
      </c>
      <c r="C1390" s="2" t="s">
        <v>14</v>
      </c>
      <c r="D1390" s="1" t="s">
        <v>41</v>
      </c>
      <c r="E1390" s="1" t="s">
        <v>42</v>
      </c>
      <c r="F1390" s="1" t="s">
        <v>43</v>
      </c>
      <c r="G1390" s="3">
        <v>4000</v>
      </c>
      <c r="H1390" s="5">
        <v>45627</v>
      </c>
      <c r="I1390" s="3" t="s">
        <v>575</v>
      </c>
      <c r="J1390" s="3" t="s">
        <v>45</v>
      </c>
      <c r="K1390" s="24">
        <v>352407294</v>
      </c>
      <c r="L1390" s="6" t="s">
        <v>576</v>
      </c>
    </row>
    <row r="1391" spans="1:12" customFormat="1" ht="14.4" x14ac:dyDescent="0.3">
      <c r="A1391" s="1" t="s">
        <v>12</v>
      </c>
      <c r="B1391" s="1" t="s">
        <v>13</v>
      </c>
      <c r="C1391" s="2" t="s">
        <v>14</v>
      </c>
      <c r="D1391" s="1" t="s">
        <v>41</v>
      </c>
      <c r="E1391" s="1" t="s">
        <v>61</v>
      </c>
      <c r="F1391" s="1" t="s">
        <v>62</v>
      </c>
      <c r="G1391" s="3">
        <v>1300</v>
      </c>
      <c r="H1391" s="5">
        <v>45628</v>
      </c>
      <c r="I1391" s="3" t="s">
        <v>579</v>
      </c>
      <c r="J1391" s="3" t="s">
        <v>205</v>
      </c>
      <c r="K1391" s="24">
        <v>352407297</v>
      </c>
      <c r="L1391" s="6" t="s">
        <v>577</v>
      </c>
    </row>
    <row r="1392" spans="1:12" customFormat="1" ht="14.4" x14ac:dyDescent="0.3">
      <c r="A1392" s="1" t="s">
        <v>12</v>
      </c>
      <c r="B1392" s="1" t="s">
        <v>13</v>
      </c>
      <c r="C1392" s="2" t="s">
        <v>14</v>
      </c>
      <c r="D1392" s="1" t="s">
        <v>435</v>
      </c>
      <c r="E1392" s="7">
        <v>31095925572</v>
      </c>
      <c r="F1392" s="22" t="s">
        <v>33</v>
      </c>
      <c r="G1392" s="3">
        <v>500</v>
      </c>
      <c r="H1392" s="5">
        <v>45628</v>
      </c>
      <c r="I1392" s="3" t="s">
        <v>578</v>
      </c>
      <c r="J1392" s="3" t="s">
        <v>126</v>
      </c>
      <c r="K1392" s="24">
        <v>352407298</v>
      </c>
      <c r="L1392" s="6" t="s">
        <v>580</v>
      </c>
    </row>
    <row r="1393" spans="1:12" customFormat="1" ht="14.4" x14ac:dyDescent="0.3">
      <c r="A1393" s="1" t="s">
        <v>12</v>
      </c>
      <c r="B1393" s="1" t="s">
        <v>13</v>
      </c>
      <c r="C1393" s="2" t="s">
        <v>14</v>
      </c>
      <c r="D1393" s="1" t="s">
        <v>343</v>
      </c>
      <c r="E1393" s="1" t="s">
        <v>344</v>
      </c>
      <c r="F1393" s="1" t="s">
        <v>345</v>
      </c>
      <c r="G1393" s="3">
        <v>500</v>
      </c>
      <c r="H1393" s="5">
        <v>45629</v>
      </c>
      <c r="I1393" s="3" t="s">
        <v>568</v>
      </c>
      <c r="J1393" s="3" t="s">
        <v>187</v>
      </c>
      <c r="K1393" s="22">
        <v>352407318</v>
      </c>
      <c r="L1393" s="6" t="s">
        <v>581</v>
      </c>
    </row>
    <row r="1394" spans="1:12" s="25" customFormat="1" ht="14.4" x14ac:dyDescent="0.3">
      <c r="A1394" s="22" t="s">
        <v>12</v>
      </c>
      <c r="B1394" s="22" t="s">
        <v>13</v>
      </c>
      <c r="C1394" s="22" t="s">
        <v>14</v>
      </c>
      <c r="D1394" s="22" t="s">
        <v>215</v>
      </c>
      <c r="E1394" s="22" t="s">
        <v>216</v>
      </c>
      <c r="F1394" s="22" t="s">
        <v>33</v>
      </c>
      <c r="G1394" s="23">
        <v>500</v>
      </c>
      <c r="H1394" s="5">
        <v>45629</v>
      </c>
      <c r="I1394" s="23" t="s">
        <v>566</v>
      </c>
      <c r="J1394" s="23" t="s">
        <v>156</v>
      </c>
      <c r="K1394" s="22">
        <v>352407335</v>
      </c>
      <c r="L1394" s="6" t="s">
        <v>582</v>
      </c>
    </row>
    <row r="1395" spans="1:12" customFormat="1" ht="14.4" x14ac:dyDescent="0.3">
      <c r="A1395" s="1" t="s">
        <v>12</v>
      </c>
      <c r="B1395" s="1" t="s">
        <v>13</v>
      </c>
      <c r="C1395" s="2" t="s">
        <v>14</v>
      </c>
      <c r="D1395" s="1" t="s">
        <v>152</v>
      </c>
      <c r="E1395" s="1" t="s">
        <v>153</v>
      </c>
      <c r="F1395" s="1" t="s">
        <v>154</v>
      </c>
      <c r="G1395" s="3">
        <v>6200</v>
      </c>
      <c r="H1395" s="5">
        <v>45629</v>
      </c>
      <c r="I1395" s="3" t="s">
        <v>573</v>
      </c>
      <c r="J1395" s="3" t="s">
        <v>84</v>
      </c>
      <c r="K1395" s="24">
        <v>352407328</v>
      </c>
      <c r="L1395" s="6" t="s">
        <v>583</v>
      </c>
    </row>
    <row r="1396" spans="1:12" s="25" customFormat="1" ht="14.4" x14ac:dyDescent="0.3">
      <c r="A1396" s="22" t="s">
        <v>12</v>
      </c>
      <c r="B1396" s="22" t="s">
        <v>13</v>
      </c>
      <c r="C1396" s="22" t="s">
        <v>14</v>
      </c>
      <c r="D1396" s="22" t="s">
        <v>215</v>
      </c>
      <c r="E1396" s="22" t="s">
        <v>216</v>
      </c>
      <c r="F1396" s="22" t="s">
        <v>33</v>
      </c>
      <c r="G1396" s="23">
        <v>500</v>
      </c>
      <c r="H1396" s="5">
        <v>45629</v>
      </c>
      <c r="I1396" s="23" t="s">
        <v>566</v>
      </c>
      <c r="J1396" s="23" t="s">
        <v>156</v>
      </c>
      <c r="K1396" s="22">
        <v>352407350</v>
      </c>
      <c r="L1396" s="6" t="s">
        <v>584</v>
      </c>
    </row>
    <row r="1397" spans="1:12" customFormat="1" ht="14.4" x14ac:dyDescent="0.3">
      <c r="A1397" s="1" t="s">
        <v>12</v>
      </c>
      <c r="B1397" s="1" t="s">
        <v>13</v>
      </c>
      <c r="C1397" s="2" t="s">
        <v>14</v>
      </c>
      <c r="D1397" s="1" t="s">
        <v>343</v>
      </c>
      <c r="E1397" s="1" t="s">
        <v>344</v>
      </c>
      <c r="F1397" s="1" t="s">
        <v>345</v>
      </c>
      <c r="G1397" s="3">
        <v>500</v>
      </c>
      <c r="H1397" s="5">
        <v>45630</v>
      </c>
      <c r="I1397" s="3" t="s">
        <v>568</v>
      </c>
      <c r="J1397" s="3" t="s">
        <v>187</v>
      </c>
      <c r="K1397" s="22">
        <v>352407374</v>
      </c>
      <c r="L1397" s="6" t="s">
        <v>585</v>
      </c>
    </row>
    <row r="1398" spans="1:12" s="25" customFormat="1" ht="14.4" x14ac:dyDescent="0.3">
      <c r="A1398" s="22" t="s">
        <v>12</v>
      </c>
      <c r="B1398" s="22" t="s">
        <v>13</v>
      </c>
      <c r="C1398" s="22" t="s">
        <v>14</v>
      </c>
      <c r="D1398" s="22" t="s">
        <v>215</v>
      </c>
      <c r="E1398" s="22" t="s">
        <v>216</v>
      </c>
      <c r="F1398" s="22" t="s">
        <v>33</v>
      </c>
      <c r="G1398" s="23">
        <v>500</v>
      </c>
      <c r="H1398" s="5">
        <v>45630</v>
      </c>
      <c r="I1398" s="23" t="s">
        <v>566</v>
      </c>
      <c r="J1398" s="23" t="s">
        <v>156</v>
      </c>
      <c r="K1398" s="22">
        <v>352407377</v>
      </c>
      <c r="L1398" s="6" t="s">
        <v>586</v>
      </c>
    </row>
    <row r="1399" spans="1:12" customFormat="1" ht="14.4" x14ac:dyDescent="0.3">
      <c r="A1399" s="22" t="s">
        <v>12</v>
      </c>
      <c r="B1399" s="22" t="s">
        <v>13</v>
      </c>
      <c r="C1399" s="22" t="s">
        <v>14</v>
      </c>
      <c r="D1399" s="1" t="s">
        <v>587</v>
      </c>
      <c r="E1399" s="1" t="s">
        <v>588</v>
      </c>
      <c r="F1399" s="1" t="s">
        <v>589</v>
      </c>
      <c r="G1399" s="3">
        <v>2000</v>
      </c>
      <c r="H1399" s="5">
        <v>45630</v>
      </c>
      <c r="I1399" s="3" t="s">
        <v>590</v>
      </c>
      <c r="J1399" s="3" t="s">
        <v>123</v>
      </c>
      <c r="K1399" s="1"/>
      <c r="L1399" s="6" t="s">
        <v>164</v>
      </c>
    </row>
    <row r="1400" spans="1:12" customFormat="1" ht="14.4" x14ac:dyDescent="0.3">
      <c r="A1400" s="22" t="s">
        <v>12</v>
      </c>
      <c r="B1400" s="22" t="s">
        <v>13</v>
      </c>
      <c r="C1400" s="22" t="s">
        <v>14</v>
      </c>
      <c r="D1400" s="1" t="s">
        <v>591</v>
      </c>
      <c r="E1400" s="1" t="s">
        <v>592</v>
      </c>
      <c r="F1400" s="1" t="s">
        <v>110</v>
      </c>
      <c r="G1400" s="3">
        <v>2000</v>
      </c>
      <c r="H1400" s="5">
        <v>45630</v>
      </c>
      <c r="I1400" s="23" t="s">
        <v>593</v>
      </c>
      <c r="J1400" s="23" t="s">
        <v>76</v>
      </c>
      <c r="K1400" s="1"/>
      <c r="L1400" s="6" t="s">
        <v>164</v>
      </c>
    </row>
    <row r="1401" spans="1:12" s="25" customFormat="1" ht="14.4" x14ac:dyDescent="0.3">
      <c r="A1401" s="22" t="s">
        <v>12</v>
      </c>
      <c r="B1401" s="22" t="s">
        <v>13</v>
      </c>
      <c r="C1401" s="22" t="s">
        <v>14</v>
      </c>
      <c r="D1401" s="22" t="s">
        <v>215</v>
      </c>
      <c r="E1401" s="22" t="s">
        <v>216</v>
      </c>
      <c r="F1401" s="22" t="s">
        <v>33</v>
      </c>
      <c r="G1401" s="23">
        <v>500</v>
      </c>
      <c r="H1401" s="5">
        <v>45630</v>
      </c>
      <c r="I1401" s="23" t="s">
        <v>566</v>
      </c>
      <c r="J1401" s="23" t="s">
        <v>156</v>
      </c>
      <c r="K1401" s="22">
        <v>352407388</v>
      </c>
      <c r="L1401" s="6" t="s">
        <v>594</v>
      </c>
    </row>
    <row r="1402" spans="1:12" customFormat="1" ht="14.4" x14ac:dyDescent="0.3">
      <c r="A1402" s="1" t="s">
        <v>12</v>
      </c>
      <c r="B1402" s="1" t="s">
        <v>13</v>
      </c>
      <c r="C1402" s="2" t="s">
        <v>14</v>
      </c>
      <c r="D1402" s="1" t="s">
        <v>257</v>
      </c>
      <c r="E1402" s="7" t="s">
        <v>258</v>
      </c>
      <c r="F1402" s="7" t="s">
        <v>33</v>
      </c>
      <c r="G1402" s="3">
        <v>5250</v>
      </c>
      <c r="H1402" s="5">
        <v>45631</v>
      </c>
      <c r="I1402" s="3" t="s">
        <v>571</v>
      </c>
      <c r="J1402" s="3" t="s">
        <v>59</v>
      </c>
      <c r="K1402" s="24">
        <v>352407403</v>
      </c>
      <c r="L1402" s="6" t="s">
        <v>595</v>
      </c>
    </row>
    <row r="1403" spans="1:12" s="25" customFormat="1" ht="14.4" x14ac:dyDescent="0.3">
      <c r="A1403" s="22" t="s">
        <v>12</v>
      </c>
      <c r="B1403" s="22" t="s">
        <v>13</v>
      </c>
      <c r="C1403" s="22" t="s">
        <v>14</v>
      </c>
      <c r="D1403" s="22" t="s">
        <v>215</v>
      </c>
      <c r="E1403" s="22" t="s">
        <v>216</v>
      </c>
      <c r="F1403" s="22" t="s">
        <v>33</v>
      </c>
      <c r="G1403" s="23">
        <v>500</v>
      </c>
      <c r="H1403" s="5">
        <v>45631</v>
      </c>
      <c r="I1403" s="23" t="s">
        <v>566</v>
      </c>
      <c r="J1403" s="23" t="s">
        <v>156</v>
      </c>
      <c r="K1403" s="22">
        <v>352407418</v>
      </c>
      <c r="L1403" s="6" t="s">
        <v>596</v>
      </c>
    </row>
    <row r="1404" spans="1:12" customFormat="1" ht="14.4" x14ac:dyDescent="0.3">
      <c r="A1404" s="1" t="s">
        <v>12</v>
      </c>
      <c r="B1404" s="1" t="s">
        <v>13</v>
      </c>
      <c r="C1404" s="2" t="s">
        <v>14</v>
      </c>
      <c r="D1404" s="22" t="s">
        <v>193</v>
      </c>
      <c r="E1404" s="22" t="s">
        <v>194</v>
      </c>
      <c r="F1404" s="22" t="s">
        <v>195</v>
      </c>
      <c r="G1404" s="3">
        <v>5000</v>
      </c>
      <c r="H1404" s="5">
        <v>45631</v>
      </c>
      <c r="I1404" s="3" t="s">
        <v>572</v>
      </c>
      <c r="J1404" s="3" t="s">
        <v>34</v>
      </c>
      <c r="K1404" s="24">
        <v>352407426</v>
      </c>
      <c r="L1404" s="6" t="s">
        <v>597</v>
      </c>
    </row>
    <row r="1405" spans="1:12" x14ac:dyDescent="0.25">
      <c r="A1405" s="30" t="s">
        <v>12</v>
      </c>
      <c r="B1405" s="30" t="s">
        <v>13</v>
      </c>
      <c r="C1405" s="30" t="s">
        <v>14</v>
      </c>
      <c r="D1405" s="30" t="s">
        <v>144</v>
      </c>
      <c r="E1405" s="39">
        <v>42542201947</v>
      </c>
      <c r="F1405" s="30" t="s">
        <v>145</v>
      </c>
      <c r="G1405" s="32">
        <v>3000</v>
      </c>
      <c r="H1405" s="33">
        <v>45631</v>
      </c>
      <c r="I1405" s="32" t="s">
        <v>146</v>
      </c>
      <c r="J1405" s="32" t="s">
        <v>147</v>
      </c>
      <c r="K1405" s="34">
        <v>352407391</v>
      </c>
      <c r="L1405" s="35" t="s">
        <v>598</v>
      </c>
    </row>
    <row r="1406" spans="1:12" customFormat="1" ht="14.4" x14ac:dyDescent="0.3">
      <c r="A1406" s="1" t="s">
        <v>12</v>
      </c>
      <c r="B1406" s="1" t="s">
        <v>13</v>
      </c>
      <c r="C1406" s="2" t="s">
        <v>14</v>
      </c>
      <c r="D1406" s="1" t="s">
        <v>343</v>
      </c>
      <c r="E1406" s="1" t="s">
        <v>344</v>
      </c>
      <c r="F1406" s="1" t="s">
        <v>345</v>
      </c>
      <c r="G1406" s="3">
        <v>500</v>
      </c>
      <c r="H1406" s="5">
        <v>45632</v>
      </c>
      <c r="I1406" s="3" t="s">
        <v>568</v>
      </c>
      <c r="J1406" s="3" t="s">
        <v>187</v>
      </c>
      <c r="K1406" s="22">
        <v>352407440</v>
      </c>
      <c r="L1406" s="6" t="s">
        <v>599</v>
      </c>
    </row>
    <row r="1407" spans="1:12" customFormat="1" ht="14.4" x14ac:dyDescent="0.3">
      <c r="A1407" s="1" t="s">
        <v>12</v>
      </c>
      <c r="B1407" s="1" t="s">
        <v>13</v>
      </c>
      <c r="C1407" s="2" t="s">
        <v>14</v>
      </c>
      <c r="D1407" s="1" t="s">
        <v>257</v>
      </c>
      <c r="E1407" s="7" t="s">
        <v>258</v>
      </c>
      <c r="F1407" s="7" t="s">
        <v>33</v>
      </c>
      <c r="G1407" s="3">
        <v>7500</v>
      </c>
      <c r="H1407" s="5">
        <v>45632</v>
      </c>
      <c r="I1407" s="3" t="s">
        <v>571</v>
      </c>
      <c r="J1407" s="3" t="s">
        <v>59</v>
      </c>
      <c r="K1407" s="24">
        <v>352407444</v>
      </c>
      <c r="L1407" s="6" t="s">
        <v>600</v>
      </c>
    </row>
    <row r="1408" spans="1:12" s="25" customFormat="1" ht="14.4" x14ac:dyDescent="0.3">
      <c r="A1408" s="22" t="s">
        <v>12</v>
      </c>
      <c r="B1408" s="22" t="s">
        <v>13</v>
      </c>
      <c r="C1408" s="22" t="s">
        <v>14</v>
      </c>
      <c r="D1408" s="22" t="s">
        <v>215</v>
      </c>
      <c r="E1408" s="22" t="s">
        <v>216</v>
      </c>
      <c r="F1408" s="22" t="s">
        <v>33</v>
      </c>
      <c r="G1408" s="23">
        <v>500</v>
      </c>
      <c r="H1408" s="5">
        <v>45632</v>
      </c>
      <c r="I1408" s="23" t="s">
        <v>566</v>
      </c>
      <c r="J1408" s="23" t="s">
        <v>156</v>
      </c>
      <c r="K1408" s="22">
        <v>352407452</v>
      </c>
      <c r="L1408" s="6" t="s">
        <v>601</v>
      </c>
    </row>
    <row r="1409" spans="1:12" customFormat="1" ht="14.4" x14ac:dyDescent="0.3">
      <c r="A1409" s="1" t="s">
        <v>12</v>
      </c>
      <c r="B1409" s="1" t="s">
        <v>13</v>
      </c>
      <c r="C1409" s="2" t="s">
        <v>14</v>
      </c>
      <c r="D1409" s="1" t="s">
        <v>36</v>
      </c>
      <c r="E1409" s="1" t="s">
        <v>37</v>
      </c>
      <c r="F1409" s="1" t="s">
        <v>38</v>
      </c>
      <c r="G1409" s="3">
        <v>5000</v>
      </c>
      <c r="H1409" s="5">
        <v>45632</v>
      </c>
      <c r="I1409" s="3" t="s">
        <v>569</v>
      </c>
      <c r="J1409" s="3" t="s">
        <v>40</v>
      </c>
      <c r="K1409" s="24">
        <v>352407463</v>
      </c>
      <c r="L1409" s="6" t="s">
        <v>602</v>
      </c>
    </row>
    <row r="1410" spans="1:12" customFormat="1" ht="14.4" x14ac:dyDescent="0.3">
      <c r="A1410" s="1" t="s">
        <v>12</v>
      </c>
      <c r="B1410" s="1" t="s">
        <v>13</v>
      </c>
      <c r="C1410" s="2" t="s">
        <v>14</v>
      </c>
      <c r="D1410" s="3" t="s">
        <v>149</v>
      </c>
      <c r="E1410" s="18">
        <v>50100624324501</v>
      </c>
      <c r="F1410" s="3" t="s">
        <v>150</v>
      </c>
      <c r="G1410" s="3">
        <v>4750</v>
      </c>
      <c r="H1410" s="5">
        <v>45632</v>
      </c>
      <c r="I1410" s="3" t="s">
        <v>567</v>
      </c>
      <c r="J1410" s="3" t="s">
        <v>29</v>
      </c>
      <c r="K1410" s="24">
        <v>352407464</v>
      </c>
      <c r="L1410" s="6" t="s">
        <v>603</v>
      </c>
    </row>
    <row r="1411" spans="1:12" customFormat="1" ht="14.4" x14ac:dyDescent="0.3">
      <c r="A1411" s="1" t="s">
        <v>12</v>
      </c>
      <c r="B1411" s="1" t="s">
        <v>13</v>
      </c>
      <c r="C1411" s="2" t="s">
        <v>14</v>
      </c>
      <c r="D1411" s="1" t="s">
        <v>41</v>
      </c>
      <c r="E1411" s="1" t="s">
        <v>42</v>
      </c>
      <c r="F1411" s="1" t="s">
        <v>43</v>
      </c>
      <c r="G1411" s="3">
        <v>4000</v>
      </c>
      <c r="H1411" s="5">
        <v>45632</v>
      </c>
      <c r="I1411" s="3" t="s">
        <v>575</v>
      </c>
      <c r="J1411" s="3" t="s">
        <v>45</v>
      </c>
      <c r="K1411" s="24">
        <v>352407465</v>
      </c>
      <c r="L1411" s="6" t="s">
        <v>604</v>
      </c>
    </row>
    <row r="1412" spans="1:12" customFormat="1" ht="14.4" x14ac:dyDescent="0.3">
      <c r="A1412" s="1" t="s">
        <v>12</v>
      </c>
      <c r="B1412" s="1" t="s">
        <v>13</v>
      </c>
      <c r="C1412" s="2" t="s">
        <v>14</v>
      </c>
      <c r="D1412" s="1" t="s">
        <v>41</v>
      </c>
      <c r="E1412" s="1" t="s">
        <v>61</v>
      </c>
      <c r="F1412" s="1" t="s">
        <v>62</v>
      </c>
      <c r="G1412" s="3">
        <v>4000</v>
      </c>
      <c r="H1412" s="5">
        <v>45632</v>
      </c>
      <c r="I1412" s="3" t="s">
        <v>579</v>
      </c>
      <c r="J1412" s="3" t="s">
        <v>205</v>
      </c>
      <c r="K1412" s="24">
        <v>352407466</v>
      </c>
      <c r="L1412" s="6" t="s">
        <v>605</v>
      </c>
    </row>
    <row r="1413" spans="1:12" customFormat="1" ht="14.4" x14ac:dyDescent="0.3">
      <c r="A1413" s="1" t="s">
        <v>12</v>
      </c>
      <c r="B1413" s="1" t="s">
        <v>13</v>
      </c>
      <c r="C1413" s="2" t="s">
        <v>14</v>
      </c>
      <c r="D1413" s="1" t="s">
        <v>343</v>
      </c>
      <c r="E1413" s="1" t="s">
        <v>344</v>
      </c>
      <c r="F1413" s="1" t="s">
        <v>345</v>
      </c>
      <c r="G1413" s="3">
        <v>500</v>
      </c>
      <c r="H1413" s="5">
        <v>45632</v>
      </c>
      <c r="I1413" s="3" t="s">
        <v>568</v>
      </c>
      <c r="J1413" s="3" t="s">
        <v>187</v>
      </c>
      <c r="K1413" s="22">
        <v>352407467</v>
      </c>
      <c r="L1413" s="6" t="s">
        <v>606</v>
      </c>
    </row>
    <row r="1414" spans="1:12" customFormat="1" ht="14.4" x14ac:dyDescent="0.3">
      <c r="A1414" s="1" t="s">
        <v>12</v>
      </c>
      <c r="B1414" s="1" t="s">
        <v>13</v>
      </c>
      <c r="C1414" s="2" t="s">
        <v>14</v>
      </c>
      <c r="D1414" s="1" t="s">
        <v>257</v>
      </c>
      <c r="E1414" s="7" t="s">
        <v>258</v>
      </c>
      <c r="F1414" s="7" t="s">
        <v>33</v>
      </c>
      <c r="G1414" s="3">
        <v>7500</v>
      </c>
      <c r="H1414" s="5">
        <v>45633</v>
      </c>
      <c r="I1414" s="3" t="s">
        <v>571</v>
      </c>
      <c r="J1414" s="3" t="s">
        <v>59</v>
      </c>
      <c r="K1414" s="24">
        <v>352407482</v>
      </c>
      <c r="L1414" s="6" t="s">
        <v>608</v>
      </c>
    </row>
    <row r="1415" spans="1:12" customFormat="1" ht="14.4" x14ac:dyDescent="0.3">
      <c r="A1415" s="1" t="s">
        <v>12</v>
      </c>
      <c r="B1415" s="1" t="s">
        <v>13</v>
      </c>
      <c r="C1415" s="2" t="s">
        <v>14</v>
      </c>
      <c r="D1415" s="1" t="s">
        <v>152</v>
      </c>
      <c r="E1415" s="1" t="s">
        <v>153</v>
      </c>
      <c r="F1415" s="1" t="s">
        <v>154</v>
      </c>
      <c r="G1415" s="3">
        <v>7500</v>
      </c>
      <c r="H1415" s="5">
        <v>45633</v>
      </c>
      <c r="I1415" s="3" t="s">
        <v>573</v>
      </c>
      <c r="J1415" s="3" t="s">
        <v>84</v>
      </c>
      <c r="K1415" s="24">
        <v>352407483</v>
      </c>
      <c r="L1415" s="6" t="s">
        <v>608</v>
      </c>
    </row>
    <row r="1416" spans="1:12" customFormat="1" ht="14.4" x14ac:dyDescent="0.3">
      <c r="A1416" s="1" t="s">
        <v>12</v>
      </c>
      <c r="B1416" s="1" t="s">
        <v>13</v>
      </c>
      <c r="C1416" s="2" t="s">
        <v>14</v>
      </c>
      <c r="D1416" s="1" t="s">
        <v>343</v>
      </c>
      <c r="E1416" s="1" t="s">
        <v>344</v>
      </c>
      <c r="F1416" s="1" t="s">
        <v>345</v>
      </c>
      <c r="G1416" s="3">
        <v>500</v>
      </c>
      <c r="H1416" s="5">
        <v>45633</v>
      </c>
      <c r="I1416" s="3" t="s">
        <v>568</v>
      </c>
      <c r="J1416" s="3" t="s">
        <v>187</v>
      </c>
      <c r="K1416" s="22">
        <v>352407484</v>
      </c>
      <c r="L1416" s="6" t="s">
        <v>607</v>
      </c>
    </row>
    <row r="1417" spans="1:12" s="25" customFormat="1" ht="14.4" x14ac:dyDescent="0.3">
      <c r="A1417" s="22" t="s">
        <v>12</v>
      </c>
      <c r="B1417" s="22" t="s">
        <v>13</v>
      </c>
      <c r="C1417" s="22" t="s">
        <v>14</v>
      </c>
      <c r="D1417" s="22" t="s">
        <v>215</v>
      </c>
      <c r="E1417" s="22" t="s">
        <v>216</v>
      </c>
      <c r="F1417" s="22" t="s">
        <v>33</v>
      </c>
      <c r="G1417" s="23">
        <v>500</v>
      </c>
      <c r="H1417" s="5">
        <v>45633</v>
      </c>
      <c r="I1417" s="23" t="s">
        <v>566</v>
      </c>
      <c r="J1417" s="23" t="s">
        <v>156</v>
      </c>
      <c r="K1417" s="22">
        <v>352407486</v>
      </c>
      <c r="L1417" s="6" t="s">
        <v>609</v>
      </c>
    </row>
    <row r="1418" spans="1:12" s="25" customFormat="1" ht="14.4" x14ac:dyDescent="0.3">
      <c r="A1418" s="22" t="s">
        <v>12</v>
      </c>
      <c r="B1418" s="22" t="s">
        <v>13</v>
      </c>
      <c r="C1418" s="22" t="s">
        <v>14</v>
      </c>
      <c r="D1418" s="22" t="s">
        <v>215</v>
      </c>
      <c r="E1418" s="22" t="s">
        <v>216</v>
      </c>
      <c r="F1418" s="22" t="s">
        <v>33</v>
      </c>
      <c r="G1418" s="23">
        <v>500</v>
      </c>
      <c r="H1418" s="5">
        <v>45634</v>
      </c>
      <c r="I1418" s="23" t="s">
        <v>566</v>
      </c>
      <c r="J1418" s="23" t="s">
        <v>156</v>
      </c>
      <c r="K1418" s="22">
        <v>352407510</v>
      </c>
      <c r="L1418" s="6" t="s">
        <v>610</v>
      </c>
    </row>
    <row r="1419" spans="1:12" customFormat="1" ht="14.4" x14ac:dyDescent="0.3">
      <c r="A1419" s="1" t="s">
        <v>12</v>
      </c>
      <c r="B1419" s="1" t="s">
        <v>13</v>
      </c>
      <c r="C1419" s="2" t="s">
        <v>14</v>
      </c>
      <c r="D1419" s="1" t="s">
        <v>343</v>
      </c>
      <c r="E1419" s="1" t="s">
        <v>344</v>
      </c>
      <c r="F1419" s="1" t="s">
        <v>345</v>
      </c>
      <c r="G1419" s="3">
        <v>500</v>
      </c>
      <c r="H1419" s="5">
        <v>45634</v>
      </c>
      <c r="I1419" s="3" t="s">
        <v>568</v>
      </c>
      <c r="J1419" s="3" t="s">
        <v>187</v>
      </c>
      <c r="K1419" s="22">
        <v>352407511</v>
      </c>
      <c r="L1419" s="6" t="s">
        <v>610</v>
      </c>
    </row>
    <row r="1420" spans="1:12" customFormat="1" ht="14.4" x14ac:dyDescent="0.3">
      <c r="A1420" s="1" t="s">
        <v>12</v>
      </c>
      <c r="B1420" s="1" t="s">
        <v>13</v>
      </c>
      <c r="C1420" s="2" t="s">
        <v>14</v>
      </c>
      <c r="D1420" s="1" t="s">
        <v>257</v>
      </c>
      <c r="E1420" s="7" t="s">
        <v>258</v>
      </c>
      <c r="F1420" s="7" t="s">
        <v>33</v>
      </c>
      <c r="G1420" s="3">
        <v>1500</v>
      </c>
      <c r="H1420" s="5">
        <v>45635</v>
      </c>
      <c r="I1420" s="3" t="s">
        <v>611</v>
      </c>
      <c r="J1420" s="3" t="s">
        <v>59</v>
      </c>
      <c r="K1420" s="24">
        <v>352407529</v>
      </c>
      <c r="L1420" s="6" t="s">
        <v>612</v>
      </c>
    </row>
    <row r="1421" spans="1:12" customFormat="1" ht="14.4" x14ac:dyDescent="0.3">
      <c r="A1421" s="10" t="s">
        <v>12</v>
      </c>
      <c r="B1421" s="10" t="s">
        <v>13</v>
      </c>
      <c r="C1421" s="10" t="s">
        <v>14</v>
      </c>
      <c r="D1421" s="10" t="s">
        <v>587</v>
      </c>
      <c r="E1421" s="10" t="s">
        <v>588</v>
      </c>
      <c r="F1421" s="10" t="s">
        <v>589</v>
      </c>
      <c r="G1421" s="13">
        <v>2000</v>
      </c>
      <c r="H1421" s="12">
        <v>45635</v>
      </c>
      <c r="I1421" s="13" t="s">
        <v>613</v>
      </c>
      <c r="J1421" s="13" t="s">
        <v>123</v>
      </c>
      <c r="K1421" s="10"/>
      <c r="L1421" s="14" t="s">
        <v>164</v>
      </c>
    </row>
    <row r="1422" spans="1:12" customFormat="1" ht="14.4" x14ac:dyDescent="0.3">
      <c r="A1422" s="10" t="s">
        <v>12</v>
      </c>
      <c r="B1422" s="10" t="s">
        <v>13</v>
      </c>
      <c r="C1422" s="10" t="s">
        <v>14</v>
      </c>
      <c r="D1422" s="10" t="s">
        <v>591</v>
      </c>
      <c r="E1422" s="10" t="s">
        <v>592</v>
      </c>
      <c r="F1422" s="10" t="s">
        <v>110</v>
      </c>
      <c r="G1422" s="13">
        <v>2000</v>
      </c>
      <c r="H1422" s="12">
        <v>45635</v>
      </c>
      <c r="I1422" s="13" t="s">
        <v>614</v>
      </c>
      <c r="J1422" s="13" t="s">
        <v>76</v>
      </c>
      <c r="K1422" s="10"/>
      <c r="L1422" s="14" t="s">
        <v>164</v>
      </c>
    </row>
    <row r="1423" spans="1:12" customFormat="1" ht="14.4" x14ac:dyDescent="0.3">
      <c r="A1423" s="1" t="s">
        <v>12</v>
      </c>
      <c r="B1423" s="1" t="s">
        <v>13</v>
      </c>
      <c r="C1423" s="2" t="s">
        <v>14</v>
      </c>
      <c r="D1423" s="1" t="s">
        <v>343</v>
      </c>
      <c r="E1423" s="1" t="s">
        <v>344</v>
      </c>
      <c r="F1423" s="1" t="s">
        <v>345</v>
      </c>
      <c r="G1423" s="3">
        <v>500</v>
      </c>
      <c r="H1423" s="5">
        <v>45636</v>
      </c>
      <c r="I1423" s="3" t="s">
        <v>568</v>
      </c>
      <c r="J1423" s="3" t="s">
        <v>187</v>
      </c>
      <c r="K1423" s="22">
        <v>352407561</v>
      </c>
      <c r="L1423" s="6" t="s">
        <v>616</v>
      </c>
    </row>
    <row r="1424" spans="1:12" s="25" customFormat="1" ht="14.4" x14ac:dyDescent="0.3">
      <c r="A1424" s="22" t="s">
        <v>12</v>
      </c>
      <c r="B1424" s="22" t="s">
        <v>13</v>
      </c>
      <c r="C1424" s="22" t="s">
        <v>14</v>
      </c>
      <c r="D1424" s="22" t="s">
        <v>215</v>
      </c>
      <c r="E1424" s="22" t="s">
        <v>216</v>
      </c>
      <c r="F1424" s="22" t="s">
        <v>33</v>
      </c>
      <c r="G1424" s="23">
        <v>500</v>
      </c>
      <c r="H1424" s="5">
        <v>45636</v>
      </c>
      <c r="I1424" s="23" t="s">
        <v>566</v>
      </c>
      <c r="J1424" s="23" t="s">
        <v>156</v>
      </c>
      <c r="K1424" s="22">
        <v>352407558</v>
      </c>
      <c r="L1424" s="6" t="s">
        <v>615</v>
      </c>
    </row>
    <row r="1425" spans="1:12" customFormat="1" ht="14.4" x14ac:dyDescent="0.3">
      <c r="A1425" s="1" t="s">
        <v>12</v>
      </c>
      <c r="B1425" s="1" t="s">
        <v>13</v>
      </c>
      <c r="C1425" s="2" t="s">
        <v>14</v>
      </c>
      <c r="D1425" s="1" t="s">
        <v>343</v>
      </c>
      <c r="E1425" s="1" t="s">
        <v>344</v>
      </c>
      <c r="F1425" s="1" t="s">
        <v>345</v>
      </c>
      <c r="G1425" s="3">
        <v>500</v>
      </c>
      <c r="H1425" s="5">
        <v>45636</v>
      </c>
      <c r="I1425" s="3" t="s">
        <v>568</v>
      </c>
      <c r="J1425" s="3" t="s">
        <v>187</v>
      </c>
      <c r="K1425" s="22">
        <v>352407562</v>
      </c>
      <c r="L1425" s="6" t="s">
        <v>617</v>
      </c>
    </row>
    <row r="1426" spans="1:12" customFormat="1" ht="14.4" x14ac:dyDescent="0.3">
      <c r="A1426" s="1" t="s">
        <v>12</v>
      </c>
      <c r="B1426" s="1" t="s">
        <v>13</v>
      </c>
      <c r="C1426" s="2" t="s">
        <v>14</v>
      </c>
      <c r="D1426" s="22" t="s">
        <v>193</v>
      </c>
      <c r="E1426" s="22" t="s">
        <v>194</v>
      </c>
      <c r="F1426" s="22" t="s">
        <v>195</v>
      </c>
      <c r="G1426" s="3">
        <v>7500</v>
      </c>
      <c r="H1426" s="5">
        <v>45636</v>
      </c>
      <c r="I1426" s="3" t="s">
        <v>572</v>
      </c>
      <c r="J1426" s="3" t="s">
        <v>34</v>
      </c>
      <c r="K1426" s="24">
        <v>352407533</v>
      </c>
      <c r="L1426" s="6" t="s">
        <v>618</v>
      </c>
    </row>
    <row r="1427" spans="1:12" customFormat="1" ht="14.4" x14ac:dyDescent="0.3">
      <c r="A1427" s="1" t="s">
        <v>12</v>
      </c>
      <c r="B1427" s="1" t="s">
        <v>13</v>
      </c>
      <c r="C1427" s="2" t="s">
        <v>14</v>
      </c>
      <c r="D1427" s="1" t="s">
        <v>152</v>
      </c>
      <c r="E1427" s="1" t="s">
        <v>153</v>
      </c>
      <c r="F1427" s="1" t="s">
        <v>154</v>
      </c>
      <c r="G1427" s="3">
        <v>6200</v>
      </c>
      <c r="H1427" s="5">
        <v>45636</v>
      </c>
      <c r="I1427" s="3" t="s">
        <v>573</v>
      </c>
      <c r="J1427" s="3" t="s">
        <v>84</v>
      </c>
      <c r="K1427" s="24">
        <v>352407534</v>
      </c>
      <c r="L1427" s="6" t="s">
        <v>619</v>
      </c>
    </row>
    <row r="1428" spans="1:12" customFormat="1" ht="14.4" x14ac:dyDescent="0.3">
      <c r="A1428" s="1" t="s">
        <v>12</v>
      </c>
      <c r="B1428" s="1" t="s">
        <v>13</v>
      </c>
      <c r="C1428" s="2" t="s">
        <v>14</v>
      </c>
      <c r="D1428" s="1" t="s">
        <v>36</v>
      </c>
      <c r="E1428" s="1" t="s">
        <v>37</v>
      </c>
      <c r="F1428" s="1" t="s">
        <v>38</v>
      </c>
      <c r="G1428" s="3">
        <v>6200</v>
      </c>
      <c r="H1428" s="5">
        <v>45636</v>
      </c>
      <c r="I1428" s="3" t="s">
        <v>569</v>
      </c>
      <c r="J1428" s="3" t="s">
        <v>40</v>
      </c>
      <c r="K1428" s="24">
        <v>352407535</v>
      </c>
      <c r="L1428" s="6" t="s">
        <v>619</v>
      </c>
    </row>
    <row r="1429" spans="1:12" customFormat="1" ht="14.4" x14ac:dyDescent="0.3">
      <c r="A1429" s="1" t="s">
        <v>12</v>
      </c>
      <c r="B1429" s="1" t="s">
        <v>13</v>
      </c>
      <c r="C1429" s="2" t="s">
        <v>14</v>
      </c>
      <c r="D1429" s="3" t="s">
        <v>149</v>
      </c>
      <c r="E1429" s="18">
        <v>50100624324501</v>
      </c>
      <c r="F1429" s="3" t="s">
        <v>150</v>
      </c>
      <c r="G1429" s="3">
        <v>5000</v>
      </c>
      <c r="H1429" s="5">
        <v>45636</v>
      </c>
      <c r="I1429" s="3" t="s">
        <v>567</v>
      </c>
      <c r="J1429" s="3" t="s">
        <v>29</v>
      </c>
      <c r="K1429" s="24">
        <v>352407536</v>
      </c>
      <c r="L1429" s="6" t="s">
        <v>620</v>
      </c>
    </row>
    <row r="1430" spans="1:12" s="25" customFormat="1" ht="14.4" x14ac:dyDescent="0.3">
      <c r="A1430" s="22" t="s">
        <v>12</v>
      </c>
      <c r="B1430" s="22" t="s">
        <v>13</v>
      </c>
      <c r="C1430" s="22" t="s">
        <v>14</v>
      </c>
      <c r="D1430" s="22" t="s">
        <v>587</v>
      </c>
      <c r="E1430" s="22" t="s">
        <v>588</v>
      </c>
      <c r="F1430" s="22" t="s">
        <v>589</v>
      </c>
      <c r="G1430" s="23">
        <v>2000</v>
      </c>
      <c r="H1430" s="5">
        <v>45636</v>
      </c>
      <c r="I1430" s="23" t="s">
        <v>613</v>
      </c>
      <c r="J1430" s="23" t="s">
        <v>123</v>
      </c>
      <c r="K1430" s="22"/>
      <c r="L1430" s="24" t="s">
        <v>621</v>
      </c>
    </row>
    <row r="1431" spans="1:12" s="25" customFormat="1" ht="14.4" x14ac:dyDescent="0.3">
      <c r="A1431" s="22" t="s">
        <v>12</v>
      </c>
      <c r="B1431" s="22" t="s">
        <v>13</v>
      </c>
      <c r="C1431" s="22" t="s">
        <v>14</v>
      </c>
      <c r="D1431" s="22" t="s">
        <v>591</v>
      </c>
      <c r="E1431" s="22" t="s">
        <v>592</v>
      </c>
      <c r="F1431" s="22" t="s">
        <v>110</v>
      </c>
      <c r="G1431" s="23">
        <v>2000</v>
      </c>
      <c r="H1431" s="5">
        <v>45636</v>
      </c>
      <c r="I1431" s="23" t="s">
        <v>614</v>
      </c>
      <c r="J1431" s="23" t="s">
        <v>76</v>
      </c>
      <c r="K1431" s="22"/>
      <c r="L1431" s="24" t="s">
        <v>621</v>
      </c>
    </row>
    <row r="1432" spans="1:12" s="25" customFormat="1" ht="14.4" x14ac:dyDescent="0.3">
      <c r="A1432" s="22" t="s">
        <v>12</v>
      </c>
      <c r="B1432" s="22" t="s">
        <v>13</v>
      </c>
      <c r="C1432" s="22" t="s">
        <v>14</v>
      </c>
      <c r="D1432" s="22" t="s">
        <v>215</v>
      </c>
      <c r="E1432" s="22" t="s">
        <v>216</v>
      </c>
      <c r="F1432" s="22" t="s">
        <v>33</v>
      </c>
      <c r="G1432" s="23">
        <v>500</v>
      </c>
      <c r="H1432" s="5">
        <v>45636</v>
      </c>
      <c r="I1432" s="23" t="s">
        <v>566</v>
      </c>
      <c r="J1432" s="23" t="s">
        <v>156</v>
      </c>
      <c r="K1432" s="22">
        <v>352407571</v>
      </c>
      <c r="L1432" s="6" t="s">
        <v>622</v>
      </c>
    </row>
    <row r="1433" spans="1:12" customFormat="1" ht="14.4" x14ac:dyDescent="0.3">
      <c r="A1433" s="1" t="s">
        <v>12</v>
      </c>
      <c r="B1433" s="1" t="s">
        <v>13</v>
      </c>
      <c r="C1433" s="2" t="s">
        <v>14</v>
      </c>
      <c r="D1433" s="1" t="s">
        <v>343</v>
      </c>
      <c r="E1433" s="1" t="s">
        <v>344</v>
      </c>
      <c r="F1433" s="1" t="s">
        <v>345</v>
      </c>
      <c r="G1433" s="3">
        <v>500</v>
      </c>
      <c r="H1433" s="5">
        <v>45637</v>
      </c>
      <c r="I1433" s="3" t="s">
        <v>568</v>
      </c>
      <c r="J1433" s="3" t="s">
        <v>187</v>
      </c>
      <c r="K1433" s="22">
        <v>352407605</v>
      </c>
      <c r="L1433" s="6" t="s">
        <v>623</v>
      </c>
    </row>
    <row r="1434" spans="1:12" customFormat="1" ht="14.4" x14ac:dyDescent="0.3">
      <c r="A1434" s="1" t="s">
        <v>12</v>
      </c>
      <c r="B1434" s="1" t="s">
        <v>13</v>
      </c>
      <c r="C1434" s="2" t="s">
        <v>14</v>
      </c>
      <c r="D1434" s="22" t="s">
        <v>193</v>
      </c>
      <c r="E1434" s="22" t="s">
        <v>194</v>
      </c>
      <c r="F1434" s="22" t="s">
        <v>195</v>
      </c>
      <c r="G1434" s="3">
        <v>3500</v>
      </c>
      <c r="H1434" s="5">
        <v>45637</v>
      </c>
      <c r="I1434" s="3" t="s">
        <v>572</v>
      </c>
      <c r="J1434" s="3" t="s">
        <v>34</v>
      </c>
      <c r="K1434" s="24">
        <v>352407573</v>
      </c>
      <c r="L1434" s="6" t="s">
        <v>625</v>
      </c>
    </row>
    <row r="1435" spans="1:12" customFormat="1" ht="14.4" x14ac:dyDescent="0.3">
      <c r="A1435" s="1" t="s">
        <v>12</v>
      </c>
      <c r="B1435" s="1" t="s">
        <v>13</v>
      </c>
      <c r="C1435" s="2" t="s">
        <v>14</v>
      </c>
      <c r="D1435" s="3" t="s">
        <v>149</v>
      </c>
      <c r="E1435" s="18">
        <v>50100624324501</v>
      </c>
      <c r="F1435" s="3" t="s">
        <v>150</v>
      </c>
      <c r="G1435" s="3">
        <v>6200</v>
      </c>
      <c r="H1435" s="5">
        <v>45637</v>
      </c>
      <c r="I1435" s="3" t="s">
        <v>567</v>
      </c>
      <c r="J1435" s="3" t="s">
        <v>29</v>
      </c>
      <c r="K1435" s="24">
        <v>352407574</v>
      </c>
      <c r="L1435" s="6" t="s">
        <v>624</v>
      </c>
    </row>
    <row r="1436" spans="1:12" s="25" customFormat="1" ht="14.4" x14ac:dyDescent="0.3">
      <c r="A1436" s="22" t="s">
        <v>12</v>
      </c>
      <c r="B1436" s="22" t="s">
        <v>13</v>
      </c>
      <c r="C1436" s="22" t="s">
        <v>14</v>
      </c>
      <c r="D1436" s="22" t="s">
        <v>215</v>
      </c>
      <c r="E1436" s="22" t="s">
        <v>216</v>
      </c>
      <c r="F1436" s="22" t="s">
        <v>33</v>
      </c>
      <c r="G1436" s="23">
        <v>500</v>
      </c>
      <c r="H1436" s="5">
        <v>45638</v>
      </c>
      <c r="I1436" s="23" t="s">
        <v>566</v>
      </c>
      <c r="J1436" s="23" t="s">
        <v>156</v>
      </c>
      <c r="K1436" s="22">
        <v>352407620</v>
      </c>
      <c r="L1436" s="6" t="s">
        <v>626</v>
      </c>
    </row>
    <row r="1437" spans="1:12" customFormat="1" ht="14.4" x14ac:dyDescent="0.3">
      <c r="A1437" s="1" t="s">
        <v>12</v>
      </c>
      <c r="B1437" s="1" t="s">
        <v>13</v>
      </c>
      <c r="C1437" s="2" t="s">
        <v>14</v>
      </c>
      <c r="D1437" s="1" t="s">
        <v>343</v>
      </c>
      <c r="E1437" s="1" t="s">
        <v>344</v>
      </c>
      <c r="F1437" s="1" t="s">
        <v>345</v>
      </c>
      <c r="G1437" s="3">
        <v>500</v>
      </c>
      <c r="H1437" s="5">
        <v>45638</v>
      </c>
      <c r="I1437" s="3" t="s">
        <v>568</v>
      </c>
      <c r="J1437" s="3" t="s">
        <v>187</v>
      </c>
      <c r="K1437" s="22">
        <v>352407648</v>
      </c>
      <c r="L1437" s="6" t="s">
        <v>627</v>
      </c>
    </row>
    <row r="1438" spans="1:12" s="25" customFormat="1" ht="14.4" x14ac:dyDescent="0.3">
      <c r="A1438" s="22" t="s">
        <v>12</v>
      </c>
      <c r="B1438" s="22" t="s">
        <v>13</v>
      </c>
      <c r="C1438" s="22" t="s">
        <v>14</v>
      </c>
      <c r="D1438" s="22" t="s">
        <v>215</v>
      </c>
      <c r="E1438" s="22" t="s">
        <v>216</v>
      </c>
      <c r="F1438" s="22" t="s">
        <v>33</v>
      </c>
      <c r="G1438" s="23">
        <v>500</v>
      </c>
      <c r="H1438" s="5">
        <v>45638</v>
      </c>
      <c r="I1438" s="23" t="s">
        <v>566</v>
      </c>
      <c r="J1438" s="23" t="s">
        <v>156</v>
      </c>
      <c r="K1438" s="22">
        <v>352407656</v>
      </c>
      <c r="L1438" s="6" t="s">
        <v>628</v>
      </c>
    </row>
    <row r="1439" spans="1:12" customFormat="1" ht="14.4" x14ac:dyDescent="0.3">
      <c r="A1439" s="1" t="s">
        <v>12</v>
      </c>
      <c r="B1439" s="1" t="s">
        <v>13</v>
      </c>
      <c r="C1439" s="2" t="s">
        <v>14</v>
      </c>
      <c r="D1439" s="1" t="s">
        <v>343</v>
      </c>
      <c r="E1439" s="1" t="s">
        <v>344</v>
      </c>
      <c r="F1439" s="1" t="s">
        <v>345</v>
      </c>
      <c r="G1439" s="3">
        <v>500</v>
      </c>
      <c r="H1439" s="5">
        <v>45638</v>
      </c>
      <c r="I1439" s="3" t="s">
        <v>568</v>
      </c>
      <c r="J1439" s="3" t="s">
        <v>187</v>
      </c>
      <c r="K1439" s="22">
        <v>352407658</v>
      </c>
      <c r="L1439" s="6" t="s">
        <v>629</v>
      </c>
    </row>
    <row r="1440" spans="1:12" customFormat="1" ht="14.4" x14ac:dyDescent="0.3">
      <c r="A1440" s="1" t="s">
        <v>12</v>
      </c>
      <c r="B1440" s="1" t="s">
        <v>13</v>
      </c>
      <c r="C1440" s="2" t="s">
        <v>14</v>
      </c>
      <c r="D1440" s="1" t="s">
        <v>41</v>
      </c>
      <c r="E1440" s="1" t="s">
        <v>61</v>
      </c>
      <c r="F1440" s="1" t="s">
        <v>62</v>
      </c>
      <c r="G1440" s="3">
        <v>2000</v>
      </c>
      <c r="H1440" s="5">
        <v>45638</v>
      </c>
      <c r="I1440" s="3" t="s">
        <v>579</v>
      </c>
      <c r="J1440" s="3" t="s">
        <v>205</v>
      </c>
      <c r="K1440" s="24">
        <v>352407659</v>
      </c>
      <c r="L1440" s="6" t="s">
        <v>630</v>
      </c>
    </row>
    <row r="1441" spans="1:12" s="25" customFormat="1" ht="14.4" x14ac:dyDescent="0.3">
      <c r="A1441" s="22" t="s">
        <v>12</v>
      </c>
      <c r="B1441" s="22" t="s">
        <v>13</v>
      </c>
      <c r="C1441" s="22" t="s">
        <v>14</v>
      </c>
      <c r="D1441" s="22" t="s">
        <v>215</v>
      </c>
      <c r="E1441" s="22" t="s">
        <v>216</v>
      </c>
      <c r="F1441" s="22" t="s">
        <v>33</v>
      </c>
      <c r="G1441" s="23">
        <v>500</v>
      </c>
      <c r="H1441" s="5">
        <v>45639</v>
      </c>
      <c r="I1441" s="23" t="s">
        <v>566</v>
      </c>
      <c r="J1441" s="23" t="s">
        <v>156</v>
      </c>
      <c r="K1441" s="22">
        <v>352407687</v>
      </c>
      <c r="L1441" s="6" t="s">
        <v>628</v>
      </c>
    </row>
    <row r="1442" spans="1:12" customFormat="1" ht="14.4" x14ac:dyDescent="0.3">
      <c r="A1442" s="1" t="s">
        <v>12</v>
      </c>
      <c r="B1442" s="1" t="s">
        <v>13</v>
      </c>
      <c r="C1442" s="2" t="s">
        <v>14</v>
      </c>
      <c r="D1442" s="1" t="s">
        <v>41</v>
      </c>
      <c r="E1442" s="1" t="s">
        <v>61</v>
      </c>
      <c r="F1442" s="1" t="s">
        <v>62</v>
      </c>
      <c r="G1442" s="3">
        <v>5000</v>
      </c>
      <c r="H1442" s="5">
        <v>45639</v>
      </c>
      <c r="I1442" s="3" t="s">
        <v>204</v>
      </c>
      <c r="J1442" s="3" t="s">
        <v>205</v>
      </c>
      <c r="K1442" s="24"/>
      <c r="L1442" s="6" t="s">
        <v>164</v>
      </c>
    </row>
    <row r="1443" spans="1:12" customFormat="1" ht="14.4" x14ac:dyDescent="0.3">
      <c r="A1443" s="1" t="s">
        <v>12</v>
      </c>
      <c r="B1443" s="1" t="s">
        <v>13</v>
      </c>
      <c r="C1443" s="2" t="s">
        <v>14</v>
      </c>
      <c r="D1443" s="1" t="s">
        <v>343</v>
      </c>
      <c r="E1443" s="1" t="s">
        <v>344</v>
      </c>
      <c r="F1443" s="1" t="s">
        <v>345</v>
      </c>
      <c r="G1443" s="3">
        <v>500</v>
      </c>
      <c r="H1443" s="5">
        <v>45640</v>
      </c>
      <c r="I1443" s="3" t="s">
        <v>568</v>
      </c>
      <c r="J1443" s="3" t="s">
        <v>187</v>
      </c>
      <c r="K1443" s="22">
        <v>352407734</v>
      </c>
      <c r="L1443" s="6" t="s">
        <v>631</v>
      </c>
    </row>
    <row r="1444" spans="1:12" s="25" customFormat="1" ht="14.4" x14ac:dyDescent="0.3">
      <c r="A1444" s="22" t="s">
        <v>12</v>
      </c>
      <c r="B1444" s="22" t="s">
        <v>13</v>
      </c>
      <c r="C1444" s="22" t="s">
        <v>14</v>
      </c>
      <c r="D1444" s="22" t="s">
        <v>215</v>
      </c>
      <c r="E1444" s="22" t="s">
        <v>216</v>
      </c>
      <c r="F1444" s="22" t="s">
        <v>33</v>
      </c>
      <c r="G1444" s="23">
        <v>500</v>
      </c>
      <c r="H1444" s="5">
        <v>45640</v>
      </c>
      <c r="I1444" s="23" t="s">
        <v>566</v>
      </c>
      <c r="J1444" s="23" t="s">
        <v>156</v>
      </c>
      <c r="K1444" s="22">
        <v>352407743</v>
      </c>
      <c r="L1444" s="6" t="s">
        <v>631</v>
      </c>
    </row>
    <row r="1445" spans="1:12" customFormat="1" ht="14.4" x14ac:dyDescent="0.3">
      <c r="A1445" s="1" t="s">
        <v>12</v>
      </c>
      <c r="B1445" s="1" t="s">
        <v>13</v>
      </c>
      <c r="C1445" s="2" t="s">
        <v>14</v>
      </c>
      <c r="D1445" s="22" t="s">
        <v>193</v>
      </c>
      <c r="E1445" s="22" t="s">
        <v>194</v>
      </c>
      <c r="F1445" s="22" t="s">
        <v>195</v>
      </c>
      <c r="G1445" s="3">
        <v>5500</v>
      </c>
      <c r="H1445" s="5">
        <v>45640</v>
      </c>
      <c r="I1445" s="3" t="s">
        <v>572</v>
      </c>
      <c r="J1445" s="3" t="s">
        <v>34</v>
      </c>
      <c r="K1445" s="24">
        <v>352407745</v>
      </c>
      <c r="L1445" s="6" t="s">
        <v>632</v>
      </c>
    </row>
    <row r="1446" spans="1:12" s="25" customFormat="1" ht="14.4" x14ac:dyDescent="0.3">
      <c r="A1446" s="22" t="s">
        <v>12</v>
      </c>
      <c r="B1446" s="22" t="s">
        <v>13</v>
      </c>
      <c r="C1446" s="22" t="s">
        <v>14</v>
      </c>
      <c r="D1446" s="22" t="s">
        <v>591</v>
      </c>
      <c r="E1446" s="22" t="s">
        <v>592</v>
      </c>
      <c r="F1446" s="22" t="s">
        <v>110</v>
      </c>
      <c r="G1446" s="23">
        <v>7500</v>
      </c>
      <c r="H1446" s="5">
        <v>45640</v>
      </c>
      <c r="I1446" s="23" t="s">
        <v>593</v>
      </c>
      <c r="J1446" s="23" t="s">
        <v>76</v>
      </c>
      <c r="K1446" s="22">
        <v>352407746</v>
      </c>
      <c r="L1446" s="24" t="s">
        <v>633</v>
      </c>
    </row>
    <row r="1447" spans="1:12" customFormat="1" ht="14.4" x14ac:dyDescent="0.3">
      <c r="A1447" s="1" t="s">
        <v>12</v>
      </c>
      <c r="B1447" s="1" t="s">
        <v>13</v>
      </c>
      <c r="C1447" s="2" t="s">
        <v>14</v>
      </c>
      <c r="D1447" s="1" t="s">
        <v>435</v>
      </c>
      <c r="E1447" s="7">
        <v>31095925572</v>
      </c>
      <c r="F1447" s="22" t="s">
        <v>33</v>
      </c>
      <c r="G1447" s="3">
        <v>500</v>
      </c>
      <c r="H1447" s="5">
        <v>45641</v>
      </c>
      <c r="I1447" s="3" t="s">
        <v>578</v>
      </c>
      <c r="J1447" s="3" t="s">
        <v>126</v>
      </c>
      <c r="K1447" s="24">
        <v>352407770</v>
      </c>
      <c r="L1447" s="6" t="s">
        <v>634</v>
      </c>
    </row>
    <row r="1448" spans="1:12" s="25" customFormat="1" ht="13.8" customHeight="1" x14ac:dyDescent="0.3">
      <c r="A1448" s="22" t="s">
        <v>12</v>
      </c>
      <c r="B1448" s="22" t="s">
        <v>13</v>
      </c>
      <c r="C1448" s="22" t="s">
        <v>14</v>
      </c>
      <c r="D1448" s="1" t="s">
        <v>376</v>
      </c>
      <c r="E1448" s="7" t="s">
        <v>385</v>
      </c>
      <c r="F1448" s="1" t="s">
        <v>33</v>
      </c>
      <c r="G1448" s="23">
        <v>500</v>
      </c>
      <c r="H1448" s="5">
        <v>45641</v>
      </c>
      <c r="I1448" s="23" t="s">
        <v>635</v>
      </c>
      <c r="J1448" s="23" t="s">
        <v>176</v>
      </c>
      <c r="K1448" s="24">
        <v>352407771</v>
      </c>
      <c r="L1448" s="6" t="s">
        <v>634</v>
      </c>
    </row>
    <row r="1449" spans="1:12" s="25" customFormat="1" ht="14.4" x14ac:dyDescent="0.3">
      <c r="A1449" s="22" t="s">
        <v>12</v>
      </c>
      <c r="B1449" s="22" t="s">
        <v>13</v>
      </c>
      <c r="C1449" s="22" t="s">
        <v>14</v>
      </c>
      <c r="D1449" s="22" t="s">
        <v>587</v>
      </c>
      <c r="E1449" s="22" t="s">
        <v>588</v>
      </c>
      <c r="F1449" s="22" t="s">
        <v>589</v>
      </c>
      <c r="G1449" s="23">
        <v>500</v>
      </c>
      <c r="H1449" s="5">
        <v>45641</v>
      </c>
      <c r="I1449" s="23" t="s">
        <v>590</v>
      </c>
      <c r="J1449" s="23" t="s">
        <v>123</v>
      </c>
      <c r="K1449" s="22">
        <v>352407772</v>
      </c>
      <c r="L1449" s="24" t="s">
        <v>636</v>
      </c>
    </row>
    <row r="1450" spans="1:12" customFormat="1" ht="14.4" x14ac:dyDescent="0.3">
      <c r="A1450" s="1" t="s">
        <v>12</v>
      </c>
      <c r="B1450" s="1" t="s">
        <v>13</v>
      </c>
      <c r="C1450" s="2" t="s">
        <v>14</v>
      </c>
      <c r="D1450" s="1" t="s">
        <v>343</v>
      </c>
      <c r="E1450" s="1" t="s">
        <v>344</v>
      </c>
      <c r="F1450" s="1" t="s">
        <v>345</v>
      </c>
      <c r="G1450" s="3">
        <v>500</v>
      </c>
      <c r="H1450" s="5">
        <v>45641</v>
      </c>
      <c r="I1450" s="3" t="s">
        <v>568</v>
      </c>
      <c r="J1450" s="3" t="s">
        <v>187</v>
      </c>
      <c r="K1450" s="22">
        <v>352407773</v>
      </c>
      <c r="L1450" s="6" t="s">
        <v>637</v>
      </c>
    </row>
    <row r="1451" spans="1:12" customFormat="1" ht="14.4" x14ac:dyDescent="0.3">
      <c r="A1451" s="1" t="s">
        <v>12</v>
      </c>
      <c r="B1451" s="1" t="s">
        <v>13</v>
      </c>
      <c r="C1451" s="2" t="s">
        <v>14</v>
      </c>
      <c r="D1451" s="1" t="s">
        <v>41</v>
      </c>
      <c r="E1451" s="1" t="s">
        <v>61</v>
      </c>
      <c r="F1451" s="1" t="s">
        <v>62</v>
      </c>
      <c r="G1451" s="3">
        <v>4000</v>
      </c>
      <c r="H1451" s="5">
        <v>45641</v>
      </c>
      <c r="I1451" s="3" t="s">
        <v>579</v>
      </c>
      <c r="J1451" s="3" t="s">
        <v>205</v>
      </c>
      <c r="K1451" s="24">
        <v>352407774</v>
      </c>
      <c r="L1451" s="6" t="s">
        <v>638</v>
      </c>
    </row>
    <row r="1452" spans="1:12" customFormat="1" ht="14.4" x14ac:dyDescent="0.3">
      <c r="A1452" s="1" t="s">
        <v>12</v>
      </c>
      <c r="B1452" s="1" t="s">
        <v>13</v>
      </c>
      <c r="C1452" s="2" t="s">
        <v>14</v>
      </c>
      <c r="D1452" s="1" t="s">
        <v>41</v>
      </c>
      <c r="E1452" s="1" t="s">
        <v>61</v>
      </c>
      <c r="F1452" s="1" t="s">
        <v>62</v>
      </c>
      <c r="G1452" s="3">
        <v>2000</v>
      </c>
      <c r="H1452" s="5">
        <v>45642</v>
      </c>
      <c r="I1452" s="3" t="s">
        <v>579</v>
      </c>
      <c r="J1452" s="3" t="s">
        <v>205</v>
      </c>
      <c r="K1452" s="24">
        <v>352407778</v>
      </c>
      <c r="L1452" s="6" t="s">
        <v>639</v>
      </c>
    </row>
    <row r="1453" spans="1:12" customFormat="1" ht="14.4" x14ac:dyDescent="0.3">
      <c r="A1453" s="1" t="s">
        <v>12</v>
      </c>
      <c r="B1453" s="1" t="s">
        <v>13</v>
      </c>
      <c r="C1453" s="2" t="s">
        <v>14</v>
      </c>
      <c r="D1453" s="1" t="s">
        <v>343</v>
      </c>
      <c r="E1453" s="1" t="s">
        <v>344</v>
      </c>
      <c r="F1453" s="1" t="s">
        <v>345</v>
      </c>
      <c r="G1453" s="3">
        <v>500</v>
      </c>
      <c r="H1453" s="5">
        <v>45642</v>
      </c>
      <c r="I1453" s="3" t="s">
        <v>568</v>
      </c>
      <c r="J1453" s="3" t="s">
        <v>187</v>
      </c>
      <c r="K1453" s="22">
        <v>352407786</v>
      </c>
      <c r="L1453" s="6" t="s">
        <v>640</v>
      </c>
    </row>
    <row r="1454" spans="1:12" customFormat="1" ht="14.4" x14ac:dyDescent="0.3">
      <c r="A1454" s="1" t="s">
        <v>12</v>
      </c>
      <c r="B1454" s="1" t="s">
        <v>13</v>
      </c>
      <c r="C1454" s="2" t="s">
        <v>14</v>
      </c>
      <c r="D1454" s="1" t="s">
        <v>343</v>
      </c>
      <c r="E1454" s="1" t="s">
        <v>344</v>
      </c>
      <c r="F1454" s="1" t="s">
        <v>345</v>
      </c>
      <c r="G1454" s="3">
        <v>500</v>
      </c>
      <c r="H1454" s="5">
        <v>45643</v>
      </c>
      <c r="I1454" s="3" t="s">
        <v>568</v>
      </c>
      <c r="J1454" s="3" t="s">
        <v>187</v>
      </c>
      <c r="K1454" s="22">
        <v>352407819</v>
      </c>
      <c r="L1454" s="6" t="s">
        <v>641</v>
      </c>
    </row>
    <row r="1455" spans="1:12" s="25" customFormat="1" ht="14.4" x14ac:dyDescent="0.3">
      <c r="A1455" s="22" t="s">
        <v>12</v>
      </c>
      <c r="B1455" s="22" t="s">
        <v>13</v>
      </c>
      <c r="C1455" s="22" t="s">
        <v>14</v>
      </c>
      <c r="D1455" s="22" t="s">
        <v>215</v>
      </c>
      <c r="E1455" s="22" t="s">
        <v>216</v>
      </c>
      <c r="F1455" s="22" t="s">
        <v>33</v>
      </c>
      <c r="G1455" s="23">
        <v>500</v>
      </c>
      <c r="H1455" s="5">
        <v>45643</v>
      </c>
      <c r="I1455" s="23" t="s">
        <v>566</v>
      </c>
      <c r="J1455" s="23" t="s">
        <v>156</v>
      </c>
      <c r="K1455" s="22">
        <v>352407820</v>
      </c>
      <c r="L1455" s="6" t="s">
        <v>641</v>
      </c>
    </row>
    <row r="1456" spans="1:12" customFormat="1" ht="14.4" x14ac:dyDescent="0.3">
      <c r="A1456" s="1" t="s">
        <v>12</v>
      </c>
      <c r="B1456" s="1" t="s">
        <v>13</v>
      </c>
      <c r="C1456" s="2" t="s">
        <v>14</v>
      </c>
      <c r="D1456" s="1" t="s">
        <v>343</v>
      </c>
      <c r="E1456" s="1" t="s">
        <v>344</v>
      </c>
      <c r="F1456" s="1" t="s">
        <v>345</v>
      </c>
      <c r="G1456" s="3">
        <v>500</v>
      </c>
      <c r="H1456" s="5">
        <v>45644</v>
      </c>
      <c r="I1456" s="3" t="s">
        <v>568</v>
      </c>
      <c r="J1456" s="3" t="s">
        <v>187</v>
      </c>
      <c r="K1456" s="22">
        <v>352407837</v>
      </c>
      <c r="L1456" s="6" t="s">
        <v>642</v>
      </c>
    </row>
    <row r="1457" spans="1:12" customFormat="1" ht="14.4" x14ac:dyDescent="0.3">
      <c r="A1457" s="1" t="s">
        <v>12</v>
      </c>
      <c r="B1457" s="1" t="s">
        <v>13</v>
      </c>
      <c r="C1457" s="2" t="s">
        <v>14</v>
      </c>
      <c r="D1457" s="1" t="s">
        <v>343</v>
      </c>
      <c r="E1457" s="1" t="s">
        <v>344</v>
      </c>
      <c r="F1457" s="1" t="s">
        <v>345</v>
      </c>
      <c r="G1457" s="3">
        <v>500</v>
      </c>
      <c r="H1457" s="5">
        <v>45644</v>
      </c>
      <c r="I1457" s="3" t="s">
        <v>568</v>
      </c>
      <c r="J1457" s="3" t="s">
        <v>187</v>
      </c>
      <c r="K1457" s="22">
        <v>352407854</v>
      </c>
      <c r="L1457" s="6" t="s">
        <v>643</v>
      </c>
    </row>
    <row r="1458" spans="1:12" s="25" customFormat="1" ht="14.4" x14ac:dyDescent="0.3">
      <c r="A1458" s="22" t="s">
        <v>12</v>
      </c>
      <c r="B1458" s="22" t="s">
        <v>13</v>
      </c>
      <c r="C1458" s="22" t="s">
        <v>14</v>
      </c>
      <c r="D1458" s="22" t="s">
        <v>215</v>
      </c>
      <c r="E1458" s="22" t="s">
        <v>216</v>
      </c>
      <c r="F1458" s="22" t="s">
        <v>33</v>
      </c>
      <c r="G1458" s="23">
        <v>500</v>
      </c>
      <c r="H1458" s="5">
        <v>45644</v>
      </c>
      <c r="I1458" s="23" t="s">
        <v>566</v>
      </c>
      <c r="J1458" s="23" t="s">
        <v>156</v>
      </c>
      <c r="K1458" s="22">
        <v>352407855</v>
      </c>
      <c r="L1458" s="6" t="s">
        <v>643</v>
      </c>
    </row>
    <row r="1459" spans="1:12" s="25" customFormat="1" ht="14.4" x14ac:dyDescent="0.3">
      <c r="A1459" s="22" t="s">
        <v>12</v>
      </c>
      <c r="B1459" s="22" t="s">
        <v>13</v>
      </c>
      <c r="C1459" s="22" t="s">
        <v>14</v>
      </c>
      <c r="D1459" s="22" t="s">
        <v>591</v>
      </c>
      <c r="E1459" s="22" t="s">
        <v>592</v>
      </c>
      <c r="F1459" s="22" t="s">
        <v>110</v>
      </c>
      <c r="G1459" s="23">
        <v>6200</v>
      </c>
      <c r="H1459" s="5">
        <v>45644</v>
      </c>
      <c r="I1459" s="23" t="s">
        <v>593</v>
      </c>
      <c r="J1459" s="23" t="s">
        <v>76</v>
      </c>
      <c r="K1459" s="22">
        <v>352407869</v>
      </c>
      <c r="L1459" s="24" t="s">
        <v>644</v>
      </c>
    </row>
    <row r="1460" spans="1:12" customFormat="1" ht="14.4" x14ac:dyDescent="0.3">
      <c r="A1460" s="1" t="s">
        <v>12</v>
      </c>
      <c r="B1460" s="1" t="s">
        <v>13</v>
      </c>
      <c r="C1460" s="2" t="s">
        <v>14</v>
      </c>
      <c r="D1460" s="1" t="s">
        <v>343</v>
      </c>
      <c r="E1460" s="1" t="s">
        <v>344</v>
      </c>
      <c r="F1460" s="1" t="s">
        <v>345</v>
      </c>
      <c r="G1460" s="3">
        <v>500</v>
      </c>
      <c r="H1460" s="5">
        <v>45645</v>
      </c>
      <c r="I1460" s="3" t="s">
        <v>568</v>
      </c>
      <c r="J1460" s="3" t="s">
        <v>187</v>
      </c>
      <c r="K1460" s="22">
        <v>352407886</v>
      </c>
      <c r="L1460" s="6" t="s">
        <v>645</v>
      </c>
    </row>
    <row r="1461" spans="1:12" customFormat="1" ht="14.4" x14ac:dyDescent="0.3">
      <c r="A1461" s="1" t="s">
        <v>12</v>
      </c>
      <c r="B1461" s="1" t="s">
        <v>13</v>
      </c>
      <c r="C1461" s="2" t="s">
        <v>14</v>
      </c>
      <c r="D1461" s="1" t="s">
        <v>41</v>
      </c>
      <c r="E1461" s="1" t="s">
        <v>61</v>
      </c>
      <c r="F1461" s="1" t="s">
        <v>62</v>
      </c>
      <c r="G1461" s="3">
        <v>4000</v>
      </c>
      <c r="H1461" s="5">
        <v>45645</v>
      </c>
      <c r="I1461" s="3" t="s">
        <v>579</v>
      </c>
      <c r="J1461" s="3" t="s">
        <v>205</v>
      </c>
      <c r="K1461" s="24">
        <v>352407899</v>
      </c>
      <c r="L1461" s="6" t="s">
        <v>646</v>
      </c>
    </row>
    <row r="1462" spans="1:12" s="25" customFormat="1" ht="14.4" x14ac:dyDescent="0.3">
      <c r="A1462" s="22" t="s">
        <v>12</v>
      </c>
      <c r="B1462" s="22" t="s">
        <v>13</v>
      </c>
      <c r="C1462" s="22" t="s">
        <v>14</v>
      </c>
      <c r="D1462" s="22" t="s">
        <v>215</v>
      </c>
      <c r="E1462" s="22" t="s">
        <v>216</v>
      </c>
      <c r="F1462" s="22" t="s">
        <v>33</v>
      </c>
      <c r="G1462" s="23">
        <v>500</v>
      </c>
      <c r="H1462" s="5">
        <v>45646</v>
      </c>
      <c r="I1462" s="23" t="s">
        <v>566</v>
      </c>
      <c r="J1462" s="23" t="s">
        <v>156</v>
      </c>
      <c r="K1462" s="22">
        <v>352407916</v>
      </c>
      <c r="L1462" s="6" t="s">
        <v>647</v>
      </c>
    </row>
    <row r="1463" spans="1:12" customFormat="1" ht="14.4" x14ac:dyDescent="0.3">
      <c r="A1463" s="1" t="s">
        <v>12</v>
      </c>
      <c r="B1463" s="1" t="s">
        <v>13</v>
      </c>
      <c r="C1463" s="2" t="s">
        <v>14</v>
      </c>
      <c r="D1463" s="1" t="s">
        <v>343</v>
      </c>
      <c r="E1463" s="1" t="s">
        <v>344</v>
      </c>
      <c r="F1463" s="1" t="s">
        <v>345</v>
      </c>
      <c r="G1463" s="3">
        <v>500</v>
      </c>
      <c r="H1463" s="5">
        <v>45646</v>
      </c>
      <c r="I1463" s="3" t="s">
        <v>568</v>
      </c>
      <c r="J1463" s="3" t="s">
        <v>187</v>
      </c>
      <c r="K1463" s="22">
        <v>352407917</v>
      </c>
      <c r="L1463" s="6" t="s">
        <v>647</v>
      </c>
    </row>
    <row r="1464" spans="1:12" customFormat="1" ht="14.4" x14ac:dyDescent="0.3">
      <c r="A1464" s="1" t="s">
        <v>12</v>
      </c>
      <c r="B1464" s="1" t="s">
        <v>13</v>
      </c>
      <c r="C1464" s="2" t="s">
        <v>14</v>
      </c>
      <c r="D1464" s="1" t="s">
        <v>343</v>
      </c>
      <c r="E1464" s="1" t="s">
        <v>344</v>
      </c>
      <c r="F1464" s="1" t="s">
        <v>345</v>
      </c>
      <c r="G1464" s="3">
        <v>500</v>
      </c>
      <c r="H1464" s="5">
        <v>45646</v>
      </c>
      <c r="I1464" s="3" t="s">
        <v>568</v>
      </c>
      <c r="J1464" s="3" t="s">
        <v>187</v>
      </c>
      <c r="K1464" s="22">
        <v>352407936</v>
      </c>
      <c r="L1464" s="6" t="s">
        <v>648</v>
      </c>
    </row>
    <row r="1465" spans="1:12" customFormat="1" ht="14.4" x14ac:dyDescent="0.3">
      <c r="A1465" s="1" t="s">
        <v>12</v>
      </c>
      <c r="B1465" s="1" t="s">
        <v>13</v>
      </c>
      <c r="C1465" s="2" t="s">
        <v>14</v>
      </c>
      <c r="D1465" s="1" t="s">
        <v>15</v>
      </c>
      <c r="E1465" s="1" t="s">
        <v>16</v>
      </c>
      <c r="F1465" s="1" t="s">
        <v>17</v>
      </c>
      <c r="G1465" s="3">
        <v>2000</v>
      </c>
      <c r="H1465" s="5">
        <v>45646</v>
      </c>
      <c r="I1465" s="3" t="s">
        <v>569</v>
      </c>
      <c r="J1465" s="3" t="s">
        <v>40</v>
      </c>
      <c r="K1465" s="24">
        <v>352407941</v>
      </c>
      <c r="L1465" s="6" t="s">
        <v>649</v>
      </c>
    </row>
    <row r="1466" spans="1:12" s="25" customFormat="1" ht="14.4" x14ac:dyDescent="0.3">
      <c r="A1466" s="22" t="s">
        <v>12</v>
      </c>
      <c r="B1466" s="22" t="s">
        <v>13</v>
      </c>
      <c r="C1466" s="22" t="s">
        <v>14</v>
      </c>
      <c r="D1466" s="22" t="s">
        <v>215</v>
      </c>
      <c r="E1466" s="22" t="s">
        <v>216</v>
      </c>
      <c r="F1466" s="22" t="s">
        <v>33</v>
      </c>
      <c r="G1466" s="23">
        <v>500</v>
      </c>
      <c r="H1466" s="5">
        <v>45647</v>
      </c>
      <c r="I1466" s="23" t="s">
        <v>566</v>
      </c>
      <c r="J1466" s="23" t="s">
        <v>156</v>
      </c>
      <c r="K1466" s="22">
        <v>352407973</v>
      </c>
      <c r="L1466" s="6" t="s">
        <v>651</v>
      </c>
    </row>
    <row r="1467" spans="1:12" customFormat="1" ht="14.4" x14ac:dyDescent="0.3">
      <c r="A1467" s="1" t="s">
        <v>12</v>
      </c>
      <c r="B1467" s="1" t="s">
        <v>13</v>
      </c>
      <c r="C1467" s="2" t="s">
        <v>14</v>
      </c>
      <c r="D1467" s="1" t="s">
        <v>343</v>
      </c>
      <c r="E1467" s="1" t="s">
        <v>344</v>
      </c>
      <c r="F1467" s="1" t="s">
        <v>345</v>
      </c>
      <c r="G1467" s="3">
        <v>500</v>
      </c>
      <c r="H1467" s="5">
        <v>45647</v>
      </c>
      <c r="I1467" s="3" t="s">
        <v>568</v>
      </c>
      <c r="J1467" s="3" t="s">
        <v>187</v>
      </c>
      <c r="K1467" s="22">
        <v>352407974</v>
      </c>
      <c r="L1467" s="6" t="s">
        <v>650</v>
      </c>
    </row>
    <row r="1468" spans="1:12" x14ac:dyDescent="0.25">
      <c r="A1468" s="30" t="s">
        <v>12</v>
      </c>
      <c r="B1468" s="30" t="s">
        <v>13</v>
      </c>
      <c r="C1468" s="30" t="s">
        <v>14</v>
      </c>
      <c r="D1468" s="30" t="s">
        <v>144</v>
      </c>
      <c r="E1468" s="39">
        <v>42542201947</v>
      </c>
      <c r="F1468" s="30" t="s">
        <v>145</v>
      </c>
      <c r="G1468" s="32">
        <v>7500</v>
      </c>
      <c r="H1468" s="33">
        <v>45647</v>
      </c>
      <c r="I1468" s="32" t="s">
        <v>652</v>
      </c>
      <c r="J1468" s="32" t="s">
        <v>147</v>
      </c>
      <c r="K1468" s="34">
        <v>352407946</v>
      </c>
      <c r="L1468" s="35" t="s">
        <v>653</v>
      </c>
    </row>
    <row r="1469" spans="1:12" s="25" customFormat="1" ht="14.4" x14ac:dyDescent="0.3">
      <c r="A1469" s="22" t="s">
        <v>12</v>
      </c>
      <c r="B1469" s="22" t="s">
        <v>13</v>
      </c>
      <c r="C1469" s="22" t="s">
        <v>14</v>
      </c>
      <c r="D1469" s="22" t="s">
        <v>591</v>
      </c>
      <c r="E1469" s="22" t="s">
        <v>592</v>
      </c>
      <c r="F1469" s="22" t="s">
        <v>110</v>
      </c>
      <c r="G1469" s="3">
        <v>7500</v>
      </c>
      <c r="H1469" s="5">
        <v>45647</v>
      </c>
      <c r="I1469" s="23" t="s">
        <v>593</v>
      </c>
      <c r="J1469" s="23" t="s">
        <v>76</v>
      </c>
      <c r="K1469" s="22">
        <v>352407947</v>
      </c>
      <c r="L1469" s="6" t="s">
        <v>653</v>
      </c>
    </row>
    <row r="1470" spans="1:12" customFormat="1" ht="14.4" x14ac:dyDescent="0.3">
      <c r="A1470" s="1" t="s">
        <v>12</v>
      </c>
      <c r="B1470" s="1" t="s">
        <v>13</v>
      </c>
      <c r="C1470" s="2" t="s">
        <v>14</v>
      </c>
      <c r="D1470" s="3" t="s">
        <v>149</v>
      </c>
      <c r="E1470" s="18">
        <v>50100624324501</v>
      </c>
      <c r="F1470" s="3" t="s">
        <v>150</v>
      </c>
      <c r="G1470" s="3">
        <v>7500</v>
      </c>
      <c r="H1470" s="5">
        <v>45647</v>
      </c>
      <c r="I1470" s="3" t="s">
        <v>567</v>
      </c>
      <c r="J1470" s="3" t="s">
        <v>29</v>
      </c>
      <c r="K1470" s="22">
        <v>352407948</v>
      </c>
      <c r="L1470" s="6" t="s">
        <v>653</v>
      </c>
    </row>
    <row r="1471" spans="1:12" customFormat="1" ht="14.4" x14ac:dyDescent="0.3">
      <c r="A1471" s="1" t="s">
        <v>12</v>
      </c>
      <c r="B1471" s="1" t="s">
        <v>13</v>
      </c>
      <c r="C1471" s="2" t="s">
        <v>14</v>
      </c>
      <c r="D1471" s="1" t="s">
        <v>152</v>
      </c>
      <c r="E1471" s="1" t="s">
        <v>153</v>
      </c>
      <c r="F1471" s="1" t="s">
        <v>154</v>
      </c>
      <c r="G1471" s="3">
        <v>7500</v>
      </c>
      <c r="H1471" s="5">
        <v>45647</v>
      </c>
      <c r="I1471" s="3" t="s">
        <v>573</v>
      </c>
      <c r="J1471" s="3" t="s">
        <v>84</v>
      </c>
      <c r="K1471" s="24">
        <v>352407979</v>
      </c>
      <c r="L1471" s="6" t="s">
        <v>654</v>
      </c>
    </row>
    <row r="1472" spans="1:12" customFormat="1" ht="14.4" x14ac:dyDescent="0.3">
      <c r="A1472" s="1" t="s">
        <v>12</v>
      </c>
      <c r="B1472" s="1" t="s">
        <v>13</v>
      </c>
      <c r="C1472" s="2" t="s">
        <v>14</v>
      </c>
      <c r="D1472" s="1" t="s">
        <v>343</v>
      </c>
      <c r="E1472" s="1" t="s">
        <v>344</v>
      </c>
      <c r="F1472" s="1" t="s">
        <v>345</v>
      </c>
      <c r="G1472" s="3">
        <v>500</v>
      </c>
      <c r="H1472" s="5">
        <v>45648</v>
      </c>
      <c r="I1472" s="3" t="s">
        <v>568</v>
      </c>
      <c r="J1472" s="3" t="s">
        <v>187</v>
      </c>
      <c r="K1472" s="22">
        <v>352407995</v>
      </c>
      <c r="L1472" s="6" t="s">
        <v>655</v>
      </c>
    </row>
    <row r="1473" spans="1:12" s="25" customFormat="1" ht="14.4" x14ac:dyDescent="0.3">
      <c r="A1473" s="22" t="s">
        <v>12</v>
      </c>
      <c r="B1473" s="22" t="s">
        <v>13</v>
      </c>
      <c r="C1473" s="22" t="s">
        <v>14</v>
      </c>
      <c r="D1473" s="22" t="s">
        <v>215</v>
      </c>
      <c r="E1473" s="22" t="s">
        <v>216</v>
      </c>
      <c r="F1473" s="22" t="s">
        <v>33</v>
      </c>
      <c r="G1473" s="23">
        <v>500</v>
      </c>
      <c r="H1473" s="5">
        <v>45648</v>
      </c>
      <c r="I1473" s="23" t="s">
        <v>566</v>
      </c>
      <c r="J1473" s="23" t="s">
        <v>156</v>
      </c>
      <c r="K1473" s="22">
        <v>352407996</v>
      </c>
      <c r="L1473" s="6" t="s">
        <v>655</v>
      </c>
    </row>
    <row r="1474" spans="1:12" customFormat="1" ht="14.4" x14ac:dyDescent="0.3">
      <c r="A1474" s="1" t="s">
        <v>12</v>
      </c>
      <c r="B1474" s="1" t="s">
        <v>13</v>
      </c>
      <c r="C1474" s="2" t="s">
        <v>14</v>
      </c>
      <c r="D1474" s="1" t="s">
        <v>41</v>
      </c>
      <c r="E1474" s="1" t="s">
        <v>61</v>
      </c>
      <c r="F1474" s="1" t="s">
        <v>62</v>
      </c>
      <c r="G1474" s="3">
        <v>4000</v>
      </c>
      <c r="H1474" s="5">
        <v>45649</v>
      </c>
      <c r="I1474" s="3" t="s">
        <v>579</v>
      </c>
      <c r="J1474" s="3" t="s">
        <v>205</v>
      </c>
      <c r="K1474" s="24">
        <v>352408011</v>
      </c>
      <c r="L1474" s="6" t="s">
        <v>656</v>
      </c>
    </row>
    <row r="1475" spans="1:12" customFormat="1" ht="14.4" x14ac:dyDescent="0.3">
      <c r="A1475" s="1" t="s">
        <v>12</v>
      </c>
      <c r="B1475" s="1" t="s">
        <v>13</v>
      </c>
      <c r="C1475" s="2" t="s">
        <v>14</v>
      </c>
      <c r="D1475" s="1" t="s">
        <v>343</v>
      </c>
      <c r="E1475" s="1" t="s">
        <v>344</v>
      </c>
      <c r="F1475" s="1" t="s">
        <v>345</v>
      </c>
      <c r="G1475" s="3">
        <v>500</v>
      </c>
      <c r="H1475" s="5">
        <v>45650</v>
      </c>
      <c r="I1475" s="3" t="s">
        <v>568</v>
      </c>
      <c r="J1475" s="3" t="s">
        <v>187</v>
      </c>
      <c r="K1475" s="22">
        <v>352408052</v>
      </c>
      <c r="L1475" s="6" t="s">
        <v>657</v>
      </c>
    </row>
    <row r="1476" spans="1:12" s="25" customFormat="1" ht="14.4" x14ac:dyDescent="0.3">
      <c r="A1476" s="22" t="s">
        <v>12</v>
      </c>
      <c r="B1476" s="22" t="s">
        <v>13</v>
      </c>
      <c r="C1476" s="22" t="s">
        <v>14</v>
      </c>
      <c r="D1476" s="22" t="s">
        <v>215</v>
      </c>
      <c r="E1476" s="22" t="s">
        <v>216</v>
      </c>
      <c r="F1476" s="22" t="s">
        <v>33</v>
      </c>
      <c r="G1476" s="23">
        <v>500</v>
      </c>
      <c r="H1476" s="5">
        <v>45650</v>
      </c>
      <c r="I1476" s="23" t="s">
        <v>566</v>
      </c>
      <c r="J1476" s="23" t="s">
        <v>156</v>
      </c>
      <c r="K1476" s="22">
        <v>352408053</v>
      </c>
      <c r="L1476" s="6" t="s">
        <v>657</v>
      </c>
    </row>
    <row r="1477" spans="1:12" customFormat="1" ht="14.4" x14ac:dyDescent="0.3">
      <c r="A1477" s="1" t="s">
        <v>12</v>
      </c>
      <c r="B1477" s="1" t="s">
        <v>13</v>
      </c>
      <c r="C1477" s="2" t="s">
        <v>14</v>
      </c>
      <c r="D1477" s="1" t="s">
        <v>343</v>
      </c>
      <c r="E1477" s="1" t="s">
        <v>344</v>
      </c>
      <c r="F1477" s="1" t="s">
        <v>345</v>
      </c>
      <c r="G1477" s="3">
        <v>500</v>
      </c>
      <c r="H1477" s="5">
        <v>45650</v>
      </c>
      <c r="I1477" s="3" t="s">
        <v>568</v>
      </c>
      <c r="J1477" s="3" t="s">
        <v>187</v>
      </c>
      <c r="K1477" s="22">
        <v>352408059</v>
      </c>
      <c r="L1477" s="6" t="s">
        <v>658</v>
      </c>
    </row>
    <row r="1478" spans="1:12" customFormat="1" ht="14.4" x14ac:dyDescent="0.3">
      <c r="A1478" s="1" t="s">
        <v>12</v>
      </c>
      <c r="B1478" s="1" t="s">
        <v>13</v>
      </c>
      <c r="C1478" s="2" t="s">
        <v>14</v>
      </c>
      <c r="D1478" s="1" t="s">
        <v>343</v>
      </c>
      <c r="E1478" s="1" t="s">
        <v>344</v>
      </c>
      <c r="F1478" s="1" t="s">
        <v>345</v>
      </c>
      <c r="G1478" s="3">
        <v>500</v>
      </c>
      <c r="H1478" s="5">
        <v>45650</v>
      </c>
      <c r="I1478" s="3" t="s">
        <v>568</v>
      </c>
      <c r="J1478" s="3" t="s">
        <v>187</v>
      </c>
      <c r="K1478" s="22">
        <v>352408060</v>
      </c>
      <c r="L1478" s="6" t="s">
        <v>659</v>
      </c>
    </row>
    <row r="1479" spans="1:12" customFormat="1" ht="14.4" x14ac:dyDescent="0.3">
      <c r="A1479" s="1" t="s">
        <v>12</v>
      </c>
      <c r="B1479" s="1" t="s">
        <v>13</v>
      </c>
      <c r="C1479" s="2" t="s">
        <v>14</v>
      </c>
      <c r="D1479" s="1" t="s">
        <v>15</v>
      </c>
      <c r="E1479" s="1" t="s">
        <v>16</v>
      </c>
      <c r="F1479" s="1" t="s">
        <v>17</v>
      </c>
      <c r="G1479" s="3">
        <v>6000</v>
      </c>
      <c r="H1479" s="5">
        <v>45650</v>
      </c>
      <c r="I1479" s="3" t="s">
        <v>569</v>
      </c>
      <c r="J1479" s="3" t="s">
        <v>40</v>
      </c>
      <c r="K1479" s="24">
        <v>352407941</v>
      </c>
      <c r="L1479" s="24" t="s">
        <v>660</v>
      </c>
    </row>
    <row r="1480" spans="1:12" customFormat="1" ht="14.4" x14ac:dyDescent="0.3">
      <c r="A1480" s="1" t="s">
        <v>12</v>
      </c>
      <c r="B1480" s="1" t="s">
        <v>13</v>
      </c>
      <c r="C1480" s="2" t="s">
        <v>14</v>
      </c>
      <c r="D1480" s="1" t="s">
        <v>73</v>
      </c>
      <c r="E1480" s="1" t="s">
        <v>89</v>
      </c>
      <c r="F1480" s="1" t="s">
        <v>74</v>
      </c>
      <c r="G1480" s="3">
        <v>6000</v>
      </c>
      <c r="H1480" s="5">
        <v>45650</v>
      </c>
      <c r="I1480" s="3" t="s">
        <v>661</v>
      </c>
      <c r="J1480" s="3" t="s">
        <v>98</v>
      </c>
      <c r="K1480" s="1">
        <v>352408027</v>
      </c>
      <c r="L1480" s="24" t="s">
        <v>660</v>
      </c>
    </row>
    <row r="1481" spans="1:12" customFormat="1" ht="14.4" x14ac:dyDescent="0.3">
      <c r="A1481" s="1" t="s">
        <v>12</v>
      </c>
      <c r="B1481" s="1" t="s">
        <v>13</v>
      </c>
      <c r="C1481" s="2" t="s">
        <v>14</v>
      </c>
      <c r="D1481" s="1" t="s">
        <v>343</v>
      </c>
      <c r="E1481" s="1" t="s">
        <v>344</v>
      </c>
      <c r="F1481" s="1" t="s">
        <v>345</v>
      </c>
      <c r="G1481" s="3">
        <v>500</v>
      </c>
      <c r="H1481" s="5">
        <v>45651</v>
      </c>
      <c r="I1481" s="3" t="s">
        <v>568</v>
      </c>
      <c r="J1481" s="3" t="s">
        <v>187</v>
      </c>
      <c r="K1481" s="22">
        <v>352408077</v>
      </c>
      <c r="L1481" s="6" t="s">
        <v>662</v>
      </c>
    </row>
    <row r="1482" spans="1:12" s="25" customFormat="1" ht="14.4" x14ac:dyDescent="0.3">
      <c r="A1482" s="22" t="s">
        <v>12</v>
      </c>
      <c r="B1482" s="22" t="s">
        <v>13</v>
      </c>
      <c r="C1482" s="22" t="s">
        <v>14</v>
      </c>
      <c r="D1482" s="22" t="s">
        <v>215</v>
      </c>
      <c r="E1482" s="22" t="s">
        <v>216</v>
      </c>
      <c r="F1482" s="22" t="s">
        <v>33</v>
      </c>
      <c r="G1482" s="23">
        <v>500</v>
      </c>
      <c r="H1482" s="5">
        <v>45653</v>
      </c>
      <c r="I1482" s="23" t="s">
        <v>566</v>
      </c>
      <c r="J1482" s="23" t="s">
        <v>156</v>
      </c>
      <c r="K1482" s="22">
        <v>352408143</v>
      </c>
      <c r="L1482" s="6" t="s">
        <v>663</v>
      </c>
    </row>
    <row r="1483" spans="1:12" customFormat="1" ht="14.4" x14ac:dyDescent="0.3">
      <c r="A1483" s="1" t="s">
        <v>12</v>
      </c>
      <c r="B1483" s="1" t="s">
        <v>13</v>
      </c>
      <c r="C1483" s="2" t="s">
        <v>14</v>
      </c>
      <c r="D1483" s="1" t="s">
        <v>343</v>
      </c>
      <c r="E1483" s="1" t="s">
        <v>344</v>
      </c>
      <c r="F1483" s="1" t="s">
        <v>345</v>
      </c>
      <c r="G1483" s="3">
        <v>500</v>
      </c>
      <c r="H1483" s="5">
        <v>45653</v>
      </c>
      <c r="I1483" s="3" t="s">
        <v>568</v>
      </c>
      <c r="J1483" s="3" t="s">
        <v>187</v>
      </c>
      <c r="K1483" s="22">
        <v>352408163</v>
      </c>
      <c r="L1483" s="6" t="s">
        <v>664</v>
      </c>
    </row>
    <row r="1484" spans="1:12" s="25" customFormat="1" ht="14.4" x14ac:dyDescent="0.3">
      <c r="A1484" s="22" t="s">
        <v>12</v>
      </c>
      <c r="B1484" s="22" t="s">
        <v>13</v>
      </c>
      <c r="C1484" s="22" t="s">
        <v>14</v>
      </c>
      <c r="D1484" s="22" t="s">
        <v>215</v>
      </c>
      <c r="E1484" s="22" t="s">
        <v>216</v>
      </c>
      <c r="F1484" s="22" t="s">
        <v>33</v>
      </c>
      <c r="G1484" s="23">
        <v>500</v>
      </c>
      <c r="H1484" s="5">
        <v>45654</v>
      </c>
      <c r="I1484" s="23" t="s">
        <v>566</v>
      </c>
      <c r="J1484" s="23" t="s">
        <v>156</v>
      </c>
      <c r="K1484" s="22">
        <v>352408200</v>
      </c>
      <c r="L1484" s="6" t="s">
        <v>664</v>
      </c>
    </row>
    <row r="1485" spans="1:12" customFormat="1" ht="14.4" x14ac:dyDescent="0.3">
      <c r="A1485" s="1" t="s">
        <v>12</v>
      </c>
      <c r="B1485" s="1" t="s">
        <v>13</v>
      </c>
      <c r="C1485" s="2" t="s">
        <v>14</v>
      </c>
      <c r="D1485" s="1" t="s">
        <v>73</v>
      </c>
      <c r="E1485" s="1" t="s">
        <v>89</v>
      </c>
      <c r="F1485" s="1" t="s">
        <v>74</v>
      </c>
      <c r="G1485" s="3">
        <v>3500</v>
      </c>
      <c r="H1485" s="5">
        <v>45654</v>
      </c>
      <c r="I1485" s="3" t="s">
        <v>667</v>
      </c>
      <c r="J1485" s="3" t="s">
        <v>98</v>
      </c>
      <c r="K1485" s="1">
        <v>352408170</v>
      </c>
      <c r="L1485" s="24" t="s">
        <v>665</v>
      </c>
    </row>
    <row r="1486" spans="1:12" customFormat="1" ht="14.4" x14ac:dyDescent="0.3">
      <c r="A1486" s="1" t="s">
        <v>12</v>
      </c>
      <c r="B1486" s="1" t="s">
        <v>13</v>
      </c>
      <c r="C1486" s="2" t="s">
        <v>14</v>
      </c>
      <c r="D1486" s="1" t="s">
        <v>343</v>
      </c>
      <c r="E1486" s="1" t="s">
        <v>344</v>
      </c>
      <c r="F1486" s="1" t="s">
        <v>345</v>
      </c>
      <c r="G1486" s="3">
        <v>500</v>
      </c>
      <c r="H1486" s="5">
        <v>45654</v>
      </c>
      <c r="I1486" s="3" t="s">
        <v>568</v>
      </c>
      <c r="J1486" s="3" t="s">
        <v>187</v>
      </c>
      <c r="K1486" s="22">
        <v>352408207</v>
      </c>
      <c r="L1486" s="6" t="s">
        <v>666</v>
      </c>
    </row>
    <row r="1487" spans="1:12" s="25" customFormat="1" ht="14.4" x14ac:dyDescent="0.3">
      <c r="A1487" s="22" t="s">
        <v>12</v>
      </c>
      <c r="B1487" s="22" t="s">
        <v>13</v>
      </c>
      <c r="C1487" s="22" t="s">
        <v>14</v>
      </c>
      <c r="D1487" s="22" t="s">
        <v>215</v>
      </c>
      <c r="E1487" s="22" t="s">
        <v>216</v>
      </c>
      <c r="F1487" s="22" t="s">
        <v>33</v>
      </c>
      <c r="G1487" s="23">
        <v>500</v>
      </c>
      <c r="H1487" s="5">
        <v>45655</v>
      </c>
      <c r="I1487" s="23" t="s">
        <v>566</v>
      </c>
      <c r="J1487" s="23" t="s">
        <v>156</v>
      </c>
      <c r="K1487" s="22">
        <v>352408225</v>
      </c>
      <c r="L1487" s="6" t="s">
        <v>666</v>
      </c>
    </row>
    <row r="1488" spans="1:12" customFormat="1" ht="14.4" x14ac:dyDescent="0.3">
      <c r="A1488" s="1" t="s">
        <v>12</v>
      </c>
      <c r="B1488" s="1" t="s">
        <v>13</v>
      </c>
      <c r="C1488" s="2" t="s">
        <v>14</v>
      </c>
      <c r="D1488" s="1" t="s">
        <v>41</v>
      </c>
      <c r="E1488" s="1" t="s">
        <v>61</v>
      </c>
      <c r="F1488" s="1" t="s">
        <v>62</v>
      </c>
      <c r="G1488" s="3">
        <v>4000</v>
      </c>
      <c r="H1488" s="5">
        <v>45655</v>
      </c>
      <c r="I1488" s="3" t="s">
        <v>579</v>
      </c>
      <c r="J1488" s="3" t="s">
        <v>205</v>
      </c>
      <c r="K1488" s="24">
        <v>352408226</v>
      </c>
      <c r="L1488" s="6" t="s">
        <v>668</v>
      </c>
    </row>
    <row r="1489" spans="1:12" customFormat="1" ht="14.4" x14ac:dyDescent="0.3">
      <c r="A1489" s="1" t="s">
        <v>12</v>
      </c>
      <c r="B1489" s="1" t="s">
        <v>13</v>
      </c>
      <c r="C1489" s="2" t="s">
        <v>14</v>
      </c>
      <c r="D1489" s="1" t="s">
        <v>343</v>
      </c>
      <c r="E1489" s="1" t="s">
        <v>344</v>
      </c>
      <c r="F1489" s="1" t="s">
        <v>345</v>
      </c>
      <c r="G1489" s="3">
        <v>500</v>
      </c>
      <c r="H1489" s="5">
        <v>45655</v>
      </c>
      <c r="I1489" s="3" t="s">
        <v>568</v>
      </c>
      <c r="J1489" s="3" t="s">
        <v>187</v>
      </c>
      <c r="K1489" s="22">
        <v>352408228</v>
      </c>
      <c r="L1489" s="6" t="s">
        <v>669</v>
      </c>
    </row>
    <row r="1490" spans="1:12" customFormat="1" ht="14.4" x14ac:dyDescent="0.3">
      <c r="A1490" s="1" t="s">
        <v>12</v>
      </c>
      <c r="B1490" s="1" t="s">
        <v>13</v>
      </c>
      <c r="C1490" s="2" t="s">
        <v>14</v>
      </c>
      <c r="D1490" s="1" t="s">
        <v>41</v>
      </c>
      <c r="E1490" s="1" t="s">
        <v>61</v>
      </c>
      <c r="F1490" s="1" t="s">
        <v>62</v>
      </c>
      <c r="G1490" s="3">
        <v>2000</v>
      </c>
      <c r="H1490" s="5">
        <v>45655</v>
      </c>
      <c r="I1490" s="3" t="s">
        <v>579</v>
      </c>
      <c r="J1490" s="3" t="s">
        <v>205</v>
      </c>
      <c r="K1490" s="24">
        <v>352408229</v>
      </c>
      <c r="L1490" s="6" t="s">
        <v>670</v>
      </c>
    </row>
    <row r="1491" spans="1:12" customFormat="1" ht="14.4" x14ac:dyDescent="0.3">
      <c r="A1491" s="1" t="s">
        <v>12</v>
      </c>
      <c r="B1491" s="1" t="s">
        <v>13</v>
      </c>
      <c r="C1491" s="2" t="s">
        <v>14</v>
      </c>
      <c r="D1491" s="1" t="s">
        <v>435</v>
      </c>
      <c r="E1491" s="7">
        <v>31095925572</v>
      </c>
      <c r="F1491" s="22" t="s">
        <v>33</v>
      </c>
      <c r="G1491" s="3">
        <v>500</v>
      </c>
      <c r="H1491" s="5">
        <v>45655</v>
      </c>
      <c r="I1491" s="3" t="s">
        <v>578</v>
      </c>
      <c r="J1491" s="3" t="s">
        <v>126</v>
      </c>
      <c r="K1491" s="24">
        <v>352408231</v>
      </c>
      <c r="L1491" s="6" t="s">
        <v>671</v>
      </c>
    </row>
    <row r="1492" spans="1:12" s="25" customFormat="1" ht="13.8" customHeight="1" x14ac:dyDescent="0.3">
      <c r="A1492" s="22" t="s">
        <v>12</v>
      </c>
      <c r="B1492" s="22" t="s">
        <v>13</v>
      </c>
      <c r="C1492" s="22" t="s">
        <v>14</v>
      </c>
      <c r="D1492" s="1" t="s">
        <v>376</v>
      </c>
      <c r="E1492" s="7" t="s">
        <v>385</v>
      </c>
      <c r="F1492" s="1" t="s">
        <v>33</v>
      </c>
      <c r="G1492" s="23">
        <v>500</v>
      </c>
      <c r="H1492" s="5">
        <v>45655</v>
      </c>
      <c r="I1492" s="23" t="s">
        <v>635</v>
      </c>
      <c r="J1492" s="23" t="s">
        <v>176</v>
      </c>
      <c r="K1492" s="24">
        <v>352408232</v>
      </c>
      <c r="L1492" s="6" t="s">
        <v>671</v>
      </c>
    </row>
    <row r="1493" spans="1:12" customFormat="1" ht="14.4" x14ac:dyDescent="0.3">
      <c r="A1493" s="1" t="s">
        <v>12</v>
      </c>
      <c r="B1493" s="1" t="s">
        <v>13</v>
      </c>
      <c r="C1493" s="2" t="s">
        <v>14</v>
      </c>
      <c r="D1493" s="1" t="s">
        <v>343</v>
      </c>
      <c r="E1493" s="1" t="s">
        <v>344</v>
      </c>
      <c r="F1493" s="1" t="s">
        <v>345</v>
      </c>
      <c r="G1493" s="3">
        <v>500</v>
      </c>
      <c r="H1493" s="5">
        <v>45657</v>
      </c>
      <c r="I1493" s="3" t="s">
        <v>568</v>
      </c>
      <c r="J1493" s="3" t="s">
        <v>187</v>
      </c>
      <c r="K1493" s="22">
        <v>352408274</v>
      </c>
      <c r="L1493" s="6" t="s">
        <v>672</v>
      </c>
    </row>
    <row r="1494" spans="1:12" s="25" customFormat="1" ht="14.4" x14ac:dyDescent="0.3">
      <c r="A1494" s="22" t="s">
        <v>12</v>
      </c>
      <c r="B1494" s="22" t="s">
        <v>13</v>
      </c>
      <c r="C1494" s="22" t="s">
        <v>14</v>
      </c>
      <c r="D1494" s="22" t="s">
        <v>215</v>
      </c>
      <c r="E1494" s="22" t="s">
        <v>216</v>
      </c>
      <c r="F1494" s="22" t="s">
        <v>33</v>
      </c>
      <c r="G1494" s="23">
        <v>500</v>
      </c>
      <c r="H1494" s="5">
        <v>45657</v>
      </c>
      <c r="I1494" s="23" t="s">
        <v>566</v>
      </c>
      <c r="J1494" s="23" t="s">
        <v>156</v>
      </c>
      <c r="K1494" s="22">
        <v>352408298</v>
      </c>
      <c r="L1494" s="6" t="s">
        <v>673</v>
      </c>
    </row>
    <row r="1495" spans="1:12" customFormat="1" ht="14.4" x14ac:dyDescent="0.3">
      <c r="A1495" s="1" t="s">
        <v>12</v>
      </c>
      <c r="B1495" s="1" t="s">
        <v>13</v>
      </c>
      <c r="C1495" s="2" t="s">
        <v>14</v>
      </c>
      <c r="D1495" s="1" t="s">
        <v>343</v>
      </c>
      <c r="E1495" s="1" t="s">
        <v>344</v>
      </c>
      <c r="F1495" s="1" t="s">
        <v>345</v>
      </c>
      <c r="G1495" s="3">
        <v>500</v>
      </c>
      <c r="H1495" s="5">
        <v>45657</v>
      </c>
      <c r="I1495" s="3" t="s">
        <v>568</v>
      </c>
      <c r="J1495" s="3" t="s">
        <v>187</v>
      </c>
      <c r="K1495" s="22">
        <v>352408299</v>
      </c>
      <c r="L1495" s="6" t="s">
        <v>673</v>
      </c>
    </row>
  </sheetData>
  <autoFilter ref="A1:L1495"/>
  <pageMargins left="0.7" right="0.7" top="0.75" bottom="0.75" header="0.3" footer="0.3"/>
  <pageSetup orientation="portrait" r:id="rId1"/>
  <ignoredErrors>
    <ignoredError sqref="C226:C14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263"/>
  <sheetViews>
    <sheetView topLeftCell="B1" zoomScaleNormal="100" workbookViewId="0">
      <pane ySplit="1" topLeftCell="A17" activePane="bottomLeft" state="frozen"/>
      <selection pane="bottomLeft" activeCell="G169" sqref="A1:L263"/>
    </sheetView>
  </sheetViews>
  <sheetFormatPr defaultRowHeight="12.6" x14ac:dyDescent="0.25"/>
  <cols>
    <col min="1" max="1" width="22.33203125" style="31" bestFit="1" customWidth="1"/>
    <col min="2" max="2" width="11.88671875" style="31" bestFit="1" customWidth="1"/>
    <col min="3" max="3" width="14" style="31" bestFit="1" customWidth="1"/>
    <col min="4" max="4" width="18" style="31" bestFit="1" customWidth="1"/>
    <col min="5" max="5" width="17.77734375" style="31" bestFit="1" customWidth="1"/>
    <col min="6" max="6" width="14.33203125" style="31" bestFit="1" customWidth="1"/>
    <col min="7" max="7" width="8.77734375" style="31" bestFit="1" customWidth="1"/>
    <col min="8" max="8" width="11" style="31" bestFit="1" customWidth="1"/>
    <col min="9" max="9" width="17.21875" style="31" bestFit="1" customWidth="1"/>
    <col min="10" max="10" width="10.44140625" style="31" bestFit="1" customWidth="1"/>
    <col min="11" max="11" width="10" style="31" bestFit="1" customWidth="1"/>
    <col min="12" max="12" width="60.88671875" style="31" bestFit="1" customWidth="1"/>
    <col min="13" max="16384" width="8.88671875" style="31"/>
  </cols>
  <sheetData>
    <row r="1" spans="1:12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9" t="s">
        <v>7</v>
      </c>
      <c r="I1" s="28" t="s">
        <v>8</v>
      </c>
      <c r="J1" s="28" t="s">
        <v>9</v>
      </c>
      <c r="K1" s="28" t="s">
        <v>10</v>
      </c>
      <c r="L1" s="30" t="s">
        <v>11</v>
      </c>
    </row>
    <row r="2" spans="1:12" hidden="1" x14ac:dyDescent="0.25">
      <c r="A2" s="30" t="s">
        <v>12</v>
      </c>
      <c r="B2" s="30" t="s">
        <v>13</v>
      </c>
      <c r="C2" s="30" t="s">
        <v>14</v>
      </c>
      <c r="D2" s="30" t="s">
        <v>15</v>
      </c>
      <c r="E2" s="30" t="s">
        <v>16</v>
      </c>
      <c r="F2" s="30" t="s">
        <v>17</v>
      </c>
      <c r="G2" s="32">
        <v>900</v>
      </c>
      <c r="H2" s="33">
        <v>45660</v>
      </c>
      <c r="I2" s="32" t="s">
        <v>569</v>
      </c>
      <c r="J2" s="32" t="s">
        <v>40</v>
      </c>
      <c r="K2" s="34">
        <v>352408366</v>
      </c>
      <c r="L2" s="35" t="s">
        <v>674</v>
      </c>
    </row>
    <row r="3" spans="1:12" s="38" customFormat="1" hidden="1" x14ac:dyDescent="0.25">
      <c r="A3" s="36" t="s">
        <v>12</v>
      </c>
      <c r="B3" s="36" t="s">
        <v>13</v>
      </c>
      <c r="C3" s="36" t="s">
        <v>14</v>
      </c>
      <c r="D3" s="36" t="s">
        <v>215</v>
      </c>
      <c r="E3" s="36" t="s">
        <v>216</v>
      </c>
      <c r="F3" s="36" t="s">
        <v>33</v>
      </c>
      <c r="G3" s="37">
        <v>800</v>
      </c>
      <c r="H3" s="33">
        <v>45664</v>
      </c>
      <c r="I3" s="37" t="s">
        <v>566</v>
      </c>
      <c r="J3" s="37" t="s">
        <v>156</v>
      </c>
      <c r="K3" s="36">
        <v>352408426</v>
      </c>
      <c r="L3" s="35" t="s">
        <v>675</v>
      </c>
    </row>
    <row r="4" spans="1:12" s="38" customFormat="1" hidden="1" x14ac:dyDescent="0.25">
      <c r="A4" s="36" t="s">
        <v>12</v>
      </c>
      <c r="B4" s="36" t="s">
        <v>13</v>
      </c>
      <c r="C4" s="36" t="s">
        <v>14</v>
      </c>
      <c r="D4" s="30" t="s">
        <v>376</v>
      </c>
      <c r="E4" s="39" t="s">
        <v>385</v>
      </c>
      <c r="F4" s="30" t="s">
        <v>33</v>
      </c>
      <c r="G4" s="37">
        <v>800</v>
      </c>
      <c r="H4" s="33">
        <v>45664</v>
      </c>
      <c r="I4" s="37" t="s">
        <v>635</v>
      </c>
      <c r="J4" s="37" t="s">
        <v>176</v>
      </c>
      <c r="K4" s="34">
        <v>352408427</v>
      </c>
      <c r="L4" s="35" t="s">
        <v>675</v>
      </c>
    </row>
    <row r="5" spans="1:12" hidden="1" x14ac:dyDescent="0.25">
      <c r="A5" s="30" t="s">
        <v>12</v>
      </c>
      <c r="B5" s="30" t="s">
        <v>13</v>
      </c>
      <c r="C5" s="30" t="s">
        <v>14</v>
      </c>
      <c r="D5" s="30" t="s">
        <v>343</v>
      </c>
      <c r="E5" s="30" t="s">
        <v>344</v>
      </c>
      <c r="F5" s="30" t="s">
        <v>345</v>
      </c>
      <c r="G5" s="37">
        <v>800</v>
      </c>
      <c r="H5" s="33">
        <v>45664</v>
      </c>
      <c r="I5" s="32" t="s">
        <v>568</v>
      </c>
      <c r="J5" s="32" t="s">
        <v>187</v>
      </c>
      <c r="K5" s="36">
        <v>352408428</v>
      </c>
      <c r="L5" s="35" t="s">
        <v>675</v>
      </c>
    </row>
    <row r="6" spans="1:12" s="38" customFormat="1" hidden="1" x14ac:dyDescent="0.25">
      <c r="A6" s="36" t="s">
        <v>12</v>
      </c>
      <c r="B6" s="36" t="s">
        <v>13</v>
      </c>
      <c r="C6" s="36" t="s">
        <v>14</v>
      </c>
      <c r="D6" s="36" t="s">
        <v>587</v>
      </c>
      <c r="E6" s="36" t="s">
        <v>588</v>
      </c>
      <c r="F6" s="36" t="s">
        <v>589</v>
      </c>
      <c r="G6" s="37">
        <v>500</v>
      </c>
      <c r="H6" s="33">
        <v>45665</v>
      </c>
      <c r="I6" s="37" t="s">
        <v>590</v>
      </c>
      <c r="J6" s="37" t="s">
        <v>123</v>
      </c>
      <c r="K6" s="36">
        <v>352408458</v>
      </c>
      <c r="L6" s="35" t="s">
        <v>677</v>
      </c>
    </row>
    <row r="7" spans="1:12" hidden="1" x14ac:dyDescent="0.25">
      <c r="A7" s="30" t="s">
        <v>12</v>
      </c>
      <c r="B7" s="30" t="s">
        <v>13</v>
      </c>
      <c r="C7" s="30" t="s">
        <v>14</v>
      </c>
      <c r="D7" s="30" t="s">
        <v>257</v>
      </c>
      <c r="E7" s="39" t="s">
        <v>258</v>
      </c>
      <c r="F7" s="39" t="s">
        <v>33</v>
      </c>
      <c r="G7" s="32">
        <v>6000</v>
      </c>
      <c r="H7" s="33">
        <v>45665</v>
      </c>
      <c r="I7" s="32" t="s">
        <v>571</v>
      </c>
      <c r="J7" s="32" t="s">
        <v>59</v>
      </c>
      <c r="K7" s="34">
        <v>352408493</v>
      </c>
      <c r="L7" s="35" t="s">
        <v>678</v>
      </c>
    </row>
    <row r="8" spans="1:12" s="38" customFormat="1" hidden="1" x14ac:dyDescent="0.25">
      <c r="A8" s="36" t="s">
        <v>12</v>
      </c>
      <c r="B8" s="36" t="s">
        <v>13</v>
      </c>
      <c r="C8" s="36" t="s">
        <v>14</v>
      </c>
      <c r="D8" s="30" t="s">
        <v>376</v>
      </c>
      <c r="E8" s="39" t="s">
        <v>385</v>
      </c>
      <c r="F8" s="30" t="s">
        <v>33</v>
      </c>
      <c r="G8" s="37">
        <v>500</v>
      </c>
      <c r="H8" s="33">
        <v>45665</v>
      </c>
      <c r="I8" s="37" t="s">
        <v>635</v>
      </c>
      <c r="J8" s="37" t="s">
        <v>176</v>
      </c>
      <c r="K8" s="34">
        <v>352408495</v>
      </c>
      <c r="L8" s="35" t="s">
        <v>677</v>
      </c>
    </row>
    <row r="9" spans="1:12" s="38" customFormat="1" hidden="1" x14ac:dyDescent="0.25">
      <c r="A9" s="36" t="s">
        <v>12</v>
      </c>
      <c r="B9" s="36" t="s">
        <v>13</v>
      </c>
      <c r="C9" s="36" t="s">
        <v>14</v>
      </c>
      <c r="D9" s="36" t="s">
        <v>215</v>
      </c>
      <c r="E9" s="36" t="s">
        <v>216</v>
      </c>
      <c r="F9" s="36" t="s">
        <v>33</v>
      </c>
      <c r="G9" s="37">
        <v>500</v>
      </c>
      <c r="H9" s="33">
        <v>45665</v>
      </c>
      <c r="I9" s="37" t="s">
        <v>566</v>
      </c>
      <c r="J9" s="37" t="s">
        <v>156</v>
      </c>
      <c r="K9" s="36">
        <v>352408479</v>
      </c>
      <c r="L9" s="35" t="s">
        <v>676</v>
      </c>
    </row>
    <row r="10" spans="1:12" hidden="1" x14ac:dyDescent="0.25">
      <c r="A10" s="30" t="s">
        <v>12</v>
      </c>
      <c r="B10" s="30" t="s">
        <v>13</v>
      </c>
      <c r="C10" s="30" t="s">
        <v>14</v>
      </c>
      <c r="D10" s="30" t="s">
        <v>343</v>
      </c>
      <c r="E10" s="30" t="s">
        <v>344</v>
      </c>
      <c r="F10" s="30" t="s">
        <v>345</v>
      </c>
      <c r="G10" s="37">
        <v>500</v>
      </c>
      <c r="H10" s="33">
        <v>45665</v>
      </c>
      <c r="I10" s="32" t="s">
        <v>568</v>
      </c>
      <c r="J10" s="32" t="s">
        <v>187</v>
      </c>
      <c r="K10" s="36">
        <v>352408478</v>
      </c>
      <c r="L10" s="35" t="s">
        <v>676</v>
      </c>
    </row>
    <row r="11" spans="1:12" hidden="1" x14ac:dyDescent="0.25">
      <c r="A11" s="30" t="s">
        <v>12</v>
      </c>
      <c r="B11" s="30" t="s">
        <v>13</v>
      </c>
      <c r="C11" s="30" t="s">
        <v>14</v>
      </c>
      <c r="D11" s="36" t="s">
        <v>193</v>
      </c>
      <c r="E11" s="36" t="s">
        <v>194</v>
      </c>
      <c r="F11" s="36" t="s">
        <v>195</v>
      </c>
      <c r="G11" s="32">
        <v>4750</v>
      </c>
      <c r="H11" s="33">
        <v>45665</v>
      </c>
      <c r="I11" s="32" t="s">
        <v>572</v>
      </c>
      <c r="J11" s="32" t="s">
        <v>34</v>
      </c>
      <c r="K11" s="34">
        <v>352408497</v>
      </c>
      <c r="L11" s="35" t="s">
        <v>679</v>
      </c>
    </row>
    <row r="12" spans="1:12" hidden="1" x14ac:dyDescent="0.25">
      <c r="A12" s="30" t="s">
        <v>12</v>
      </c>
      <c r="B12" s="30" t="s">
        <v>13</v>
      </c>
      <c r="C12" s="30" t="s">
        <v>14</v>
      </c>
      <c r="D12" s="32" t="s">
        <v>149</v>
      </c>
      <c r="E12" s="40">
        <v>50100624324501</v>
      </c>
      <c r="F12" s="32" t="s">
        <v>150</v>
      </c>
      <c r="G12" s="32">
        <v>5250</v>
      </c>
      <c r="H12" s="33">
        <v>45665</v>
      </c>
      <c r="I12" s="32" t="s">
        <v>567</v>
      </c>
      <c r="J12" s="32" t="s">
        <v>29</v>
      </c>
      <c r="K12" s="36">
        <v>352408498</v>
      </c>
      <c r="L12" s="35" t="s">
        <v>680</v>
      </c>
    </row>
    <row r="13" spans="1:12" hidden="1" x14ac:dyDescent="0.25">
      <c r="A13" s="30" t="s">
        <v>12</v>
      </c>
      <c r="B13" s="30" t="s">
        <v>13</v>
      </c>
      <c r="C13" s="30" t="s">
        <v>14</v>
      </c>
      <c r="D13" s="30" t="s">
        <v>144</v>
      </c>
      <c r="E13" s="39">
        <v>42542201947</v>
      </c>
      <c r="F13" s="30" t="s">
        <v>145</v>
      </c>
      <c r="G13" s="32">
        <v>5250</v>
      </c>
      <c r="H13" s="33">
        <v>45665</v>
      </c>
      <c r="I13" s="32" t="s">
        <v>652</v>
      </c>
      <c r="J13" s="32" t="s">
        <v>147</v>
      </c>
      <c r="K13" s="34">
        <v>352408499</v>
      </c>
      <c r="L13" s="35" t="s">
        <v>680</v>
      </c>
    </row>
    <row r="14" spans="1:12" hidden="1" x14ac:dyDescent="0.25">
      <c r="A14" s="30" t="s">
        <v>12</v>
      </c>
      <c r="B14" s="30" t="s">
        <v>13</v>
      </c>
      <c r="C14" s="30" t="s">
        <v>14</v>
      </c>
      <c r="D14" s="30" t="s">
        <v>152</v>
      </c>
      <c r="E14" s="30" t="s">
        <v>153</v>
      </c>
      <c r="F14" s="30" t="s">
        <v>154</v>
      </c>
      <c r="G14" s="32">
        <v>5250</v>
      </c>
      <c r="H14" s="33">
        <v>45665</v>
      </c>
      <c r="I14" s="32" t="s">
        <v>573</v>
      </c>
      <c r="J14" s="32" t="s">
        <v>84</v>
      </c>
      <c r="K14" s="34">
        <v>352408501</v>
      </c>
      <c r="L14" s="35" t="s">
        <v>680</v>
      </c>
    </row>
    <row r="15" spans="1:12" hidden="1" x14ac:dyDescent="0.25">
      <c r="A15" s="30" t="s">
        <v>12</v>
      </c>
      <c r="B15" s="30" t="s">
        <v>13</v>
      </c>
      <c r="C15" s="30" t="s">
        <v>14</v>
      </c>
      <c r="D15" s="30" t="s">
        <v>48</v>
      </c>
      <c r="E15" s="30" t="s">
        <v>49</v>
      </c>
      <c r="F15" s="30" t="s">
        <v>50</v>
      </c>
      <c r="G15" s="32">
        <v>5250</v>
      </c>
      <c r="H15" s="33">
        <v>45665</v>
      </c>
      <c r="I15" s="32" t="s">
        <v>681</v>
      </c>
      <c r="J15" s="32" t="s">
        <v>52</v>
      </c>
      <c r="K15" s="34">
        <v>352408503</v>
      </c>
      <c r="L15" s="35" t="s">
        <v>680</v>
      </c>
    </row>
    <row r="16" spans="1:12" hidden="1" x14ac:dyDescent="0.25">
      <c r="A16" s="30" t="s">
        <v>12</v>
      </c>
      <c r="B16" s="30" t="s">
        <v>13</v>
      </c>
      <c r="C16" s="30" t="s">
        <v>14</v>
      </c>
      <c r="D16" s="30" t="s">
        <v>435</v>
      </c>
      <c r="E16" s="39">
        <v>31095925572</v>
      </c>
      <c r="F16" s="36" t="s">
        <v>33</v>
      </c>
      <c r="G16" s="32">
        <v>500</v>
      </c>
      <c r="H16" s="33">
        <v>45665</v>
      </c>
      <c r="I16" s="32" t="s">
        <v>578</v>
      </c>
      <c r="J16" s="32" t="s">
        <v>126</v>
      </c>
      <c r="K16" s="34">
        <v>352408415</v>
      </c>
      <c r="L16" s="35" t="s">
        <v>682</v>
      </c>
    </row>
    <row r="17" spans="1:12" s="38" customFormat="1" hidden="1" x14ac:dyDescent="0.25">
      <c r="A17" s="36" t="s">
        <v>12</v>
      </c>
      <c r="B17" s="36" t="s">
        <v>13</v>
      </c>
      <c r="C17" s="36" t="s">
        <v>14</v>
      </c>
      <c r="D17" s="36" t="s">
        <v>587</v>
      </c>
      <c r="E17" s="36" t="s">
        <v>588</v>
      </c>
      <c r="F17" s="36" t="s">
        <v>589</v>
      </c>
      <c r="G17" s="37">
        <v>500</v>
      </c>
      <c r="H17" s="33">
        <v>45666</v>
      </c>
      <c r="I17" s="37" t="s">
        <v>590</v>
      </c>
      <c r="J17" s="37" t="s">
        <v>123</v>
      </c>
      <c r="K17" s="36">
        <v>352408532</v>
      </c>
      <c r="L17" s="35" t="s">
        <v>683</v>
      </c>
    </row>
    <row r="18" spans="1:12" hidden="1" x14ac:dyDescent="0.25">
      <c r="A18" s="30" t="s">
        <v>12</v>
      </c>
      <c r="B18" s="30" t="s">
        <v>13</v>
      </c>
      <c r="C18" s="30" t="s">
        <v>14</v>
      </c>
      <c r="D18" s="36" t="s">
        <v>193</v>
      </c>
      <c r="E18" s="36" t="s">
        <v>194</v>
      </c>
      <c r="F18" s="36" t="s">
        <v>195</v>
      </c>
      <c r="G18" s="32">
        <v>5000</v>
      </c>
      <c r="H18" s="33">
        <v>45666</v>
      </c>
      <c r="I18" s="32" t="s">
        <v>572</v>
      </c>
      <c r="J18" s="32" t="s">
        <v>34</v>
      </c>
      <c r="K18" s="34">
        <v>352408533</v>
      </c>
      <c r="L18" s="35" t="s">
        <v>684</v>
      </c>
    </row>
    <row r="19" spans="1:12" s="38" customFormat="1" hidden="1" x14ac:dyDescent="0.25">
      <c r="A19" s="36" t="s">
        <v>12</v>
      </c>
      <c r="B19" s="36" t="s">
        <v>13</v>
      </c>
      <c r="C19" s="36" t="s">
        <v>14</v>
      </c>
      <c r="D19" s="36" t="s">
        <v>591</v>
      </c>
      <c r="E19" s="36" t="s">
        <v>592</v>
      </c>
      <c r="F19" s="36" t="s">
        <v>110</v>
      </c>
      <c r="G19" s="32">
        <v>3200</v>
      </c>
      <c r="H19" s="33">
        <v>45666</v>
      </c>
      <c r="I19" s="37" t="s">
        <v>593</v>
      </c>
      <c r="J19" s="37" t="s">
        <v>76</v>
      </c>
      <c r="K19" s="36">
        <v>352408535</v>
      </c>
      <c r="L19" s="35" t="s">
        <v>685</v>
      </c>
    </row>
    <row r="20" spans="1:12" hidden="1" x14ac:dyDescent="0.25">
      <c r="A20" s="30" t="s">
        <v>12</v>
      </c>
      <c r="B20" s="30" t="s">
        <v>13</v>
      </c>
      <c r="C20" s="30" t="s">
        <v>14</v>
      </c>
      <c r="D20" s="32" t="s">
        <v>149</v>
      </c>
      <c r="E20" s="40">
        <v>50100624324501</v>
      </c>
      <c r="F20" s="32" t="s">
        <v>150</v>
      </c>
      <c r="G20" s="32">
        <v>5250</v>
      </c>
      <c r="H20" s="33">
        <v>45666</v>
      </c>
      <c r="I20" s="32" t="s">
        <v>567</v>
      </c>
      <c r="J20" s="32" t="s">
        <v>29</v>
      </c>
      <c r="K20" s="36">
        <v>352408536</v>
      </c>
      <c r="L20" s="35" t="s">
        <v>685</v>
      </c>
    </row>
    <row r="21" spans="1:12" hidden="1" x14ac:dyDescent="0.25">
      <c r="A21" s="30" t="s">
        <v>12</v>
      </c>
      <c r="B21" s="30" t="s">
        <v>13</v>
      </c>
      <c r="C21" s="30" t="s">
        <v>14</v>
      </c>
      <c r="D21" s="30" t="s">
        <v>144</v>
      </c>
      <c r="E21" s="39">
        <v>42542201947</v>
      </c>
      <c r="F21" s="30" t="s">
        <v>145</v>
      </c>
      <c r="G21" s="32">
        <v>5250</v>
      </c>
      <c r="H21" s="33">
        <v>45666</v>
      </c>
      <c r="I21" s="32" t="s">
        <v>652</v>
      </c>
      <c r="J21" s="32" t="s">
        <v>147</v>
      </c>
      <c r="K21" s="34">
        <v>352408537</v>
      </c>
      <c r="L21" s="35" t="s">
        <v>685</v>
      </c>
    </row>
    <row r="22" spans="1:12" hidden="1" x14ac:dyDescent="0.25">
      <c r="A22" s="30" t="s">
        <v>12</v>
      </c>
      <c r="B22" s="30" t="s">
        <v>13</v>
      </c>
      <c r="C22" s="30" t="s">
        <v>14</v>
      </c>
      <c r="D22" s="30" t="s">
        <v>152</v>
      </c>
      <c r="E22" s="30" t="s">
        <v>153</v>
      </c>
      <c r="F22" s="30" t="s">
        <v>154</v>
      </c>
      <c r="G22" s="32">
        <v>5250</v>
      </c>
      <c r="H22" s="33">
        <v>45666</v>
      </c>
      <c r="I22" s="32" t="s">
        <v>573</v>
      </c>
      <c r="J22" s="32" t="s">
        <v>84</v>
      </c>
      <c r="K22" s="34">
        <v>352408538</v>
      </c>
      <c r="L22" s="35" t="s">
        <v>685</v>
      </c>
    </row>
    <row r="23" spans="1:12" hidden="1" x14ac:dyDescent="0.25">
      <c r="A23" s="30" t="s">
        <v>12</v>
      </c>
      <c r="B23" s="30" t="s">
        <v>13</v>
      </c>
      <c r="C23" s="30" t="s">
        <v>14</v>
      </c>
      <c r="D23" s="30" t="s">
        <v>48</v>
      </c>
      <c r="E23" s="30" t="s">
        <v>49</v>
      </c>
      <c r="F23" s="30" t="s">
        <v>50</v>
      </c>
      <c r="G23" s="32">
        <v>5250</v>
      </c>
      <c r="H23" s="33">
        <v>45666</v>
      </c>
      <c r="I23" s="32" t="s">
        <v>681</v>
      </c>
      <c r="J23" s="32" t="s">
        <v>52</v>
      </c>
      <c r="K23" s="34">
        <v>352408539</v>
      </c>
      <c r="L23" s="35" t="s">
        <v>685</v>
      </c>
    </row>
    <row r="24" spans="1:12" hidden="1" x14ac:dyDescent="0.25">
      <c r="A24" s="30" t="s">
        <v>12</v>
      </c>
      <c r="B24" s="30" t="s">
        <v>13</v>
      </c>
      <c r="C24" s="30" t="s">
        <v>14</v>
      </c>
      <c r="D24" s="30" t="s">
        <v>343</v>
      </c>
      <c r="E24" s="30" t="s">
        <v>344</v>
      </c>
      <c r="F24" s="30" t="s">
        <v>345</v>
      </c>
      <c r="G24" s="37">
        <v>500</v>
      </c>
      <c r="H24" s="33">
        <v>45668</v>
      </c>
      <c r="I24" s="32" t="s">
        <v>568</v>
      </c>
      <c r="J24" s="32" t="s">
        <v>187</v>
      </c>
      <c r="K24" s="36">
        <v>352408543</v>
      </c>
      <c r="L24" s="35" t="s">
        <v>686</v>
      </c>
    </row>
    <row r="25" spans="1:12" s="38" customFormat="1" hidden="1" x14ac:dyDescent="0.25">
      <c r="A25" s="36" t="s">
        <v>12</v>
      </c>
      <c r="B25" s="36" t="s">
        <v>13</v>
      </c>
      <c r="C25" s="36" t="s">
        <v>14</v>
      </c>
      <c r="D25" s="30" t="s">
        <v>376</v>
      </c>
      <c r="E25" s="39" t="s">
        <v>385</v>
      </c>
      <c r="F25" s="30" t="s">
        <v>33</v>
      </c>
      <c r="G25" s="37">
        <v>500</v>
      </c>
      <c r="H25" s="33">
        <v>45668</v>
      </c>
      <c r="I25" s="37" t="s">
        <v>635</v>
      </c>
      <c r="J25" s="37" t="s">
        <v>176</v>
      </c>
      <c r="K25" s="34">
        <v>352408544</v>
      </c>
      <c r="L25" s="35" t="s">
        <v>686</v>
      </c>
    </row>
    <row r="26" spans="1:12" hidden="1" x14ac:dyDescent="0.25">
      <c r="A26" s="30" t="s">
        <v>12</v>
      </c>
      <c r="B26" s="30" t="s">
        <v>13</v>
      </c>
      <c r="C26" s="30" t="s">
        <v>14</v>
      </c>
      <c r="D26" s="32" t="s">
        <v>149</v>
      </c>
      <c r="E26" s="40">
        <v>50100624324501</v>
      </c>
      <c r="F26" s="32" t="s">
        <v>150</v>
      </c>
      <c r="G26" s="32">
        <v>7500</v>
      </c>
      <c r="H26" s="33">
        <v>45668</v>
      </c>
      <c r="I26" s="32" t="s">
        <v>567</v>
      </c>
      <c r="J26" s="32" t="s">
        <v>29</v>
      </c>
      <c r="K26" s="36">
        <v>352408569</v>
      </c>
      <c r="L26" s="35" t="s">
        <v>687</v>
      </c>
    </row>
    <row r="27" spans="1:12" s="38" customFormat="1" hidden="1" x14ac:dyDescent="0.25">
      <c r="A27" s="36" t="s">
        <v>12</v>
      </c>
      <c r="B27" s="36" t="s">
        <v>13</v>
      </c>
      <c r="C27" s="36" t="s">
        <v>14</v>
      </c>
      <c r="D27" s="36" t="s">
        <v>591</v>
      </c>
      <c r="E27" s="36" t="s">
        <v>592</v>
      </c>
      <c r="F27" s="36" t="s">
        <v>110</v>
      </c>
      <c r="G27" s="32">
        <v>7500</v>
      </c>
      <c r="H27" s="33">
        <v>45668</v>
      </c>
      <c r="I27" s="37" t="s">
        <v>593</v>
      </c>
      <c r="J27" s="37" t="s">
        <v>76</v>
      </c>
      <c r="K27" s="36">
        <v>352408570</v>
      </c>
      <c r="L27" s="35" t="s">
        <v>687</v>
      </c>
    </row>
    <row r="28" spans="1:12" hidden="1" x14ac:dyDescent="0.25">
      <c r="A28" s="30" t="s">
        <v>12</v>
      </c>
      <c r="B28" s="30" t="s">
        <v>13</v>
      </c>
      <c r="C28" s="30" t="s">
        <v>14</v>
      </c>
      <c r="D28" s="30" t="s">
        <v>152</v>
      </c>
      <c r="E28" s="30" t="s">
        <v>153</v>
      </c>
      <c r="F28" s="30" t="s">
        <v>154</v>
      </c>
      <c r="G28" s="32">
        <v>7500</v>
      </c>
      <c r="H28" s="33">
        <v>45668</v>
      </c>
      <c r="I28" s="32" t="s">
        <v>573</v>
      </c>
      <c r="J28" s="32" t="s">
        <v>84</v>
      </c>
      <c r="K28" s="34">
        <v>352408598</v>
      </c>
      <c r="L28" s="35" t="s">
        <v>688</v>
      </c>
    </row>
    <row r="29" spans="1:12" hidden="1" x14ac:dyDescent="0.25">
      <c r="A29" s="30" t="s">
        <v>12</v>
      </c>
      <c r="B29" s="30" t="s">
        <v>13</v>
      </c>
      <c r="C29" s="30" t="s">
        <v>14</v>
      </c>
      <c r="D29" s="30" t="s">
        <v>144</v>
      </c>
      <c r="E29" s="39">
        <v>42542201947</v>
      </c>
      <c r="F29" s="30" t="s">
        <v>145</v>
      </c>
      <c r="G29" s="32">
        <v>7500</v>
      </c>
      <c r="H29" s="33">
        <v>45668</v>
      </c>
      <c r="I29" s="32" t="s">
        <v>652</v>
      </c>
      <c r="J29" s="32" t="s">
        <v>147</v>
      </c>
      <c r="K29" s="34">
        <v>352408599</v>
      </c>
      <c r="L29" s="35" t="s">
        <v>688</v>
      </c>
    </row>
    <row r="30" spans="1:12" hidden="1" x14ac:dyDescent="0.25">
      <c r="A30" s="30" t="s">
        <v>12</v>
      </c>
      <c r="B30" s="30" t="s">
        <v>13</v>
      </c>
      <c r="C30" s="30" t="s">
        <v>14</v>
      </c>
      <c r="D30" s="30" t="s">
        <v>343</v>
      </c>
      <c r="E30" s="30" t="s">
        <v>344</v>
      </c>
      <c r="F30" s="30" t="s">
        <v>345</v>
      </c>
      <c r="G30" s="37">
        <v>5000</v>
      </c>
      <c r="H30" s="33">
        <v>45668</v>
      </c>
      <c r="I30" s="32" t="s">
        <v>689</v>
      </c>
      <c r="J30" s="32" t="s">
        <v>187</v>
      </c>
      <c r="K30" s="36"/>
      <c r="L30" s="35" t="s">
        <v>690</v>
      </c>
    </row>
    <row r="31" spans="1:12" hidden="1" x14ac:dyDescent="0.25">
      <c r="A31" s="30" t="s">
        <v>12</v>
      </c>
      <c r="B31" s="30" t="s">
        <v>13</v>
      </c>
      <c r="C31" s="30" t="s">
        <v>14</v>
      </c>
      <c r="D31" s="30" t="s">
        <v>48</v>
      </c>
      <c r="E31" s="30" t="s">
        <v>49</v>
      </c>
      <c r="F31" s="30" t="s">
        <v>50</v>
      </c>
      <c r="G31" s="32">
        <v>7500</v>
      </c>
      <c r="H31" s="33">
        <v>45670</v>
      </c>
      <c r="I31" s="32" t="s">
        <v>681</v>
      </c>
      <c r="J31" s="32" t="s">
        <v>52</v>
      </c>
      <c r="K31" s="34">
        <v>352408626</v>
      </c>
      <c r="L31" s="35" t="s">
        <v>691</v>
      </c>
    </row>
    <row r="32" spans="1:12" s="38" customFormat="1" hidden="1" x14ac:dyDescent="0.25">
      <c r="A32" s="36" t="s">
        <v>12</v>
      </c>
      <c r="B32" s="36" t="s">
        <v>13</v>
      </c>
      <c r="C32" s="36" t="s">
        <v>14</v>
      </c>
      <c r="D32" s="36" t="s">
        <v>587</v>
      </c>
      <c r="E32" s="36" t="s">
        <v>588</v>
      </c>
      <c r="F32" s="36" t="s">
        <v>589</v>
      </c>
      <c r="G32" s="37">
        <v>500</v>
      </c>
      <c r="H32" s="33">
        <v>45670</v>
      </c>
      <c r="I32" s="37" t="s">
        <v>590</v>
      </c>
      <c r="J32" s="37" t="s">
        <v>123</v>
      </c>
      <c r="K32" s="36">
        <v>352408627</v>
      </c>
      <c r="L32" s="35" t="s">
        <v>692</v>
      </c>
    </row>
    <row r="33" spans="1:12" hidden="1" x14ac:dyDescent="0.25">
      <c r="A33" s="30" t="s">
        <v>12</v>
      </c>
      <c r="B33" s="30" t="s">
        <v>13</v>
      </c>
      <c r="C33" s="30" t="s">
        <v>14</v>
      </c>
      <c r="D33" s="30" t="s">
        <v>343</v>
      </c>
      <c r="E33" s="30" t="s">
        <v>344</v>
      </c>
      <c r="F33" s="30" t="s">
        <v>345</v>
      </c>
      <c r="G33" s="37">
        <v>500</v>
      </c>
      <c r="H33" s="33">
        <v>45670</v>
      </c>
      <c r="I33" s="32" t="s">
        <v>568</v>
      </c>
      <c r="J33" s="32" t="s">
        <v>187</v>
      </c>
      <c r="K33" s="36">
        <v>352408628</v>
      </c>
      <c r="L33" s="35" t="s">
        <v>692</v>
      </c>
    </row>
    <row r="34" spans="1:12" s="38" customFormat="1" hidden="1" x14ac:dyDescent="0.25">
      <c r="A34" s="36" t="s">
        <v>12</v>
      </c>
      <c r="B34" s="36" t="s">
        <v>13</v>
      </c>
      <c r="C34" s="36" t="s">
        <v>14</v>
      </c>
      <c r="D34" s="30" t="s">
        <v>376</v>
      </c>
      <c r="E34" s="39" t="s">
        <v>385</v>
      </c>
      <c r="F34" s="30" t="s">
        <v>33</v>
      </c>
      <c r="G34" s="37">
        <v>500</v>
      </c>
      <c r="H34" s="33">
        <v>45670</v>
      </c>
      <c r="I34" s="37" t="s">
        <v>635</v>
      </c>
      <c r="J34" s="37" t="s">
        <v>176</v>
      </c>
      <c r="K34" s="36">
        <v>352408629</v>
      </c>
      <c r="L34" s="35" t="s">
        <v>692</v>
      </c>
    </row>
    <row r="35" spans="1:12" hidden="1" x14ac:dyDescent="0.25">
      <c r="A35" s="30" t="s">
        <v>12</v>
      </c>
      <c r="B35" s="30" t="s">
        <v>13</v>
      </c>
      <c r="C35" s="30" t="s">
        <v>14</v>
      </c>
      <c r="D35" s="30" t="s">
        <v>31</v>
      </c>
      <c r="E35" s="30" t="s">
        <v>32</v>
      </c>
      <c r="F35" s="30" t="s">
        <v>33</v>
      </c>
      <c r="G35" s="32">
        <v>800</v>
      </c>
      <c r="H35" s="33">
        <v>45671</v>
      </c>
      <c r="I35" s="32" t="s">
        <v>693</v>
      </c>
      <c r="J35" s="32" t="s">
        <v>118</v>
      </c>
      <c r="K35" s="34">
        <v>352408632</v>
      </c>
      <c r="L35" s="35" t="s">
        <v>694</v>
      </c>
    </row>
    <row r="36" spans="1:12" hidden="1" x14ac:dyDescent="0.25">
      <c r="A36" s="30" t="s">
        <v>12</v>
      </c>
      <c r="B36" s="30" t="s">
        <v>13</v>
      </c>
      <c r="C36" s="30" t="s">
        <v>14</v>
      </c>
      <c r="D36" s="30" t="s">
        <v>695</v>
      </c>
      <c r="E36" s="30" t="s">
        <v>696</v>
      </c>
      <c r="F36" s="30" t="s">
        <v>697</v>
      </c>
      <c r="G36" s="37">
        <v>500</v>
      </c>
      <c r="H36" s="33">
        <v>45672</v>
      </c>
      <c r="I36" s="37" t="s">
        <v>566</v>
      </c>
      <c r="J36" s="37" t="s">
        <v>156</v>
      </c>
      <c r="K36" s="34">
        <v>352408656</v>
      </c>
      <c r="L36" s="35" t="s">
        <v>698</v>
      </c>
    </row>
    <row r="37" spans="1:12" hidden="1" x14ac:dyDescent="0.25">
      <c r="A37" s="30" t="s">
        <v>12</v>
      </c>
      <c r="B37" s="30" t="s">
        <v>13</v>
      </c>
      <c r="C37" s="30" t="s">
        <v>14</v>
      </c>
      <c r="D37" s="30" t="s">
        <v>343</v>
      </c>
      <c r="E37" s="30" t="s">
        <v>344</v>
      </c>
      <c r="F37" s="30" t="s">
        <v>345</v>
      </c>
      <c r="G37" s="37">
        <v>500</v>
      </c>
      <c r="H37" s="33">
        <v>45673</v>
      </c>
      <c r="I37" s="32" t="s">
        <v>568</v>
      </c>
      <c r="J37" s="32" t="s">
        <v>187</v>
      </c>
      <c r="K37" s="36">
        <v>352408677</v>
      </c>
      <c r="L37" s="35" t="s">
        <v>699</v>
      </c>
    </row>
    <row r="38" spans="1:12" hidden="1" x14ac:dyDescent="0.25">
      <c r="A38" s="30" t="s">
        <v>12</v>
      </c>
      <c r="B38" s="30" t="s">
        <v>13</v>
      </c>
      <c r="C38" s="30" t="s">
        <v>14</v>
      </c>
      <c r="D38" s="30" t="s">
        <v>695</v>
      </c>
      <c r="E38" s="30" t="s">
        <v>696</v>
      </c>
      <c r="F38" s="30" t="s">
        <v>697</v>
      </c>
      <c r="G38" s="37">
        <v>500</v>
      </c>
      <c r="H38" s="33">
        <v>45673</v>
      </c>
      <c r="I38" s="37" t="s">
        <v>566</v>
      </c>
      <c r="J38" s="37" t="s">
        <v>156</v>
      </c>
      <c r="K38" s="34">
        <v>352408668</v>
      </c>
      <c r="L38" s="35" t="s">
        <v>700</v>
      </c>
    </row>
    <row r="39" spans="1:12" hidden="1" x14ac:dyDescent="0.25">
      <c r="A39" s="30" t="s">
        <v>12</v>
      </c>
      <c r="B39" s="30" t="s">
        <v>13</v>
      </c>
      <c r="C39" s="30" t="s">
        <v>14</v>
      </c>
      <c r="D39" s="30" t="s">
        <v>108</v>
      </c>
      <c r="E39" s="30" t="s">
        <v>109</v>
      </c>
      <c r="F39" s="30" t="s">
        <v>110</v>
      </c>
      <c r="G39" s="37">
        <v>2000</v>
      </c>
      <c r="H39" s="33">
        <v>45673</v>
      </c>
      <c r="I39" s="32" t="s">
        <v>701</v>
      </c>
      <c r="J39" s="32" t="s">
        <v>68</v>
      </c>
      <c r="K39" s="34">
        <v>352408669</v>
      </c>
      <c r="L39" s="35" t="s">
        <v>702</v>
      </c>
    </row>
    <row r="40" spans="1:12" hidden="1" x14ac:dyDescent="0.25">
      <c r="A40" s="30" t="s">
        <v>12</v>
      </c>
      <c r="B40" s="30" t="s">
        <v>13</v>
      </c>
      <c r="C40" s="30" t="s">
        <v>14</v>
      </c>
      <c r="D40" s="30" t="s">
        <v>31</v>
      </c>
      <c r="E40" s="30" t="s">
        <v>32</v>
      </c>
      <c r="F40" s="30" t="s">
        <v>33</v>
      </c>
      <c r="G40" s="37">
        <v>2000</v>
      </c>
      <c r="H40" s="33">
        <v>45673</v>
      </c>
      <c r="I40" s="32" t="s">
        <v>693</v>
      </c>
      <c r="J40" s="32" t="s">
        <v>118</v>
      </c>
      <c r="K40" s="34">
        <v>352408670</v>
      </c>
      <c r="L40" s="35" t="s">
        <v>702</v>
      </c>
    </row>
    <row r="41" spans="1:12" hidden="1" x14ac:dyDescent="0.25">
      <c r="A41" s="30" t="s">
        <v>12</v>
      </c>
      <c r="B41" s="30" t="s">
        <v>13</v>
      </c>
      <c r="C41" s="30" t="s">
        <v>14</v>
      </c>
      <c r="D41" s="36" t="s">
        <v>193</v>
      </c>
      <c r="E41" s="36" t="s">
        <v>194</v>
      </c>
      <c r="F41" s="36" t="s">
        <v>195</v>
      </c>
      <c r="G41" s="32">
        <v>5250</v>
      </c>
      <c r="H41" s="33">
        <v>45673</v>
      </c>
      <c r="I41" s="32" t="s">
        <v>572</v>
      </c>
      <c r="J41" s="32" t="s">
        <v>34</v>
      </c>
      <c r="K41" s="34">
        <v>352408689</v>
      </c>
      <c r="L41" s="35" t="s">
        <v>703</v>
      </c>
    </row>
    <row r="42" spans="1:12" s="38" customFormat="1" hidden="1" x14ac:dyDescent="0.25">
      <c r="A42" s="36" t="s">
        <v>12</v>
      </c>
      <c r="B42" s="36" t="s">
        <v>13</v>
      </c>
      <c r="C42" s="36" t="s">
        <v>14</v>
      </c>
      <c r="D42" s="36" t="s">
        <v>591</v>
      </c>
      <c r="E42" s="36" t="s">
        <v>592</v>
      </c>
      <c r="F42" s="36" t="s">
        <v>110</v>
      </c>
      <c r="G42" s="32">
        <v>5250</v>
      </c>
      <c r="H42" s="33">
        <v>45673</v>
      </c>
      <c r="I42" s="37" t="s">
        <v>593</v>
      </c>
      <c r="J42" s="37" t="s">
        <v>76</v>
      </c>
      <c r="K42" s="36">
        <v>352408690</v>
      </c>
      <c r="L42" s="35" t="s">
        <v>703</v>
      </c>
    </row>
    <row r="43" spans="1:12" hidden="1" x14ac:dyDescent="0.25">
      <c r="A43" s="30" t="s">
        <v>12</v>
      </c>
      <c r="B43" s="30" t="s">
        <v>13</v>
      </c>
      <c r="C43" s="30" t="s">
        <v>14</v>
      </c>
      <c r="D43" s="30" t="s">
        <v>31</v>
      </c>
      <c r="E43" s="30" t="s">
        <v>32</v>
      </c>
      <c r="F43" s="30" t="s">
        <v>33</v>
      </c>
      <c r="G43" s="37">
        <v>5250</v>
      </c>
      <c r="H43" s="33">
        <v>45673</v>
      </c>
      <c r="I43" s="32" t="s">
        <v>693</v>
      </c>
      <c r="J43" s="32" t="s">
        <v>118</v>
      </c>
      <c r="K43" s="34">
        <v>352408691</v>
      </c>
      <c r="L43" s="35" t="s">
        <v>703</v>
      </c>
    </row>
    <row r="44" spans="1:12" hidden="1" x14ac:dyDescent="0.25">
      <c r="A44" s="30" t="s">
        <v>12</v>
      </c>
      <c r="B44" s="30" t="s">
        <v>13</v>
      </c>
      <c r="C44" s="30" t="s">
        <v>14</v>
      </c>
      <c r="D44" s="30" t="s">
        <v>152</v>
      </c>
      <c r="E44" s="30" t="s">
        <v>153</v>
      </c>
      <c r="F44" s="30" t="s">
        <v>154</v>
      </c>
      <c r="G44" s="37">
        <v>5250</v>
      </c>
      <c r="H44" s="33">
        <v>45673</v>
      </c>
      <c r="I44" s="32" t="s">
        <v>573</v>
      </c>
      <c r="J44" s="32" t="s">
        <v>84</v>
      </c>
      <c r="K44" s="34">
        <v>352408693</v>
      </c>
      <c r="L44" s="35" t="s">
        <v>703</v>
      </c>
    </row>
    <row r="45" spans="1:12" hidden="1" x14ac:dyDescent="0.25">
      <c r="A45" s="30" t="s">
        <v>12</v>
      </c>
      <c r="B45" s="30" t="s">
        <v>13</v>
      </c>
      <c r="C45" s="30" t="s">
        <v>14</v>
      </c>
      <c r="D45" s="30" t="s">
        <v>48</v>
      </c>
      <c r="E45" s="30" t="s">
        <v>49</v>
      </c>
      <c r="F45" s="30" t="s">
        <v>50</v>
      </c>
      <c r="G45" s="32">
        <v>5250</v>
      </c>
      <c r="H45" s="33">
        <v>45673</v>
      </c>
      <c r="I45" s="32" t="s">
        <v>681</v>
      </c>
      <c r="J45" s="32" t="s">
        <v>52</v>
      </c>
      <c r="K45" s="34">
        <v>352408694</v>
      </c>
      <c r="L45" s="35" t="s">
        <v>703</v>
      </c>
    </row>
    <row r="46" spans="1:12" hidden="1" x14ac:dyDescent="0.25">
      <c r="A46" s="30" t="s">
        <v>12</v>
      </c>
      <c r="B46" s="30" t="s">
        <v>13</v>
      </c>
      <c r="C46" s="30" t="s">
        <v>14</v>
      </c>
      <c r="D46" s="30" t="s">
        <v>343</v>
      </c>
      <c r="E46" s="30" t="s">
        <v>344</v>
      </c>
      <c r="F46" s="30" t="s">
        <v>345</v>
      </c>
      <c r="G46" s="37">
        <v>500</v>
      </c>
      <c r="H46" s="33">
        <v>45674</v>
      </c>
      <c r="I46" s="32" t="s">
        <v>568</v>
      </c>
      <c r="J46" s="32" t="s">
        <v>187</v>
      </c>
      <c r="K46" s="36">
        <v>352408707</v>
      </c>
      <c r="L46" s="35" t="s">
        <v>704</v>
      </c>
    </row>
    <row r="47" spans="1:12" hidden="1" x14ac:dyDescent="0.25">
      <c r="A47" s="30" t="s">
        <v>12</v>
      </c>
      <c r="B47" s="30" t="s">
        <v>13</v>
      </c>
      <c r="C47" s="30" t="s">
        <v>14</v>
      </c>
      <c r="D47" s="30" t="s">
        <v>31</v>
      </c>
      <c r="E47" s="30" t="s">
        <v>32</v>
      </c>
      <c r="F47" s="30" t="s">
        <v>33</v>
      </c>
      <c r="G47" s="37">
        <v>5250</v>
      </c>
      <c r="H47" s="33">
        <v>45675</v>
      </c>
      <c r="I47" s="32" t="s">
        <v>693</v>
      </c>
      <c r="J47" s="32" t="s">
        <v>118</v>
      </c>
      <c r="K47" s="34">
        <v>352408739</v>
      </c>
      <c r="L47" s="35" t="s">
        <v>705</v>
      </c>
    </row>
    <row r="48" spans="1:12" hidden="1" x14ac:dyDescent="0.25">
      <c r="A48" s="30" t="s">
        <v>12</v>
      </c>
      <c r="B48" s="30" t="s">
        <v>13</v>
      </c>
      <c r="C48" s="30" t="s">
        <v>14</v>
      </c>
      <c r="D48" s="30" t="s">
        <v>343</v>
      </c>
      <c r="E48" s="30" t="s">
        <v>344</v>
      </c>
      <c r="F48" s="30" t="s">
        <v>345</v>
      </c>
      <c r="G48" s="37">
        <v>500</v>
      </c>
      <c r="H48" s="33">
        <v>45675</v>
      </c>
      <c r="I48" s="32" t="s">
        <v>568</v>
      </c>
      <c r="J48" s="32" t="s">
        <v>187</v>
      </c>
      <c r="K48" s="36">
        <v>352408744</v>
      </c>
      <c r="L48" s="35" t="s">
        <v>706</v>
      </c>
    </row>
    <row r="49" spans="1:12" hidden="1" x14ac:dyDescent="0.25">
      <c r="A49" s="30" t="s">
        <v>12</v>
      </c>
      <c r="B49" s="30" t="s">
        <v>13</v>
      </c>
      <c r="C49" s="30" t="s">
        <v>14</v>
      </c>
      <c r="D49" s="30" t="s">
        <v>108</v>
      </c>
      <c r="E49" s="30" t="s">
        <v>109</v>
      </c>
      <c r="F49" s="30" t="s">
        <v>110</v>
      </c>
      <c r="G49" s="37">
        <v>500</v>
      </c>
      <c r="H49" s="33">
        <v>45675</v>
      </c>
      <c r="I49" s="32" t="s">
        <v>701</v>
      </c>
      <c r="J49" s="32" t="s">
        <v>68</v>
      </c>
      <c r="K49" s="34">
        <v>352408730</v>
      </c>
      <c r="L49" s="35" t="s">
        <v>707</v>
      </c>
    </row>
    <row r="50" spans="1:12" hidden="1" x14ac:dyDescent="0.25">
      <c r="A50" s="30" t="s">
        <v>12</v>
      </c>
      <c r="B50" s="30" t="s">
        <v>13</v>
      </c>
      <c r="C50" s="30" t="s">
        <v>14</v>
      </c>
      <c r="D50" s="30" t="s">
        <v>31</v>
      </c>
      <c r="E50" s="30" t="s">
        <v>32</v>
      </c>
      <c r="F50" s="30" t="s">
        <v>33</v>
      </c>
      <c r="G50" s="37">
        <v>5250</v>
      </c>
      <c r="H50" s="33">
        <v>45676</v>
      </c>
      <c r="I50" s="32" t="s">
        <v>693</v>
      </c>
      <c r="J50" s="32" t="s">
        <v>118</v>
      </c>
      <c r="K50" s="34">
        <v>352408795</v>
      </c>
      <c r="L50" s="35" t="s">
        <v>708</v>
      </c>
    </row>
    <row r="51" spans="1:12" hidden="1" x14ac:dyDescent="0.25">
      <c r="A51" s="30" t="s">
        <v>12</v>
      </c>
      <c r="B51" s="30" t="s">
        <v>13</v>
      </c>
      <c r="C51" s="30" t="s">
        <v>14</v>
      </c>
      <c r="D51" s="30" t="s">
        <v>48</v>
      </c>
      <c r="E51" s="30" t="s">
        <v>49</v>
      </c>
      <c r="F51" s="30" t="s">
        <v>50</v>
      </c>
      <c r="G51" s="32">
        <v>2000</v>
      </c>
      <c r="H51" s="33">
        <v>45676</v>
      </c>
      <c r="I51" s="32" t="s">
        <v>709</v>
      </c>
      <c r="J51" s="32" t="s">
        <v>79</v>
      </c>
      <c r="K51" s="34">
        <v>352408798</v>
      </c>
      <c r="L51" s="35" t="s">
        <v>710</v>
      </c>
    </row>
    <row r="52" spans="1:12" s="38" customFormat="1" hidden="1" x14ac:dyDescent="0.25">
      <c r="A52" s="36" t="s">
        <v>12</v>
      </c>
      <c r="B52" s="36" t="s">
        <v>13</v>
      </c>
      <c r="C52" s="36" t="s">
        <v>14</v>
      </c>
      <c r="D52" s="30" t="s">
        <v>376</v>
      </c>
      <c r="E52" s="39" t="s">
        <v>385</v>
      </c>
      <c r="F52" s="30" t="s">
        <v>33</v>
      </c>
      <c r="G52" s="37">
        <v>500</v>
      </c>
      <c r="H52" s="33">
        <v>45676</v>
      </c>
      <c r="I52" s="37" t="s">
        <v>635</v>
      </c>
      <c r="J52" s="37" t="s">
        <v>176</v>
      </c>
      <c r="K52" s="36">
        <v>352408763</v>
      </c>
      <c r="L52" s="35" t="s">
        <v>711</v>
      </c>
    </row>
    <row r="53" spans="1:12" s="38" customFormat="1" hidden="1" x14ac:dyDescent="0.25">
      <c r="A53" s="36" t="s">
        <v>12</v>
      </c>
      <c r="B53" s="36" t="s">
        <v>13</v>
      </c>
      <c r="C53" s="36" t="s">
        <v>14</v>
      </c>
      <c r="D53" s="36" t="s">
        <v>587</v>
      </c>
      <c r="E53" s="36" t="s">
        <v>588</v>
      </c>
      <c r="F53" s="36" t="s">
        <v>589</v>
      </c>
      <c r="G53" s="37">
        <v>500</v>
      </c>
      <c r="H53" s="33">
        <v>45676</v>
      </c>
      <c r="I53" s="37" t="s">
        <v>590</v>
      </c>
      <c r="J53" s="37" t="s">
        <v>123</v>
      </c>
      <c r="K53" s="36">
        <v>352408801</v>
      </c>
      <c r="L53" s="35" t="s">
        <v>712</v>
      </c>
    </row>
    <row r="54" spans="1:12" hidden="1" x14ac:dyDescent="0.25">
      <c r="A54" s="30" t="s">
        <v>12</v>
      </c>
      <c r="B54" s="30" t="s">
        <v>13</v>
      </c>
      <c r="C54" s="30" t="s">
        <v>14</v>
      </c>
      <c r="D54" s="30" t="s">
        <v>31</v>
      </c>
      <c r="E54" s="30" t="s">
        <v>32</v>
      </c>
      <c r="F54" s="30" t="s">
        <v>33</v>
      </c>
      <c r="G54" s="37">
        <v>7500</v>
      </c>
      <c r="H54" s="33">
        <v>45677</v>
      </c>
      <c r="I54" s="32" t="s">
        <v>693</v>
      </c>
      <c r="J54" s="32" t="s">
        <v>118</v>
      </c>
      <c r="K54" s="34">
        <v>352408825</v>
      </c>
      <c r="L54" s="35" t="s">
        <v>713</v>
      </c>
    </row>
    <row r="55" spans="1:12" hidden="1" x14ac:dyDescent="0.25">
      <c r="A55" s="30" t="s">
        <v>12</v>
      </c>
      <c r="B55" s="30" t="s">
        <v>13</v>
      </c>
      <c r="C55" s="30" t="s">
        <v>14</v>
      </c>
      <c r="D55" s="30" t="s">
        <v>144</v>
      </c>
      <c r="E55" s="39">
        <v>42542201947</v>
      </c>
      <c r="F55" s="30" t="s">
        <v>145</v>
      </c>
      <c r="G55" s="32">
        <v>2000</v>
      </c>
      <c r="H55" s="33">
        <v>45678</v>
      </c>
      <c r="I55" s="32" t="s">
        <v>652</v>
      </c>
      <c r="J55" s="32" t="s">
        <v>147</v>
      </c>
      <c r="K55" s="34">
        <v>352408849</v>
      </c>
      <c r="L55" s="35" t="s">
        <v>714</v>
      </c>
    </row>
    <row r="56" spans="1:12" hidden="1" x14ac:dyDescent="0.25">
      <c r="A56" s="30" t="s">
        <v>12</v>
      </c>
      <c r="B56" s="30" t="s">
        <v>13</v>
      </c>
      <c r="C56" s="30" t="s">
        <v>14</v>
      </c>
      <c r="D56" s="30" t="s">
        <v>31</v>
      </c>
      <c r="E56" s="30" t="s">
        <v>32</v>
      </c>
      <c r="F56" s="30" t="s">
        <v>33</v>
      </c>
      <c r="G56" s="32">
        <v>2000</v>
      </c>
      <c r="H56" s="33">
        <v>45678</v>
      </c>
      <c r="I56" s="32" t="s">
        <v>693</v>
      </c>
      <c r="J56" s="32" t="s">
        <v>118</v>
      </c>
      <c r="K56" s="34">
        <v>352408850</v>
      </c>
      <c r="L56" s="35" t="s">
        <v>714</v>
      </c>
    </row>
    <row r="57" spans="1:12" hidden="1" x14ac:dyDescent="0.25">
      <c r="A57" s="30" t="s">
        <v>12</v>
      </c>
      <c r="B57" s="30" t="s">
        <v>13</v>
      </c>
      <c r="C57" s="30" t="s">
        <v>14</v>
      </c>
      <c r="D57" s="30" t="s">
        <v>343</v>
      </c>
      <c r="E57" s="30" t="s">
        <v>344</v>
      </c>
      <c r="F57" s="30" t="s">
        <v>345</v>
      </c>
      <c r="G57" s="32">
        <v>2000</v>
      </c>
      <c r="H57" s="33">
        <v>45679</v>
      </c>
      <c r="I57" s="32" t="s">
        <v>689</v>
      </c>
      <c r="J57" s="32" t="s">
        <v>187</v>
      </c>
      <c r="K57" s="36"/>
      <c r="L57" s="35" t="s">
        <v>690</v>
      </c>
    </row>
    <row r="58" spans="1:12" hidden="1" x14ac:dyDescent="0.25">
      <c r="A58" s="30" t="s">
        <v>12</v>
      </c>
      <c r="B58" s="30" t="s">
        <v>13</v>
      </c>
      <c r="C58" s="30" t="s">
        <v>14</v>
      </c>
      <c r="D58" s="30" t="s">
        <v>257</v>
      </c>
      <c r="E58" s="39" t="s">
        <v>258</v>
      </c>
      <c r="F58" s="39" t="s">
        <v>33</v>
      </c>
      <c r="G58" s="32">
        <v>6000</v>
      </c>
      <c r="H58" s="33">
        <v>45679</v>
      </c>
      <c r="I58" s="32" t="s">
        <v>571</v>
      </c>
      <c r="J58" s="32" t="s">
        <v>59</v>
      </c>
      <c r="K58" s="35">
        <v>352408872</v>
      </c>
      <c r="L58" s="35" t="s">
        <v>715</v>
      </c>
    </row>
    <row r="59" spans="1:12" s="38" customFormat="1" hidden="1" x14ac:dyDescent="0.25">
      <c r="A59" s="36" t="s">
        <v>12</v>
      </c>
      <c r="B59" s="36" t="s">
        <v>13</v>
      </c>
      <c r="C59" s="36" t="s">
        <v>14</v>
      </c>
      <c r="D59" s="36" t="s">
        <v>591</v>
      </c>
      <c r="E59" s="36" t="s">
        <v>592</v>
      </c>
      <c r="F59" s="36" t="s">
        <v>110</v>
      </c>
      <c r="G59" s="32">
        <v>5250</v>
      </c>
      <c r="H59" s="33">
        <v>45681</v>
      </c>
      <c r="I59" s="37" t="s">
        <v>593</v>
      </c>
      <c r="J59" s="37" t="s">
        <v>76</v>
      </c>
      <c r="K59" s="36">
        <v>352408899</v>
      </c>
      <c r="L59" s="35" t="s">
        <v>716</v>
      </c>
    </row>
    <row r="60" spans="1:12" s="38" customFormat="1" hidden="1" x14ac:dyDescent="0.25">
      <c r="A60" s="36" t="s">
        <v>12</v>
      </c>
      <c r="B60" s="36" t="s">
        <v>13</v>
      </c>
      <c r="C60" s="36" t="s">
        <v>14</v>
      </c>
      <c r="D60" s="36" t="s">
        <v>587</v>
      </c>
      <c r="E60" s="36" t="s">
        <v>588</v>
      </c>
      <c r="F60" s="36" t="s">
        <v>589</v>
      </c>
      <c r="G60" s="37">
        <v>500</v>
      </c>
      <c r="H60" s="33">
        <v>45681</v>
      </c>
      <c r="I60" s="37" t="s">
        <v>590</v>
      </c>
      <c r="J60" s="37" t="s">
        <v>123</v>
      </c>
      <c r="K60" s="36">
        <v>352408900</v>
      </c>
      <c r="L60" s="35" t="s">
        <v>717</v>
      </c>
    </row>
    <row r="61" spans="1:12" s="38" customFormat="1" hidden="1" x14ac:dyDescent="0.25">
      <c r="A61" s="36" t="s">
        <v>12</v>
      </c>
      <c r="B61" s="36" t="s">
        <v>13</v>
      </c>
      <c r="C61" s="36" t="s">
        <v>14</v>
      </c>
      <c r="D61" s="36" t="s">
        <v>587</v>
      </c>
      <c r="E61" s="36" t="s">
        <v>588</v>
      </c>
      <c r="F61" s="36" t="s">
        <v>589</v>
      </c>
      <c r="G61" s="37">
        <v>500</v>
      </c>
      <c r="H61" s="33">
        <v>45682</v>
      </c>
      <c r="I61" s="37" t="s">
        <v>590</v>
      </c>
      <c r="J61" s="37" t="s">
        <v>123</v>
      </c>
      <c r="K61" s="36">
        <v>352408900</v>
      </c>
      <c r="L61" s="35" t="s">
        <v>718</v>
      </c>
    </row>
    <row r="62" spans="1:12" hidden="1" x14ac:dyDescent="0.25">
      <c r="A62" s="30" t="s">
        <v>12</v>
      </c>
      <c r="B62" s="30" t="s">
        <v>13</v>
      </c>
      <c r="C62" s="30" t="s">
        <v>14</v>
      </c>
      <c r="D62" s="36" t="s">
        <v>193</v>
      </c>
      <c r="E62" s="36" t="s">
        <v>194</v>
      </c>
      <c r="F62" s="36" t="s">
        <v>195</v>
      </c>
      <c r="G62" s="32">
        <v>5250</v>
      </c>
      <c r="H62" s="33">
        <v>45682</v>
      </c>
      <c r="I62" s="32" t="s">
        <v>572</v>
      </c>
      <c r="J62" s="32" t="s">
        <v>34</v>
      </c>
      <c r="K62" s="34">
        <v>352408914</v>
      </c>
      <c r="L62" s="35" t="s">
        <v>719</v>
      </c>
    </row>
    <row r="63" spans="1:12" hidden="1" x14ac:dyDescent="0.25">
      <c r="A63" s="30" t="s">
        <v>12</v>
      </c>
      <c r="B63" s="30" t="s">
        <v>13</v>
      </c>
      <c r="C63" s="30" t="s">
        <v>14</v>
      </c>
      <c r="D63" s="30" t="s">
        <v>152</v>
      </c>
      <c r="E63" s="30" t="s">
        <v>153</v>
      </c>
      <c r="F63" s="30" t="s">
        <v>154</v>
      </c>
      <c r="G63" s="37">
        <v>5250</v>
      </c>
      <c r="H63" s="33">
        <v>45682</v>
      </c>
      <c r="I63" s="32" t="s">
        <v>573</v>
      </c>
      <c r="J63" s="32" t="s">
        <v>84</v>
      </c>
      <c r="K63" s="34">
        <v>352408889</v>
      </c>
      <c r="L63" s="35" t="s">
        <v>719</v>
      </c>
    </row>
    <row r="64" spans="1:12" s="38" customFormat="1" hidden="1" x14ac:dyDescent="0.25">
      <c r="A64" s="36" t="s">
        <v>12</v>
      </c>
      <c r="B64" s="36" t="s">
        <v>13</v>
      </c>
      <c r="C64" s="36" t="s">
        <v>14</v>
      </c>
      <c r="D64" s="36" t="s">
        <v>591</v>
      </c>
      <c r="E64" s="36" t="s">
        <v>592</v>
      </c>
      <c r="F64" s="36" t="s">
        <v>110</v>
      </c>
      <c r="G64" s="32">
        <v>5250</v>
      </c>
      <c r="H64" s="33">
        <v>45682</v>
      </c>
      <c r="I64" s="37" t="s">
        <v>593</v>
      </c>
      <c r="J64" s="37" t="s">
        <v>76</v>
      </c>
      <c r="K64" s="34">
        <v>352408915</v>
      </c>
      <c r="L64" s="35" t="s">
        <v>720</v>
      </c>
    </row>
    <row r="65" spans="1:12" hidden="1" x14ac:dyDescent="0.25">
      <c r="A65" s="30" t="s">
        <v>12</v>
      </c>
      <c r="B65" s="30" t="s">
        <v>13</v>
      </c>
      <c r="C65" s="30" t="s">
        <v>14</v>
      </c>
      <c r="D65" s="30" t="s">
        <v>343</v>
      </c>
      <c r="E65" s="30" t="s">
        <v>344</v>
      </c>
      <c r="F65" s="30" t="s">
        <v>345</v>
      </c>
      <c r="G65" s="32">
        <v>500</v>
      </c>
      <c r="H65" s="33">
        <v>45682</v>
      </c>
      <c r="I65" s="32" t="s">
        <v>568</v>
      </c>
      <c r="J65" s="32" t="s">
        <v>187</v>
      </c>
      <c r="K65" s="36">
        <v>352408744</v>
      </c>
      <c r="L65" s="35" t="s">
        <v>723</v>
      </c>
    </row>
    <row r="66" spans="1:12" hidden="1" x14ac:dyDescent="0.25">
      <c r="A66" s="30" t="s">
        <v>12</v>
      </c>
      <c r="B66" s="30" t="s">
        <v>13</v>
      </c>
      <c r="C66" s="30" t="s">
        <v>14</v>
      </c>
      <c r="D66" s="30" t="s">
        <v>695</v>
      </c>
      <c r="E66" s="30" t="s">
        <v>696</v>
      </c>
      <c r="F66" s="30" t="s">
        <v>697</v>
      </c>
      <c r="G66" s="37">
        <v>500</v>
      </c>
      <c r="H66" s="33">
        <v>45682</v>
      </c>
      <c r="I66" s="37" t="s">
        <v>566</v>
      </c>
      <c r="J66" s="37" t="s">
        <v>156</v>
      </c>
      <c r="K66" s="36">
        <v>352408794</v>
      </c>
      <c r="L66" s="35" t="s">
        <v>724</v>
      </c>
    </row>
    <row r="67" spans="1:12" s="38" customFormat="1" hidden="1" x14ac:dyDescent="0.25">
      <c r="A67" s="36" t="s">
        <v>12</v>
      </c>
      <c r="B67" s="36" t="s">
        <v>13</v>
      </c>
      <c r="C67" s="36" t="s">
        <v>14</v>
      </c>
      <c r="D67" s="30" t="s">
        <v>376</v>
      </c>
      <c r="E67" s="39" t="s">
        <v>385</v>
      </c>
      <c r="F67" s="30" t="s">
        <v>33</v>
      </c>
      <c r="G67" s="37">
        <v>500</v>
      </c>
      <c r="H67" s="33">
        <v>45682</v>
      </c>
      <c r="I67" s="37" t="s">
        <v>635</v>
      </c>
      <c r="J67" s="37" t="s">
        <v>176</v>
      </c>
      <c r="K67" s="36">
        <v>352408851</v>
      </c>
      <c r="L67" s="35" t="s">
        <v>721</v>
      </c>
    </row>
    <row r="68" spans="1:12" s="38" customFormat="1" hidden="1" x14ac:dyDescent="0.25">
      <c r="A68" s="36" t="s">
        <v>12</v>
      </c>
      <c r="B68" s="36" t="s">
        <v>13</v>
      </c>
      <c r="C68" s="36" t="s">
        <v>14</v>
      </c>
      <c r="D68" s="30" t="s">
        <v>376</v>
      </c>
      <c r="E68" s="39" t="s">
        <v>385</v>
      </c>
      <c r="F68" s="30" t="s">
        <v>33</v>
      </c>
      <c r="G68" s="37">
        <v>500</v>
      </c>
      <c r="H68" s="33">
        <v>45682</v>
      </c>
      <c r="I68" s="37" t="s">
        <v>635</v>
      </c>
      <c r="J68" s="37" t="s">
        <v>176</v>
      </c>
      <c r="K68" s="36">
        <v>352408904</v>
      </c>
      <c r="L68" s="35" t="s">
        <v>722</v>
      </c>
    </row>
    <row r="69" spans="1:12" s="38" customFormat="1" hidden="1" x14ac:dyDescent="0.25">
      <c r="A69" s="36" t="s">
        <v>12</v>
      </c>
      <c r="B69" s="36" t="s">
        <v>13</v>
      </c>
      <c r="C69" s="36" t="s">
        <v>14</v>
      </c>
      <c r="D69" s="36" t="s">
        <v>587</v>
      </c>
      <c r="E69" s="36" t="s">
        <v>588</v>
      </c>
      <c r="F69" s="36" t="s">
        <v>589</v>
      </c>
      <c r="G69" s="37">
        <v>500</v>
      </c>
      <c r="H69" s="33">
        <v>45683</v>
      </c>
      <c r="I69" s="37" t="s">
        <v>590</v>
      </c>
      <c r="J69" s="37" t="s">
        <v>123</v>
      </c>
      <c r="K69" s="36">
        <v>352408969</v>
      </c>
      <c r="L69" s="35" t="s">
        <v>725</v>
      </c>
    </row>
    <row r="70" spans="1:12" hidden="1" x14ac:dyDescent="0.25">
      <c r="A70" s="30" t="s">
        <v>12</v>
      </c>
      <c r="B70" s="30" t="s">
        <v>13</v>
      </c>
      <c r="C70" s="30" t="s">
        <v>14</v>
      </c>
      <c r="D70" s="30" t="s">
        <v>152</v>
      </c>
      <c r="E70" s="30" t="s">
        <v>153</v>
      </c>
      <c r="F70" s="30" t="s">
        <v>154</v>
      </c>
      <c r="G70" s="37">
        <v>5250</v>
      </c>
      <c r="H70" s="33">
        <v>45683</v>
      </c>
      <c r="I70" s="32" t="s">
        <v>573</v>
      </c>
      <c r="J70" s="32" t="s">
        <v>84</v>
      </c>
      <c r="K70" s="34">
        <v>352408970</v>
      </c>
      <c r="L70" s="35" t="s">
        <v>720</v>
      </c>
    </row>
    <row r="71" spans="1:12" hidden="1" x14ac:dyDescent="0.25">
      <c r="A71" s="30" t="s">
        <v>12</v>
      </c>
      <c r="B71" s="30" t="s">
        <v>13</v>
      </c>
      <c r="C71" s="30" t="s">
        <v>14</v>
      </c>
      <c r="D71" s="36" t="s">
        <v>193</v>
      </c>
      <c r="E71" s="36" t="s">
        <v>194</v>
      </c>
      <c r="F71" s="36" t="s">
        <v>195</v>
      </c>
      <c r="G71" s="32">
        <v>5250</v>
      </c>
      <c r="H71" s="33">
        <v>45683</v>
      </c>
      <c r="I71" s="32" t="s">
        <v>572</v>
      </c>
      <c r="J71" s="32" t="s">
        <v>34</v>
      </c>
      <c r="K71" s="34">
        <v>352408972</v>
      </c>
      <c r="L71" s="35" t="s">
        <v>720</v>
      </c>
    </row>
    <row r="72" spans="1:12" hidden="1" x14ac:dyDescent="0.25">
      <c r="A72" s="30" t="s">
        <v>12</v>
      </c>
      <c r="B72" s="30" t="s">
        <v>13</v>
      </c>
      <c r="C72" s="30" t="s">
        <v>14</v>
      </c>
      <c r="D72" s="32" t="s">
        <v>149</v>
      </c>
      <c r="E72" s="40">
        <v>50100624324501</v>
      </c>
      <c r="F72" s="32" t="s">
        <v>150</v>
      </c>
      <c r="G72" s="32">
        <v>5250</v>
      </c>
      <c r="H72" s="33">
        <v>45683</v>
      </c>
      <c r="I72" s="32" t="s">
        <v>567</v>
      </c>
      <c r="J72" s="32" t="s">
        <v>29</v>
      </c>
      <c r="K72" s="36">
        <v>352408973</v>
      </c>
      <c r="L72" s="35" t="s">
        <v>720</v>
      </c>
    </row>
    <row r="73" spans="1:12" hidden="1" x14ac:dyDescent="0.25">
      <c r="A73" s="30" t="s">
        <v>12</v>
      </c>
      <c r="B73" s="30" t="s">
        <v>13</v>
      </c>
      <c r="C73" s="30" t="s">
        <v>14</v>
      </c>
      <c r="D73" s="30" t="s">
        <v>695</v>
      </c>
      <c r="E73" s="30" t="s">
        <v>696</v>
      </c>
      <c r="F73" s="30" t="s">
        <v>697</v>
      </c>
      <c r="G73" s="37">
        <v>500</v>
      </c>
      <c r="H73" s="33">
        <v>45683</v>
      </c>
      <c r="I73" s="37" t="s">
        <v>566</v>
      </c>
      <c r="J73" s="37" t="s">
        <v>156</v>
      </c>
      <c r="K73" s="36">
        <v>352408974</v>
      </c>
      <c r="L73" s="35" t="s">
        <v>725</v>
      </c>
    </row>
    <row r="74" spans="1:12" hidden="1" x14ac:dyDescent="0.25">
      <c r="A74" s="30" t="s">
        <v>12</v>
      </c>
      <c r="B74" s="30" t="s">
        <v>13</v>
      </c>
      <c r="C74" s="30" t="s">
        <v>14</v>
      </c>
      <c r="D74" s="30" t="s">
        <v>144</v>
      </c>
      <c r="E74" s="39">
        <v>42542201947</v>
      </c>
      <c r="F74" s="30" t="s">
        <v>145</v>
      </c>
      <c r="G74" s="32">
        <v>6000</v>
      </c>
      <c r="H74" s="33">
        <v>45683</v>
      </c>
      <c r="I74" s="32" t="s">
        <v>652</v>
      </c>
      <c r="J74" s="32" t="s">
        <v>147</v>
      </c>
      <c r="K74" s="34">
        <v>352408944</v>
      </c>
      <c r="L74" s="35" t="s">
        <v>726</v>
      </c>
    </row>
    <row r="75" spans="1:12" hidden="1" x14ac:dyDescent="0.25">
      <c r="A75" s="30" t="s">
        <v>12</v>
      </c>
      <c r="B75" s="30" t="s">
        <v>13</v>
      </c>
      <c r="C75" s="30" t="s">
        <v>14</v>
      </c>
      <c r="D75" s="30" t="s">
        <v>343</v>
      </c>
      <c r="E75" s="30" t="s">
        <v>344</v>
      </c>
      <c r="F75" s="30" t="s">
        <v>345</v>
      </c>
      <c r="G75" s="32">
        <v>500</v>
      </c>
      <c r="H75" s="33">
        <v>45684</v>
      </c>
      <c r="I75" s="32" t="s">
        <v>568</v>
      </c>
      <c r="J75" s="32" t="s">
        <v>187</v>
      </c>
      <c r="K75" s="36">
        <v>352408991</v>
      </c>
      <c r="L75" s="35" t="s">
        <v>727</v>
      </c>
    </row>
    <row r="76" spans="1:12" hidden="1" x14ac:dyDescent="0.25">
      <c r="A76" s="30" t="s">
        <v>12</v>
      </c>
      <c r="B76" s="30" t="s">
        <v>13</v>
      </c>
      <c r="C76" s="30" t="s">
        <v>14</v>
      </c>
      <c r="D76" s="30" t="s">
        <v>144</v>
      </c>
      <c r="E76" s="39">
        <v>42542201947</v>
      </c>
      <c r="F76" s="30" t="s">
        <v>145</v>
      </c>
      <c r="G76" s="32">
        <v>6200</v>
      </c>
      <c r="H76" s="33">
        <v>45684</v>
      </c>
      <c r="I76" s="32" t="s">
        <v>652</v>
      </c>
      <c r="J76" s="32" t="s">
        <v>147</v>
      </c>
      <c r="K76" s="34">
        <v>352408984</v>
      </c>
      <c r="L76" s="35" t="s">
        <v>728</v>
      </c>
    </row>
    <row r="77" spans="1:12" hidden="1" x14ac:dyDescent="0.25">
      <c r="A77" s="30" t="s">
        <v>12</v>
      </c>
      <c r="B77" s="30" t="s">
        <v>13</v>
      </c>
      <c r="C77" s="30" t="s">
        <v>14</v>
      </c>
      <c r="D77" s="30" t="s">
        <v>31</v>
      </c>
      <c r="E77" s="30" t="s">
        <v>32</v>
      </c>
      <c r="F77" s="30" t="s">
        <v>33</v>
      </c>
      <c r="G77" s="32">
        <v>6000</v>
      </c>
      <c r="H77" s="33">
        <v>45684</v>
      </c>
      <c r="I77" s="32" t="s">
        <v>693</v>
      </c>
      <c r="J77" s="32" t="s">
        <v>118</v>
      </c>
      <c r="K77" s="34">
        <v>352408995</v>
      </c>
      <c r="L77" s="35" t="s">
        <v>728</v>
      </c>
    </row>
    <row r="78" spans="1:12" hidden="1" x14ac:dyDescent="0.25">
      <c r="A78" s="30" t="s">
        <v>12</v>
      </c>
      <c r="B78" s="30" t="s">
        <v>13</v>
      </c>
      <c r="C78" s="30" t="s">
        <v>14</v>
      </c>
      <c r="D78" s="30" t="s">
        <v>48</v>
      </c>
      <c r="E78" s="30" t="s">
        <v>49</v>
      </c>
      <c r="F78" s="30" t="s">
        <v>50</v>
      </c>
      <c r="G78" s="32">
        <v>5250</v>
      </c>
      <c r="H78" s="33">
        <v>45685</v>
      </c>
      <c r="I78" s="32" t="s">
        <v>681</v>
      </c>
      <c r="J78" s="32" t="s">
        <v>52</v>
      </c>
      <c r="K78" s="34">
        <v>352409012</v>
      </c>
      <c r="L78" s="35" t="s">
        <v>729</v>
      </c>
    </row>
    <row r="79" spans="1:12" hidden="1" x14ac:dyDescent="0.25">
      <c r="A79" s="30" t="s">
        <v>12</v>
      </c>
      <c r="B79" s="30" t="s">
        <v>13</v>
      </c>
      <c r="C79" s="30" t="s">
        <v>14</v>
      </c>
      <c r="D79" s="30" t="s">
        <v>343</v>
      </c>
      <c r="E79" s="30" t="s">
        <v>344</v>
      </c>
      <c r="F79" s="30" t="s">
        <v>345</v>
      </c>
      <c r="G79" s="32">
        <v>500</v>
      </c>
      <c r="H79" s="33">
        <v>45686</v>
      </c>
      <c r="I79" s="32" t="s">
        <v>568</v>
      </c>
      <c r="J79" s="32" t="s">
        <v>187</v>
      </c>
      <c r="K79" s="36">
        <v>352409047</v>
      </c>
      <c r="L79" s="35" t="s">
        <v>730</v>
      </c>
    </row>
    <row r="80" spans="1:12" hidden="1" x14ac:dyDescent="0.25">
      <c r="A80" s="30" t="s">
        <v>12</v>
      </c>
      <c r="B80" s="30" t="s">
        <v>13</v>
      </c>
      <c r="C80" s="30" t="s">
        <v>14</v>
      </c>
      <c r="D80" s="30" t="s">
        <v>31</v>
      </c>
      <c r="E80" s="30" t="s">
        <v>32</v>
      </c>
      <c r="F80" s="30" t="s">
        <v>33</v>
      </c>
      <c r="G80" s="32">
        <v>6200</v>
      </c>
      <c r="H80" s="33">
        <v>45687</v>
      </c>
      <c r="I80" s="32" t="s">
        <v>693</v>
      </c>
      <c r="J80" s="32" t="s">
        <v>118</v>
      </c>
      <c r="K80" s="34">
        <v>352409056</v>
      </c>
      <c r="L80" s="35" t="s">
        <v>731</v>
      </c>
    </row>
    <row r="81" spans="1:12" hidden="1" x14ac:dyDescent="0.25">
      <c r="A81" s="30" t="s">
        <v>12</v>
      </c>
      <c r="B81" s="30" t="s">
        <v>13</v>
      </c>
      <c r="C81" s="30" t="s">
        <v>14</v>
      </c>
      <c r="D81" s="30" t="s">
        <v>435</v>
      </c>
      <c r="E81" s="39">
        <v>31095925572</v>
      </c>
      <c r="F81" s="36" t="s">
        <v>33</v>
      </c>
      <c r="G81" s="32">
        <v>1500</v>
      </c>
      <c r="H81" s="33">
        <v>45687</v>
      </c>
      <c r="I81" s="32" t="s">
        <v>578</v>
      </c>
      <c r="J81" s="32" t="s">
        <v>126</v>
      </c>
      <c r="K81" s="34">
        <v>352409100</v>
      </c>
      <c r="L81" s="35" t="s">
        <v>732</v>
      </c>
    </row>
    <row r="82" spans="1:12" hidden="1" x14ac:dyDescent="0.25">
      <c r="A82" s="30" t="s">
        <v>12</v>
      </c>
      <c r="B82" s="30" t="s">
        <v>13</v>
      </c>
      <c r="C82" s="30" t="s">
        <v>14</v>
      </c>
      <c r="D82" s="30" t="s">
        <v>734</v>
      </c>
      <c r="E82" s="30" t="s">
        <v>735</v>
      </c>
      <c r="F82" s="30" t="s">
        <v>736</v>
      </c>
      <c r="G82" s="37">
        <v>200</v>
      </c>
      <c r="H82" s="33">
        <v>45689</v>
      </c>
      <c r="I82" s="37" t="s">
        <v>566</v>
      </c>
      <c r="J82" s="37" t="s">
        <v>156</v>
      </c>
      <c r="K82" s="36">
        <v>352409129</v>
      </c>
      <c r="L82" s="35" t="s">
        <v>733</v>
      </c>
    </row>
    <row r="83" spans="1:12" s="38" customFormat="1" hidden="1" x14ac:dyDescent="0.25">
      <c r="A83" s="36" t="s">
        <v>12</v>
      </c>
      <c r="B83" s="36" t="s">
        <v>13</v>
      </c>
      <c r="C83" s="36" t="s">
        <v>14</v>
      </c>
      <c r="D83" s="30" t="s">
        <v>376</v>
      </c>
      <c r="E83" s="39" t="s">
        <v>385</v>
      </c>
      <c r="F83" s="30" t="s">
        <v>33</v>
      </c>
      <c r="G83" s="37">
        <v>200</v>
      </c>
      <c r="H83" s="33">
        <v>45689</v>
      </c>
      <c r="I83" s="37" t="s">
        <v>635</v>
      </c>
      <c r="J83" s="37" t="s">
        <v>176</v>
      </c>
      <c r="K83" s="36">
        <v>352409130</v>
      </c>
      <c r="L83" s="35" t="s">
        <v>733</v>
      </c>
    </row>
    <row r="84" spans="1:12" s="38" customFormat="1" hidden="1" x14ac:dyDescent="0.25">
      <c r="A84" s="36" t="s">
        <v>12</v>
      </c>
      <c r="B84" s="36" t="s">
        <v>13</v>
      </c>
      <c r="C84" s="36" t="s">
        <v>14</v>
      </c>
      <c r="D84" s="36" t="s">
        <v>587</v>
      </c>
      <c r="E84" s="36" t="s">
        <v>588</v>
      </c>
      <c r="F84" s="36" t="s">
        <v>589</v>
      </c>
      <c r="G84" s="37">
        <v>200</v>
      </c>
      <c r="H84" s="33">
        <v>45689</v>
      </c>
      <c r="I84" s="37" t="s">
        <v>590</v>
      </c>
      <c r="J84" s="37" t="s">
        <v>123</v>
      </c>
      <c r="K84" s="36">
        <v>352409131</v>
      </c>
      <c r="L84" s="35" t="s">
        <v>733</v>
      </c>
    </row>
    <row r="85" spans="1:12" hidden="1" x14ac:dyDescent="0.25">
      <c r="A85" s="30" t="s">
        <v>12</v>
      </c>
      <c r="B85" s="30" t="s">
        <v>13</v>
      </c>
      <c r="C85" s="30" t="s">
        <v>14</v>
      </c>
      <c r="D85" s="30" t="s">
        <v>152</v>
      </c>
      <c r="E85" s="30" t="s">
        <v>153</v>
      </c>
      <c r="F85" s="30" t="s">
        <v>154</v>
      </c>
      <c r="G85" s="37">
        <v>4750</v>
      </c>
      <c r="H85" s="33">
        <v>45689</v>
      </c>
      <c r="I85" s="32" t="s">
        <v>573</v>
      </c>
      <c r="J85" s="32" t="s">
        <v>84</v>
      </c>
      <c r="K85" s="34">
        <v>352409163</v>
      </c>
      <c r="L85" s="35" t="s">
        <v>737</v>
      </c>
    </row>
    <row r="86" spans="1:12" hidden="1" x14ac:dyDescent="0.25">
      <c r="A86" s="30" t="s">
        <v>12</v>
      </c>
      <c r="B86" s="30" t="s">
        <v>13</v>
      </c>
      <c r="C86" s="30" t="s">
        <v>14</v>
      </c>
      <c r="D86" s="30" t="s">
        <v>48</v>
      </c>
      <c r="E86" s="30" t="s">
        <v>49</v>
      </c>
      <c r="F86" s="30" t="s">
        <v>50</v>
      </c>
      <c r="G86" s="32">
        <v>5250</v>
      </c>
      <c r="H86" s="33">
        <v>45689</v>
      </c>
      <c r="I86" s="32" t="s">
        <v>681</v>
      </c>
      <c r="J86" s="32" t="s">
        <v>52</v>
      </c>
      <c r="K86" s="34">
        <v>352409164</v>
      </c>
      <c r="L86" s="35" t="s">
        <v>738</v>
      </c>
    </row>
    <row r="87" spans="1:12" hidden="1" x14ac:dyDescent="0.25">
      <c r="A87" s="30" t="s">
        <v>12</v>
      </c>
      <c r="B87" s="30" t="s">
        <v>13</v>
      </c>
      <c r="C87" s="30" t="s">
        <v>14</v>
      </c>
      <c r="D87" s="32" t="s">
        <v>149</v>
      </c>
      <c r="E87" s="40">
        <v>50100624324501</v>
      </c>
      <c r="F87" s="32" t="s">
        <v>150</v>
      </c>
      <c r="G87" s="32">
        <v>5250</v>
      </c>
      <c r="H87" s="33">
        <v>45689</v>
      </c>
      <c r="I87" s="32" t="s">
        <v>567</v>
      </c>
      <c r="J87" s="32" t="s">
        <v>29</v>
      </c>
      <c r="K87" s="36">
        <v>352409165</v>
      </c>
      <c r="L87" s="35" t="s">
        <v>738</v>
      </c>
    </row>
    <row r="88" spans="1:12" s="38" customFormat="1" hidden="1" x14ac:dyDescent="0.25">
      <c r="A88" s="36" t="s">
        <v>12</v>
      </c>
      <c r="B88" s="36" t="s">
        <v>13</v>
      </c>
      <c r="C88" s="36" t="s">
        <v>14</v>
      </c>
      <c r="D88" s="36" t="s">
        <v>591</v>
      </c>
      <c r="E88" s="36" t="s">
        <v>592</v>
      </c>
      <c r="F88" s="36" t="s">
        <v>110</v>
      </c>
      <c r="G88" s="32">
        <v>5250</v>
      </c>
      <c r="H88" s="33">
        <v>45689</v>
      </c>
      <c r="I88" s="37" t="s">
        <v>593</v>
      </c>
      <c r="J88" s="37" t="s">
        <v>76</v>
      </c>
      <c r="K88" s="34">
        <v>352409166</v>
      </c>
      <c r="L88" s="35" t="s">
        <v>738</v>
      </c>
    </row>
    <row r="89" spans="1:12" hidden="1" x14ac:dyDescent="0.25">
      <c r="A89" s="30" t="s">
        <v>12</v>
      </c>
      <c r="B89" s="30" t="s">
        <v>13</v>
      </c>
      <c r="C89" s="30" t="s">
        <v>14</v>
      </c>
      <c r="D89" s="30" t="s">
        <v>343</v>
      </c>
      <c r="E89" s="30" t="s">
        <v>344</v>
      </c>
      <c r="F89" s="30" t="s">
        <v>345</v>
      </c>
      <c r="G89" s="32">
        <v>500</v>
      </c>
      <c r="H89" s="33">
        <v>45691</v>
      </c>
      <c r="I89" s="32" t="s">
        <v>568</v>
      </c>
      <c r="J89" s="32" t="s">
        <v>187</v>
      </c>
      <c r="K89" s="36">
        <v>352409187</v>
      </c>
      <c r="L89" s="35" t="s">
        <v>739</v>
      </c>
    </row>
    <row r="90" spans="1:12" hidden="1" x14ac:dyDescent="0.25">
      <c r="A90" s="30" t="s">
        <v>12</v>
      </c>
      <c r="B90" s="30" t="s">
        <v>13</v>
      </c>
      <c r="C90" s="30" t="s">
        <v>14</v>
      </c>
      <c r="D90" s="30" t="s">
        <v>31</v>
      </c>
      <c r="E90" s="30" t="s">
        <v>32</v>
      </c>
      <c r="F90" s="30" t="s">
        <v>33</v>
      </c>
      <c r="G90" s="32">
        <v>1500</v>
      </c>
      <c r="H90" s="33">
        <v>45691</v>
      </c>
      <c r="I90" s="32" t="s">
        <v>693</v>
      </c>
      <c r="J90" s="32" t="s">
        <v>118</v>
      </c>
      <c r="K90" s="34">
        <v>352409188</v>
      </c>
      <c r="L90" s="35" t="s">
        <v>740</v>
      </c>
    </row>
    <row r="91" spans="1:12" hidden="1" x14ac:dyDescent="0.25">
      <c r="A91" s="30" t="s">
        <v>12</v>
      </c>
      <c r="B91" s="30" t="s">
        <v>13</v>
      </c>
      <c r="C91" s="30" t="s">
        <v>14</v>
      </c>
      <c r="D91" s="30" t="s">
        <v>55</v>
      </c>
      <c r="E91" s="41">
        <v>57880100000238</v>
      </c>
      <c r="F91" s="30" t="s">
        <v>57</v>
      </c>
      <c r="G91" s="32">
        <v>4500</v>
      </c>
      <c r="H91" s="33">
        <v>45691</v>
      </c>
      <c r="I91" s="32" t="s">
        <v>741</v>
      </c>
      <c r="J91" s="32" t="s">
        <v>22</v>
      </c>
      <c r="K91" s="34">
        <v>352409200</v>
      </c>
      <c r="L91" s="35" t="s">
        <v>742</v>
      </c>
    </row>
    <row r="92" spans="1:12" s="38" customFormat="1" hidden="1" x14ac:dyDescent="0.25">
      <c r="A92" s="36" t="s">
        <v>12</v>
      </c>
      <c r="B92" s="36" t="s">
        <v>13</v>
      </c>
      <c r="C92" s="36" t="s">
        <v>14</v>
      </c>
      <c r="D92" s="36" t="s">
        <v>591</v>
      </c>
      <c r="E92" s="36" t="s">
        <v>592</v>
      </c>
      <c r="F92" s="36" t="s">
        <v>110</v>
      </c>
      <c r="G92" s="32">
        <v>5000</v>
      </c>
      <c r="H92" s="33">
        <v>45692</v>
      </c>
      <c r="I92" s="37" t="s">
        <v>593</v>
      </c>
      <c r="J92" s="37" t="s">
        <v>76</v>
      </c>
      <c r="K92" s="34">
        <v>352409166</v>
      </c>
      <c r="L92" s="35" t="s">
        <v>743</v>
      </c>
    </row>
    <row r="93" spans="1:12" hidden="1" x14ac:dyDescent="0.25">
      <c r="A93" s="30" t="s">
        <v>12</v>
      </c>
      <c r="B93" s="30" t="s">
        <v>13</v>
      </c>
      <c r="C93" s="30" t="s">
        <v>14</v>
      </c>
      <c r="D93" s="32" t="s">
        <v>149</v>
      </c>
      <c r="E93" s="40">
        <v>50100624324501</v>
      </c>
      <c r="F93" s="32" t="s">
        <v>150</v>
      </c>
      <c r="G93" s="32">
        <v>5250</v>
      </c>
      <c r="H93" s="33">
        <v>45692</v>
      </c>
      <c r="I93" s="32" t="s">
        <v>567</v>
      </c>
      <c r="J93" s="32" t="s">
        <v>29</v>
      </c>
      <c r="K93" s="36">
        <v>352409165</v>
      </c>
      <c r="L93" s="35" t="s">
        <v>744</v>
      </c>
    </row>
    <row r="94" spans="1:12" hidden="1" x14ac:dyDescent="0.25">
      <c r="A94" s="30" t="s">
        <v>12</v>
      </c>
      <c r="B94" s="30" t="s">
        <v>13</v>
      </c>
      <c r="C94" s="30" t="s">
        <v>14</v>
      </c>
      <c r="D94" s="30" t="s">
        <v>48</v>
      </c>
      <c r="E94" s="30" t="s">
        <v>49</v>
      </c>
      <c r="F94" s="30" t="s">
        <v>50</v>
      </c>
      <c r="G94" s="32">
        <v>5250</v>
      </c>
      <c r="H94" s="33">
        <v>45692</v>
      </c>
      <c r="I94" s="32" t="s">
        <v>681</v>
      </c>
      <c r="J94" s="32" t="s">
        <v>52</v>
      </c>
      <c r="K94" s="34">
        <v>352409164</v>
      </c>
      <c r="L94" s="35" t="s">
        <v>744</v>
      </c>
    </row>
    <row r="95" spans="1:12" hidden="1" x14ac:dyDescent="0.25">
      <c r="A95" s="30" t="s">
        <v>12</v>
      </c>
      <c r="B95" s="30" t="s">
        <v>13</v>
      </c>
      <c r="C95" s="30" t="s">
        <v>14</v>
      </c>
      <c r="D95" s="30" t="s">
        <v>152</v>
      </c>
      <c r="E95" s="30" t="s">
        <v>153</v>
      </c>
      <c r="F95" s="30" t="s">
        <v>154</v>
      </c>
      <c r="G95" s="37">
        <v>3750</v>
      </c>
      <c r="H95" s="33">
        <v>45692</v>
      </c>
      <c r="I95" s="32" t="s">
        <v>573</v>
      </c>
      <c r="J95" s="32" t="s">
        <v>84</v>
      </c>
      <c r="K95" s="34">
        <v>352409163</v>
      </c>
      <c r="L95" s="35" t="s">
        <v>744</v>
      </c>
    </row>
    <row r="96" spans="1:12" hidden="1" x14ac:dyDescent="0.25">
      <c r="A96" s="30" t="s">
        <v>12</v>
      </c>
      <c r="B96" s="30" t="s">
        <v>13</v>
      </c>
      <c r="C96" s="30" t="s">
        <v>14</v>
      </c>
      <c r="D96" s="30" t="s">
        <v>343</v>
      </c>
      <c r="E96" s="30" t="s">
        <v>344</v>
      </c>
      <c r="F96" s="30" t="s">
        <v>345</v>
      </c>
      <c r="G96" s="32">
        <v>500</v>
      </c>
      <c r="H96" s="33">
        <v>45693</v>
      </c>
      <c r="I96" s="32" t="s">
        <v>568</v>
      </c>
      <c r="J96" s="32" t="s">
        <v>187</v>
      </c>
      <c r="K96" s="36">
        <v>352409264</v>
      </c>
      <c r="L96" s="35" t="s">
        <v>745</v>
      </c>
    </row>
    <row r="97" spans="1:12" hidden="1" x14ac:dyDescent="0.25">
      <c r="A97" s="30" t="s">
        <v>12</v>
      </c>
      <c r="B97" s="30" t="s">
        <v>13</v>
      </c>
      <c r="C97" s="30" t="s">
        <v>14</v>
      </c>
      <c r="D97" s="30" t="s">
        <v>435</v>
      </c>
      <c r="E97" s="39">
        <v>31095925572</v>
      </c>
      <c r="F97" s="36" t="s">
        <v>33</v>
      </c>
      <c r="G97" s="32">
        <v>500</v>
      </c>
      <c r="H97" s="33">
        <v>45693</v>
      </c>
      <c r="I97" s="32" t="s">
        <v>578</v>
      </c>
      <c r="J97" s="32" t="s">
        <v>126</v>
      </c>
      <c r="K97" s="34">
        <v>352409265</v>
      </c>
      <c r="L97" s="35" t="s">
        <v>746</v>
      </c>
    </row>
    <row r="98" spans="1:12" hidden="1" x14ac:dyDescent="0.25">
      <c r="A98" s="30" t="s">
        <v>12</v>
      </c>
      <c r="B98" s="30" t="s">
        <v>13</v>
      </c>
      <c r="C98" s="30" t="s">
        <v>14</v>
      </c>
      <c r="D98" s="30" t="s">
        <v>41</v>
      </c>
      <c r="E98" s="30" t="s">
        <v>61</v>
      </c>
      <c r="F98" s="30" t="s">
        <v>62</v>
      </c>
      <c r="G98" s="32">
        <v>6000</v>
      </c>
      <c r="H98" s="33">
        <v>45693</v>
      </c>
      <c r="I98" s="32" t="s">
        <v>569</v>
      </c>
      <c r="J98" s="32" t="s">
        <v>40</v>
      </c>
      <c r="K98" s="34">
        <v>352409266</v>
      </c>
      <c r="L98" s="35" t="s">
        <v>747</v>
      </c>
    </row>
    <row r="99" spans="1:12" hidden="1" x14ac:dyDescent="0.25">
      <c r="A99" s="30" t="s">
        <v>12</v>
      </c>
      <c r="B99" s="30" t="s">
        <v>13</v>
      </c>
      <c r="C99" s="30" t="s">
        <v>14</v>
      </c>
      <c r="D99" s="30" t="s">
        <v>55</v>
      </c>
      <c r="E99" s="41">
        <v>57880100000238</v>
      </c>
      <c r="F99" s="30" t="s">
        <v>57</v>
      </c>
      <c r="G99" s="32">
        <v>6000</v>
      </c>
      <c r="H99" s="33">
        <v>45693</v>
      </c>
      <c r="I99" s="32" t="s">
        <v>667</v>
      </c>
      <c r="J99" s="32" t="s">
        <v>98</v>
      </c>
      <c r="K99" s="34">
        <v>352409267</v>
      </c>
      <c r="L99" s="35" t="s">
        <v>747</v>
      </c>
    </row>
    <row r="100" spans="1:12" hidden="1" x14ac:dyDescent="0.25">
      <c r="A100" s="30" t="s">
        <v>12</v>
      </c>
      <c r="B100" s="30" t="s">
        <v>13</v>
      </c>
      <c r="C100" s="30" t="s">
        <v>14</v>
      </c>
      <c r="D100" s="32" t="s">
        <v>149</v>
      </c>
      <c r="E100" s="40">
        <v>50100624324501</v>
      </c>
      <c r="F100" s="32" t="s">
        <v>150</v>
      </c>
      <c r="G100" s="32">
        <v>5250</v>
      </c>
      <c r="H100" s="33">
        <v>45693</v>
      </c>
      <c r="I100" s="32" t="s">
        <v>567</v>
      </c>
      <c r="J100" s="32" t="s">
        <v>29</v>
      </c>
      <c r="K100" s="36">
        <v>352409269</v>
      </c>
      <c r="L100" s="35" t="s">
        <v>748</v>
      </c>
    </row>
    <row r="101" spans="1:12" hidden="1" x14ac:dyDescent="0.25">
      <c r="A101" s="30" t="s">
        <v>12</v>
      </c>
      <c r="B101" s="30" t="s">
        <v>13</v>
      </c>
      <c r="C101" s="30" t="s">
        <v>14</v>
      </c>
      <c r="D101" s="30" t="s">
        <v>152</v>
      </c>
      <c r="E101" s="30" t="s">
        <v>153</v>
      </c>
      <c r="F101" s="30" t="s">
        <v>154</v>
      </c>
      <c r="G101" s="32">
        <v>5250</v>
      </c>
      <c r="H101" s="33">
        <v>45693</v>
      </c>
      <c r="I101" s="32" t="s">
        <v>573</v>
      </c>
      <c r="J101" s="32" t="s">
        <v>84</v>
      </c>
      <c r="K101" s="34">
        <v>352409270</v>
      </c>
      <c r="L101" s="35" t="s">
        <v>748</v>
      </c>
    </row>
    <row r="102" spans="1:12" s="38" customFormat="1" hidden="1" x14ac:dyDescent="0.25">
      <c r="A102" s="36" t="s">
        <v>12</v>
      </c>
      <c r="B102" s="36" t="s">
        <v>13</v>
      </c>
      <c r="C102" s="36" t="s">
        <v>14</v>
      </c>
      <c r="D102" s="36" t="s">
        <v>591</v>
      </c>
      <c r="E102" s="36" t="s">
        <v>592</v>
      </c>
      <c r="F102" s="36" t="s">
        <v>110</v>
      </c>
      <c r="G102" s="32">
        <v>5000</v>
      </c>
      <c r="H102" s="33">
        <v>45693</v>
      </c>
      <c r="I102" s="37" t="s">
        <v>593</v>
      </c>
      <c r="J102" s="37" t="s">
        <v>76</v>
      </c>
      <c r="K102" s="34">
        <v>352409230</v>
      </c>
      <c r="L102" s="35" t="s">
        <v>749</v>
      </c>
    </row>
    <row r="103" spans="1:12" hidden="1" x14ac:dyDescent="0.25">
      <c r="A103" s="30" t="s">
        <v>12</v>
      </c>
      <c r="B103" s="30" t="s">
        <v>13</v>
      </c>
      <c r="C103" s="30" t="s">
        <v>14</v>
      </c>
      <c r="D103" s="30" t="s">
        <v>343</v>
      </c>
      <c r="E103" s="30" t="s">
        <v>344</v>
      </c>
      <c r="F103" s="30" t="s">
        <v>345</v>
      </c>
      <c r="G103" s="32">
        <v>500</v>
      </c>
      <c r="H103" s="33">
        <v>45694</v>
      </c>
      <c r="I103" s="32" t="s">
        <v>568</v>
      </c>
      <c r="J103" s="32" t="s">
        <v>187</v>
      </c>
      <c r="K103" s="36">
        <v>352409272</v>
      </c>
      <c r="L103" s="35" t="s">
        <v>750</v>
      </c>
    </row>
    <row r="104" spans="1:12" hidden="1" x14ac:dyDescent="0.25">
      <c r="A104" s="30" t="s">
        <v>12</v>
      </c>
      <c r="B104" s="30" t="s">
        <v>13</v>
      </c>
      <c r="C104" s="30" t="s">
        <v>14</v>
      </c>
      <c r="D104" s="30" t="s">
        <v>435</v>
      </c>
      <c r="E104" s="39">
        <v>31095925572</v>
      </c>
      <c r="F104" s="36" t="s">
        <v>33</v>
      </c>
      <c r="G104" s="32">
        <v>500</v>
      </c>
      <c r="H104" s="33">
        <v>45694</v>
      </c>
      <c r="I104" s="32" t="s">
        <v>578</v>
      </c>
      <c r="J104" s="32" t="s">
        <v>126</v>
      </c>
      <c r="K104" s="34">
        <v>352409286</v>
      </c>
      <c r="L104" s="35" t="s">
        <v>750</v>
      </c>
    </row>
    <row r="105" spans="1:12" hidden="1" x14ac:dyDescent="0.25">
      <c r="A105" s="30" t="s">
        <v>12</v>
      </c>
      <c r="B105" s="30" t="s">
        <v>13</v>
      </c>
      <c r="C105" s="30" t="s">
        <v>14</v>
      </c>
      <c r="D105" s="36" t="s">
        <v>193</v>
      </c>
      <c r="E105" s="36" t="s">
        <v>194</v>
      </c>
      <c r="F105" s="36" t="s">
        <v>195</v>
      </c>
      <c r="G105" s="32">
        <v>5000</v>
      </c>
      <c r="H105" s="33">
        <v>45694</v>
      </c>
      <c r="I105" s="32" t="s">
        <v>572</v>
      </c>
      <c r="J105" s="32" t="s">
        <v>34</v>
      </c>
      <c r="K105" s="34">
        <v>352409291</v>
      </c>
      <c r="L105" s="35" t="s">
        <v>751</v>
      </c>
    </row>
    <row r="106" spans="1:12" hidden="1" x14ac:dyDescent="0.25">
      <c r="A106" s="30" t="s">
        <v>12</v>
      </c>
      <c r="B106" s="30" t="s">
        <v>13</v>
      </c>
      <c r="C106" s="30" t="s">
        <v>14</v>
      </c>
      <c r="D106" s="30" t="s">
        <v>48</v>
      </c>
      <c r="E106" s="30" t="s">
        <v>49</v>
      </c>
      <c r="F106" s="30" t="s">
        <v>50</v>
      </c>
      <c r="G106" s="32">
        <v>2500</v>
      </c>
      <c r="H106" s="33">
        <v>45695</v>
      </c>
      <c r="I106" s="32" t="s">
        <v>681</v>
      </c>
      <c r="J106" s="32" t="s">
        <v>52</v>
      </c>
      <c r="K106" s="34">
        <v>352409345</v>
      </c>
      <c r="L106" s="35" t="s">
        <v>752</v>
      </c>
    </row>
    <row r="107" spans="1:12" hidden="1" x14ac:dyDescent="0.25">
      <c r="A107" s="30" t="s">
        <v>12</v>
      </c>
      <c r="B107" s="30" t="s">
        <v>13</v>
      </c>
      <c r="C107" s="30" t="s">
        <v>14</v>
      </c>
      <c r="D107" s="30" t="s">
        <v>41</v>
      </c>
      <c r="E107" s="30" t="s">
        <v>61</v>
      </c>
      <c r="F107" s="30" t="s">
        <v>62</v>
      </c>
      <c r="G107" s="32">
        <v>3500</v>
      </c>
      <c r="H107" s="33">
        <v>45695</v>
      </c>
      <c r="I107" s="32" t="s">
        <v>569</v>
      </c>
      <c r="J107" s="32" t="s">
        <v>40</v>
      </c>
      <c r="K107" s="34">
        <v>352409346</v>
      </c>
      <c r="L107" s="35" t="s">
        <v>753</v>
      </c>
    </row>
    <row r="108" spans="1:12" hidden="1" x14ac:dyDescent="0.25">
      <c r="A108" s="30" t="s">
        <v>12</v>
      </c>
      <c r="B108" s="30" t="s">
        <v>13</v>
      </c>
      <c r="C108" s="30" t="s">
        <v>14</v>
      </c>
      <c r="D108" s="30" t="s">
        <v>31</v>
      </c>
      <c r="E108" s="30" t="s">
        <v>32</v>
      </c>
      <c r="F108" s="30" t="s">
        <v>33</v>
      </c>
      <c r="G108" s="32">
        <v>6000</v>
      </c>
      <c r="H108" s="33">
        <v>45697</v>
      </c>
      <c r="I108" s="32" t="s">
        <v>693</v>
      </c>
      <c r="J108" s="32" t="s">
        <v>118</v>
      </c>
      <c r="K108" s="34">
        <v>352409393</v>
      </c>
      <c r="L108" s="35" t="s">
        <v>755</v>
      </c>
    </row>
    <row r="109" spans="1:12" hidden="1" x14ac:dyDescent="0.25">
      <c r="A109" s="30" t="s">
        <v>12</v>
      </c>
      <c r="B109" s="30" t="s">
        <v>13</v>
      </c>
      <c r="C109" s="30" t="s">
        <v>14</v>
      </c>
      <c r="D109" s="30" t="s">
        <v>55</v>
      </c>
      <c r="E109" s="41">
        <v>57880100000238</v>
      </c>
      <c r="F109" s="30" t="s">
        <v>57</v>
      </c>
      <c r="G109" s="32">
        <v>6000</v>
      </c>
      <c r="H109" s="33">
        <v>45697</v>
      </c>
      <c r="I109" s="32" t="s">
        <v>667</v>
      </c>
      <c r="J109" s="32" t="s">
        <v>98</v>
      </c>
      <c r="K109" s="34">
        <v>352409396</v>
      </c>
      <c r="L109" s="35" t="s">
        <v>755</v>
      </c>
    </row>
    <row r="110" spans="1:12" hidden="1" x14ac:dyDescent="0.25">
      <c r="A110" s="30" t="s">
        <v>12</v>
      </c>
      <c r="B110" s="30" t="s">
        <v>13</v>
      </c>
      <c r="C110" s="30" t="s">
        <v>14</v>
      </c>
      <c r="D110" s="30" t="s">
        <v>108</v>
      </c>
      <c r="E110" s="30" t="s">
        <v>109</v>
      </c>
      <c r="F110" s="30" t="s">
        <v>110</v>
      </c>
      <c r="G110" s="32">
        <v>3000</v>
      </c>
      <c r="H110" s="33">
        <v>45697</v>
      </c>
      <c r="I110" s="32" t="s">
        <v>701</v>
      </c>
      <c r="J110" s="32" t="s">
        <v>68</v>
      </c>
      <c r="K110" s="34">
        <v>352409395</v>
      </c>
      <c r="L110" s="35" t="s">
        <v>755</v>
      </c>
    </row>
    <row r="111" spans="1:12" hidden="1" x14ac:dyDescent="0.25">
      <c r="A111" s="30" t="s">
        <v>12</v>
      </c>
      <c r="B111" s="30" t="s">
        <v>13</v>
      </c>
      <c r="C111" s="30" t="s">
        <v>14</v>
      </c>
      <c r="D111" s="30" t="s">
        <v>343</v>
      </c>
      <c r="E111" s="30" t="s">
        <v>344</v>
      </c>
      <c r="F111" s="30" t="s">
        <v>345</v>
      </c>
      <c r="G111" s="32">
        <v>500</v>
      </c>
      <c r="H111" s="33">
        <v>45697</v>
      </c>
      <c r="I111" s="32" t="s">
        <v>568</v>
      </c>
      <c r="J111" s="32" t="s">
        <v>187</v>
      </c>
      <c r="K111" s="36">
        <v>352409394</v>
      </c>
      <c r="L111" s="35" t="s">
        <v>754</v>
      </c>
    </row>
    <row r="112" spans="1:12" hidden="1" x14ac:dyDescent="0.25">
      <c r="A112" s="30" t="s">
        <v>12</v>
      </c>
      <c r="B112" s="30" t="s">
        <v>13</v>
      </c>
      <c r="C112" s="30" t="s">
        <v>14</v>
      </c>
      <c r="D112" s="30" t="s">
        <v>343</v>
      </c>
      <c r="E112" s="30" t="s">
        <v>344</v>
      </c>
      <c r="F112" s="30" t="s">
        <v>345</v>
      </c>
      <c r="G112" s="32">
        <v>500</v>
      </c>
      <c r="H112" s="33">
        <v>45699</v>
      </c>
      <c r="I112" s="32" t="s">
        <v>568</v>
      </c>
      <c r="J112" s="32" t="s">
        <v>187</v>
      </c>
      <c r="K112" s="36">
        <v>352409394</v>
      </c>
      <c r="L112" s="35" t="s">
        <v>756</v>
      </c>
    </row>
    <row r="113" spans="1:12" hidden="1" x14ac:dyDescent="0.25">
      <c r="A113" s="30" t="s">
        <v>12</v>
      </c>
      <c r="B113" s="30" t="s">
        <v>13</v>
      </c>
      <c r="C113" s="30" t="s">
        <v>14</v>
      </c>
      <c r="D113" s="32" t="s">
        <v>149</v>
      </c>
      <c r="E113" s="40">
        <v>50100624324501</v>
      </c>
      <c r="F113" s="32" t="s">
        <v>150</v>
      </c>
      <c r="G113" s="32">
        <v>5250</v>
      </c>
      <c r="H113" s="33">
        <v>45700</v>
      </c>
      <c r="I113" s="32" t="s">
        <v>567</v>
      </c>
      <c r="J113" s="32" t="s">
        <v>29</v>
      </c>
      <c r="K113" s="36">
        <v>352409463</v>
      </c>
      <c r="L113" s="35" t="s">
        <v>757</v>
      </c>
    </row>
    <row r="114" spans="1:12" s="38" customFormat="1" hidden="1" x14ac:dyDescent="0.25">
      <c r="A114" s="36" t="s">
        <v>12</v>
      </c>
      <c r="B114" s="36" t="s">
        <v>13</v>
      </c>
      <c r="C114" s="36" t="s">
        <v>14</v>
      </c>
      <c r="D114" s="36" t="s">
        <v>591</v>
      </c>
      <c r="E114" s="36" t="s">
        <v>592</v>
      </c>
      <c r="F114" s="36" t="s">
        <v>110</v>
      </c>
      <c r="G114" s="32">
        <v>5250</v>
      </c>
      <c r="H114" s="33">
        <v>45700</v>
      </c>
      <c r="I114" s="37" t="s">
        <v>593</v>
      </c>
      <c r="J114" s="37" t="s">
        <v>76</v>
      </c>
      <c r="K114" s="34">
        <v>352409464</v>
      </c>
      <c r="L114" s="35" t="s">
        <v>757</v>
      </c>
    </row>
    <row r="115" spans="1:12" s="38" customFormat="1" hidden="1" x14ac:dyDescent="0.25">
      <c r="A115" s="36" t="s">
        <v>12</v>
      </c>
      <c r="B115" s="36" t="s">
        <v>13</v>
      </c>
      <c r="C115" s="36" t="s">
        <v>14</v>
      </c>
      <c r="D115" s="36" t="s">
        <v>759</v>
      </c>
      <c r="E115" s="42">
        <v>35211636583</v>
      </c>
      <c r="F115" s="36" t="s">
        <v>33</v>
      </c>
      <c r="G115" s="37">
        <v>500</v>
      </c>
      <c r="H115" s="33">
        <v>45700</v>
      </c>
      <c r="I115" s="37" t="s">
        <v>590</v>
      </c>
      <c r="J115" s="37" t="s">
        <v>123</v>
      </c>
      <c r="K115" s="36">
        <v>352409465</v>
      </c>
      <c r="L115" s="35" t="s">
        <v>758</v>
      </c>
    </row>
    <row r="116" spans="1:12" hidden="1" x14ac:dyDescent="0.25">
      <c r="A116" s="30" t="s">
        <v>12</v>
      </c>
      <c r="B116" s="30" t="s">
        <v>13</v>
      </c>
      <c r="C116" s="30" t="s">
        <v>14</v>
      </c>
      <c r="D116" s="36" t="s">
        <v>193</v>
      </c>
      <c r="E116" s="36" t="s">
        <v>194</v>
      </c>
      <c r="F116" s="36" t="s">
        <v>195</v>
      </c>
      <c r="G116" s="32">
        <v>5250</v>
      </c>
      <c r="H116" s="33">
        <v>45700</v>
      </c>
      <c r="I116" s="32" t="s">
        <v>572</v>
      </c>
      <c r="J116" s="32" t="s">
        <v>34</v>
      </c>
      <c r="K116" s="34">
        <v>352409466</v>
      </c>
      <c r="L116" s="35" t="s">
        <v>757</v>
      </c>
    </row>
    <row r="117" spans="1:12" hidden="1" x14ac:dyDescent="0.25">
      <c r="A117" s="30" t="s">
        <v>12</v>
      </c>
      <c r="B117" s="30" t="s">
        <v>13</v>
      </c>
      <c r="C117" s="30" t="s">
        <v>14</v>
      </c>
      <c r="D117" s="30" t="s">
        <v>734</v>
      </c>
      <c r="E117" s="30" t="s">
        <v>735</v>
      </c>
      <c r="F117" s="30" t="s">
        <v>736</v>
      </c>
      <c r="G117" s="37">
        <v>500</v>
      </c>
      <c r="H117" s="33">
        <v>45700</v>
      </c>
      <c r="I117" s="37" t="s">
        <v>566</v>
      </c>
      <c r="J117" s="37" t="s">
        <v>156</v>
      </c>
      <c r="K117" s="36">
        <v>352409467</v>
      </c>
      <c r="L117" s="35" t="s">
        <v>758</v>
      </c>
    </row>
    <row r="118" spans="1:12" hidden="1" x14ac:dyDescent="0.25">
      <c r="A118" s="30" t="s">
        <v>12</v>
      </c>
      <c r="B118" s="30" t="s">
        <v>13</v>
      </c>
      <c r="C118" s="30" t="s">
        <v>14</v>
      </c>
      <c r="D118" s="30" t="s">
        <v>152</v>
      </c>
      <c r="E118" s="30" t="s">
        <v>153</v>
      </c>
      <c r="F118" s="30" t="s">
        <v>154</v>
      </c>
      <c r="G118" s="32">
        <v>5250</v>
      </c>
      <c r="H118" s="33">
        <v>45700</v>
      </c>
      <c r="I118" s="32" t="s">
        <v>573</v>
      </c>
      <c r="J118" s="32" t="s">
        <v>84</v>
      </c>
      <c r="K118" s="34">
        <v>352409468</v>
      </c>
      <c r="L118" s="35" t="s">
        <v>757</v>
      </c>
    </row>
    <row r="119" spans="1:12" hidden="1" x14ac:dyDescent="0.25">
      <c r="A119" s="30" t="s">
        <v>12</v>
      </c>
      <c r="B119" s="30" t="s">
        <v>13</v>
      </c>
      <c r="C119" s="30" t="s">
        <v>14</v>
      </c>
      <c r="D119" s="30" t="s">
        <v>760</v>
      </c>
      <c r="E119" s="30" t="s">
        <v>761</v>
      </c>
      <c r="F119" s="30" t="s">
        <v>33</v>
      </c>
      <c r="G119" s="37">
        <v>6000</v>
      </c>
      <c r="H119" s="33">
        <v>45701</v>
      </c>
      <c r="I119" s="37" t="s">
        <v>762</v>
      </c>
      <c r="J119" s="37" t="s">
        <v>142</v>
      </c>
      <c r="K119" s="34">
        <v>352409495</v>
      </c>
      <c r="L119" s="35" t="s">
        <v>763</v>
      </c>
    </row>
    <row r="120" spans="1:12" hidden="1" x14ac:dyDescent="0.25">
      <c r="A120" s="30" t="s">
        <v>12</v>
      </c>
      <c r="B120" s="30" t="s">
        <v>13</v>
      </c>
      <c r="C120" s="30" t="s">
        <v>14</v>
      </c>
      <c r="D120" s="30" t="s">
        <v>144</v>
      </c>
      <c r="E120" s="39">
        <v>42542201947</v>
      </c>
      <c r="F120" s="30" t="s">
        <v>145</v>
      </c>
      <c r="G120" s="37">
        <v>6000</v>
      </c>
      <c r="H120" s="33">
        <v>45701</v>
      </c>
      <c r="I120" s="32" t="s">
        <v>652</v>
      </c>
      <c r="J120" s="32" t="s">
        <v>147</v>
      </c>
      <c r="K120" s="34">
        <v>352409496</v>
      </c>
      <c r="L120" s="35" t="s">
        <v>763</v>
      </c>
    </row>
    <row r="121" spans="1:12" hidden="1" x14ac:dyDescent="0.25">
      <c r="A121" s="30" t="s">
        <v>12</v>
      </c>
      <c r="B121" s="30" t="s">
        <v>13</v>
      </c>
      <c r="C121" s="30" t="s">
        <v>14</v>
      </c>
      <c r="D121" s="30" t="s">
        <v>435</v>
      </c>
      <c r="E121" s="39">
        <v>31095925572</v>
      </c>
      <c r="F121" s="36" t="s">
        <v>33</v>
      </c>
      <c r="G121" s="32">
        <v>500</v>
      </c>
      <c r="H121" s="33">
        <v>45701</v>
      </c>
      <c r="I121" s="32" t="s">
        <v>578</v>
      </c>
      <c r="J121" s="32" t="s">
        <v>126</v>
      </c>
      <c r="K121" s="34">
        <v>352409480</v>
      </c>
      <c r="L121" s="35" t="s">
        <v>764</v>
      </c>
    </row>
    <row r="122" spans="1:12" hidden="1" x14ac:dyDescent="0.25">
      <c r="A122" s="30" t="s">
        <v>12</v>
      </c>
      <c r="B122" s="30" t="s">
        <v>13</v>
      </c>
      <c r="C122" s="30" t="s">
        <v>14</v>
      </c>
      <c r="D122" s="30" t="s">
        <v>108</v>
      </c>
      <c r="E122" s="30" t="s">
        <v>109</v>
      </c>
      <c r="F122" s="30" t="s">
        <v>110</v>
      </c>
      <c r="G122" s="32">
        <v>6000</v>
      </c>
      <c r="H122" s="33">
        <v>45701</v>
      </c>
      <c r="I122" s="32" t="s">
        <v>701</v>
      </c>
      <c r="J122" s="32" t="s">
        <v>68</v>
      </c>
      <c r="K122" s="34">
        <v>352409477</v>
      </c>
      <c r="L122" s="35" t="s">
        <v>765</v>
      </c>
    </row>
    <row r="123" spans="1:12" s="38" customFormat="1" hidden="1" x14ac:dyDescent="0.25">
      <c r="A123" s="36" t="s">
        <v>12</v>
      </c>
      <c r="B123" s="36" t="s">
        <v>13</v>
      </c>
      <c r="C123" s="36" t="s">
        <v>14</v>
      </c>
      <c r="D123" s="36" t="s">
        <v>759</v>
      </c>
      <c r="E123" s="42">
        <v>35211636583</v>
      </c>
      <c r="F123" s="36" t="s">
        <v>33</v>
      </c>
      <c r="G123" s="37">
        <v>500</v>
      </c>
      <c r="H123" s="33">
        <v>45702</v>
      </c>
      <c r="I123" s="37" t="s">
        <v>590</v>
      </c>
      <c r="J123" s="37" t="s">
        <v>123</v>
      </c>
      <c r="K123" s="36">
        <v>352409422</v>
      </c>
      <c r="L123" s="35" t="s">
        <v>766</v>
      </c>
    </row>
    <row r="124" spans="1:12" hidden="1" x14ac:dyDescent="0.25">
      <c r="A124" s="30" t="s">
        <v>12</v>
      </c>
      <c r="B124" s="30" t="s">
        <v>13</v>
      </c>
      <c r="C124" s="30" t="s">
        <v>14</v>
      </c>
      <c r="D124" s="30" t="s">
        <v>734</v>
      </c>
      <c r="E124" s="30" t="s">
        <v>735</v>
      </c>
      <c r="F124" s="30" t="s">
        <v>736</v>
      </c>
      <c r="G124" s="37">
        <v>700</v>
      </c>
      <c r="H124" s="33">
        <v>45702</v>
      </c>
      <c r="I124" s="37" t="s">
        <v>566</v>
      </c>
      <c r="J124" s="37" t="s">
        <v>156</v>
      </c>
      <c r="K124" s="36">
        <v>352409519</v>
      </c>
      <c r="L124" s="35" t="s">
        <v>767</v>
      </c>
    </row>
    <row r="125" spans="1:12" s="38" customFormat="1" hidden="1" x14ac:dyDescent="0.25">
      <c r="A125" s="36" t="s">
        <v>12</v>
      </c>
      <c r="B125" s="36" t="s">
        <v>13</v>
      </c>
      <c r="C125" s="36" t="s">
        <v>14</v>
      </c>
      <c r="D125" s="36" t="s">
        <v>759</v>
      </c>
      <c r="E125" s="42">
        <v>35211636583</v>
      </c>
      <c r="F125" s="36" t="s">
        <v>33</v>
      </c>
      <c r="G125" s="37">
        <v>500</v>
      </c>
      <c r="H125" s="33">
        <v>45703</v>
      </c>
      <c r="I125" s="37" t="s">
        <v>590</v>
      </c>
      <c r="J125" s="37" t="s">
        <v>123</v>
      </c>
      <c r="K125" s="36">
        <v>352409539</v>
      </c>
      <c r="L125" s="35" t="s">
        <v>768</v>
      </c>
    </row>
    <row r="126" spans="1:12" hidden="1" x14ac:dyDescent="0.25">
      <c r="A126" s="30" t="s">
        <v>12</v>
      </c>
      <c r="B126" s="30" t="s">
        <v>13</v>
      </c>
      <c r="C126" s="30" t="s">
        <v>14</v>
      </c>
      <c r="D126" s="30" t="s">
        <v>343</v>
      </c>
      <c r="E126" s="30" t="s">
        <v>344</v>
      </c>
      <c r="F126" s="30" t="s">
        <v>345</v>
      </c>
      <c r="G126" s="32">
        <v>500</v>
      </c>
      <c r="H126" s="33">
        <v>45703</v>
      </c>
      <c r="I126" s="32" t="s">
        <v>568</v>
      </c>
      <c r="J126" s="32" t="s">
        <v>187</v>
      </c>
      <c r="K126" s="36">
        <v>352409540</v>
      </c>
      <c r="L126" s="35" t="s">
        <v>768</v>
      </c>
    </row>
    <row r="127" spans="1:12" hidden="1" x14ac:dyDescent="0.25">
      <c r="A127" s="30" t="s">
        <v>12</v>
      </c>
      <c r="B127" s="30" t="s">
        <v>13</v>
      </c>
      <c r="C127" s="30" t="s">
        <v>14</v>
      </c>
      <c r="D127" s="32" t="s">
        <v>149</v>
      </c>
      <c r="E127" s="40">
        <v>50100624324501</v>
      </c>
      <c r="F127" s="32" t="s">
        <v>150</v>
      </c>
      <c r="G127" s="32">
        <v>7500</v>
      </c>
      <c r="H127" s="33">
        <v>45703</v>
      </c>
      <c r="I127" s="32" t="s">
        <v>567</v>
      </c>
      <c r="J127" s="32" t="s">
        <v>29</v>
      </c>
      <c r="K127" s="36">
        <v>352409506</v>
      </c>
      <c r="L127" s="35" t="s">
        <v>769</v>
      </c>
    </row>
    <row r="128" spans="1:12" hidden="1" x14ac:dyDescent="0.25">
      <c r="A128" s="30" t="s">
        <v>12</v>
      </c>
      <c r="B128" s="30" t="s">
        <v>13</v>
      </c>
      <c r="C128" s="30" t="s">
        <v>14</v>
      </c>
      <c r="D128" s="32" t="s">
        <v>149</v>
      </c>
      <c r="E128" s="40">
        <v>50100624324501</v>
      </c>
      <c r="F128" s="32" t="s">
        <v>150</v>
      </c>
      <c r="G128" s="32">
        <v>2000</v>
      </c>
      <c r="H128" s="33">
        <v>45705</v>
      </c>
      <c r="I128" s="32" t="s">
        <v>681</v>
      </c>
      <c r="J128" s="32" t="s">
        <v>52</v>
      </c>
      <c r="K128" s="36">
        <v>352409587</v>
      </c>
      <c r="L128" s="35" t="s">
        <v>770</v>
      </c>
    </row>
    <row r="129" spans="1:12" hidden="1" x14ac:dyDescent="0.25">
      <c r="A129" s="30" t="s">
        <v>12</v>
      </c>
      <c r="B129" s="30" t="s">
        <v>13</v>
      </c>
      <c r="C129" s="30" t="s">
        <v>14</v>
      </c>
      <c r="D129" s="30" t="s">
        <v>31</v>
      </c>
      <c r="E129" s="30" t="s">
        <v>32</v>
      </c>
      <c r="F129" s="30" t="s">
        <v>33</v>
      </c>
      <c r="G129" s="32">
        <v>6000</v>
      </c>
      <c r="H129" s="33">
        <v>45705</v>
      </c>
      <c r="I129" s="32" t="s">
        <v>693</v>
      </c>
      <c r="J129" s="32" t="s">
        <v>118</v>
      </c>
      <c r="K129" s="34">
        <v>352409503</v>
      </c>
      <c r="L129" s="35" t="s">
        <v>771</v>
      </c>
    </row>
    <row r="130" spans="1:12" hidden="1" x14ac:dyDescent="0.25">
      <c r="A130" s="30" t="s">
        <v>12</v>
      </c>
      <c r="B130" s="30" t="s">
        <v>13</v>
      </c>
      <c r="C130" s="30" t="s">
        <v>14</v>
      </c>
      <c r="D130" s="30" t="s">
        <v>343</v>
      </c>
      <c r="E130" s="30" t="s">
        <v>344</v>
      </c>
      <c r="F130" s="30" t="s">
        <v>345</v>
      </c>
      <c r="G130" s="32">
        <v>500</v>
      </c>
      <c r="H130" s="33">
        <v>45706</v>
      </c>
      <c r="I130" s="32" t="s">
        <v>568</v>
      </c>
      <c r="J130" s="32" t="s">
        <v>187</v>
      </c>
      <c r="K130" s="36">
        <v>352409603</v>
      </c>
      <c r="L130" s="35" t="s">
        <v>772</v>
      </c>
    </row>
    <row r="131" spans="1:12" s="38" customFormat="1" hidden="1" x14ac:dyDescent="0.25">
      <c r="A131" s="36" t="s">
        <v>12</v>
      </c>
      <c r="B131" s="36" t="s">
        <v>13</v>
      </c>
      <c r="C131" s="36" t="s">
        <v>14</v>
      </c>
      <c r="D131" s="36" t="s">
        <v>759</v>
      </c>
      <c r="E131" s="42">
        <v>35211636583</v>
      </c>
      <c r="F131" s="36" t="s">
        <v>33</v>
      </c>
      <c r="G131" s="37">
        <v>500</v>
      </c>
      <c r="H131" s="33">
        <v>45706</v>
      </c>
      <c r="I131" s="37" t="s">
        <v>590</v>
      </c>
      <c r="J131" s="37" t="s">
        <v>123</v>
      </c>
      <c r="K131" s="36">
        <v>352409604</v>
      </c>
      <c r="L131" s="35" t="s">
        <v>772</v>
      </c>
    </row>
    <row r="132" spans="1:12" s="38" customFormat="1" hidden="1" x14ac:dyDescent="0.25">
      <c r="A132" s="36" t="s">
        <v>12</v>
      </c>
      <c r="B132" s="36" t="s">
        <v>13</v>
      </c>
      <c r="C132" s="36" t="s">
        <v>14</v>
      </c>
      <c r="D132" s="36" t="s">
        <v>759</v>
      </c>
      <c r="E132" s="42">
        <v>35211636583</v>
      </c>
      <c r="F132" s="36" t="s">
        <v>33</v>
      </c>
      <c r="G132" s="37">
        <v>500</v>
      </c>
      <c r="H132" s="33">
        <v>45707</v>
      </c>
      <c r="I132" s="37" t="s">
        <v>590</v>
      </c>
      <c r="J132" s="37" t="s">
        <v>123</v>
      </c>
      <c r="K132" s="36">
        <v>352409633</v>
      </c>
      <c r="L132" s="35" t="s">
        <v>775</v>
      </c>
    </row>
    <row r="133" spans="1:12" hidden="1" x14ac:dyDescent="0.25">
      <c r="A133" s="30" t="s">
        <v>12</v>
      </c>
      <c r="B133" s="30" t="s">
        <v>13</v>
      </c>
      <c r="C133" s="30" t="s">
        <v>14</v>
      </c>
      <c r="D133" s="30" t="s">
        <v>343</v>
      </c>
      <c r="E133" s="30" t="s">
        <v>344</v>
      </c>
      <c r="F133" s="30" t="s">
        <v>345</v>
      </c>
      <c r="G133" s="32">
        <v>500</v>
      </c>
      <c r="H133" s="33">
        <v>45707</v>
      </c>
      <c r="I133" s="32" t="s">
        <v>568</v>
      </c>
      <c r="J133" s="32" t="s">
        <v>187</v>
      </c>
      <c r="K133" s="36">
        <v>352409615</v>
      </c>
      <c r="L133" s="35" t="s">
        <v>773</v>
      </c>
    </row>
    <row r="134" spans="1:12" hidden="1" x14ac:dyDescent="0.25">
      <c r="A134" s="30" t="s">
        <v>12</v>
      </c>
      <c r="B134" s="30" t="s">
        <v>13</v>
      </c>
      <c r="C134" s="30" t="s">
        <v>14</v>
      </c>
      <c r="D134" s="30" t="s">
        <v>31</v>
      </c>
      <c r="E134" s="30" t="s">
        <v>32</v>
      </c>
      <c r="F134" s="30" t="s">
        <v>33</v>
      </c>
      <c r="G134" s="32">
        <v>6000</v>
      </c>
      <c r="H134" s="33">
        <v>45707</v>
      </c>
      <c r="I134" s="32" t="s">
        <v>693</v>
      </c>
      <c r="J134" s="32" t="s">
        <v>118</v>
      </c>
      <c r="K134" s="34">
        <v>352409616</v>
      </c>
      <c r="L134" s="35" t="s">
        <v>774</v>
      </c>
    </row>
    <row r="135" spans="1:12" s="38" customFormat="1" hidden="1" x14ac:dyDescent="0.25">
      <c r="A135" s="36" t="s">
        <v>12</v>
      </c>
      <c r="B135" s="36" t="s">
        <v>13</v>
      </c>
      <c r="C135" s="36" t="s">
        <v>14</v>
      </c>
      <c r="D135" s="36" t="s">
        <v>759</v>
      </c>
      <c r="E135" s="42">
        <v>35211636583</v>
      </c>
      <c r="F135" s="36" t="s">
        <v>33</v>
      </c>
      <c r="G135" s="37">
        <v>500</v>
      </c>
      <c r="H135" s="33">
        <v>45708</v>
      </c>
      <c r="I135" s="37" t="s">
        <v>590</v>
      </c>
      <c r="J135" s="37" t="s">
        <v>123</v>
      </c>
      <c r="K135" s="36">
        <v>352409667</v>
      </c>
      <c r="L135" s="35" t="s">
        <v>776</v>
      </c>
    </row>
    <row r="136" spans="1:12" hidden="1" x14ac:dyDescent="0.25">
      <c r="A136" s="30" t="s">
        <v>12</v>
      </c>
      <c r="B136" s="30" t="s">
        <v>13</v>
      </c>
      <c r="C136" s="30" t="s">
        <v>14</v>
      </c>
      <c r="D136" s="30" t="s">
        <v>343</v>
      </c>
      <c r="E136" s="30" t="s">
        <v>344</v>
      </c>
      <c r="F136" s="30" t="s">
        <v>345</v>
      </c>
      <c r="G136" s="32">
        <v>500</v>
      </c>
      <c r="H136" s="33">
        <v>45708</v>
      </c>
      <c r="I136" s="32" t="s">
        <v>568</v>
      </c>
      <c r="J136" s="32" t="s">
        <v>187</v>
      </c>
      <c r="K136" s="36">
        <v>352409645</v>
      </c>
      <c r="L136" s="35" t="s">
        <v>777</v>
      </c>
    </row>
    <row r="137" spans="1:12" hidden="1" x14ac:dyDescent="0.25">
      <c r="A137" s="30" t="s">
        <v>12</v>
      </c>
      <c r="B137" s="30" t="s">
        <v>13</v>
      </c>
      <c r="C137" s="30" t="s">
        <v>14</v>
      </c>
      <c r="D137" s="30" t="s">
        <v>31</v>
      </c>
      <c r="E137" s="30" t="s">
        <v>32</v>
      </c>
      <c r="F137" s="30" t="s">
        <v>33</v>
      </c>
      <c r="G137" s="32">
        <v>6000</v>
      </c>
      <c r="H137" s="33">
        <v>45708</v>
      </c>
      <c r="I137" s="32" t="s">
        <v>693</v>
      </c>
      <c r="J137" s="32" t="s">
        <v>118</v>
      </c>
      <c r="K137" s="34">
        <v>352409652</v>
      </c>
      <c r="L137" s="35" t="s">
        <v>778</v>
      </c>
    </row>
    <row r="138" spans="1:12" s="38" customFormat="1" hidden="1" x14ac:dyDescent="0.25">
      <c r="A138" s="36" t="s">
        <v>12</v>
      </c>
      <c r="B138" s="36" t="s">
        <v>13</v>
      </c>
      <c r="C138" s="36" t="s">
        <v>14</v>
      </c>
      <c r="D138" s="36" t="s">
        <v>591</v>
      </c>
      <c r="E138" s="36" t="s">
        <v>592</v>
      </c>
      <c r="F138" s="36" t="s">
        <v>110</v>
      </c>
      <c r="G138" s="32">
        <v>7500</v>
      </c>
      <c r="H138" s="33">
        <v>45708</v>
      </c>
      <c r="I138" s="37" t="s">
        <v>593</v>
      </c>
      <c r="J138" s="37" t="s">
        <v>76</v>
      </c>
      <c r="K138" s="34">
        <v>352409653</v>
      </c>
      <c r="L138" s="35" t="s">
        <v>779</v>
      </c>
    </row>
    <row r="139" spans="1:12" hidden="1" x14ac:dyDescent="0.25">
      <c r="A139" s="30" t="s">
        <v>12</v>
      </c>
      <c r="B139" s="30" t="s">
        <v>13</v>
      </c>
      <c r="C139" s="30" t="s">
        <v>14</v>
      </c>
      <c r="D139" s="32" t="s">
        <v>149</v>
      </c>
      <c r="E139" s="40">
        <v>50100624324501</v>
      </c>
      <c r="F139" s="32" t="s">
        <v>150</v>
      </c>
      <c r="G139" s="32">
        <v>7500</v>
      </c>
      <c r="H139" s="33">
        <v>45708</v>
      </c>
      <c r="I139" s="32" t="s">
        <v>567</v>
      </c>
      <c r="J139" s="32" t="s">
        <v>29</v>
      </c>
      <c r="K139" s="36">
        <v>352409654</v>
      </c>
      <c r="L139" s="35" t="s">
        <v>779</v>
      </c>
    </row>
    <row r="140" spans="1:12" s="38" customFormat="1" hidden="1" x14ac:dyDescent="0.25">
      <c r="A140" s="36" t="s">
        <v>12</v>
      </c>
      <c r="B140" s="36" t="s">
        <v>13</v>
      </c>
      <c r="C140" s="36" t="s">
        <v>14</v>
      </c>
      <c r="D140" s="36" t="s">
        <v>759</v>
      </c>
      <c r="E140" s="42">
        <v>35211636583</v>
      </c>
      <c r="F140" s="36" t="s">
        <v>33</v>
      </c>
      <c r="G140" s="37">
        <v>500</v>
      </c>
      <c r="H140" s="33">
        <v>45709</v>
      </c>
      <c r="I140" s="37" t="s">
        <v>590</v>
      </c>
      <c r="J140" s="37" t="s">
        <v>123</v>
      </c>
      <c r="K140" s="36">
        <v>352409697</v>
      </c>
      <c r="L140" s="35" t="s">
        <v>780</v>
      </c>
    </row>
    <row r="141" spans="1:12" hidden="1" x14ac:dyDescent="0.25">
      <c r="A141" s="30" t="s">
        <v>12</v>
      </c>
      <c r="B141" s="30" t="s">
        <v>13</v>
      </c>
      <c r="C141" s="30" t="s">
        <v>14</v>
      </c>
      <c r="D141" s="30" t="s">
        <v>343</v>
      </c>
      <c r="E141" s="30" t="s">
        <v>344</v>
      </c>
      <c r="F141" s="30" t="s">
        <v>345</v>
      </c>
      <c r="G141" s="32">
        <v>500</v>
      </c>
      <c r="H141" s="33">
        <v>45709</v>
      </c>
      <c r="I141" s="32" t="s">
        <v>568</v>
      </c>
      <c r="J141" s="32" t="s">
        <v>187</v>
      </c>
      <c r="K141" s="36">
        <v>352409675</v>
      </c>
      <c r="L141" s="35" t="s">
        <v>781</v>
      </c>
    </row>
    <row r="142" spans="1:12" hidden="1" x14ac:dyDescent="0.25">
      <c r="A142" s="30" t="s">
        <v>12</v>
      </c>
      <c r="B142" s="30" t="s">
        <v>13</v>
      </c>
      <c r="C142" s="30" t="s">
        <v>14</v>
      </c>
      <c r="D142" s="30" t="s">
        <v>152</v>
      </c>
      <c r="E142" s="30" t="s">
        <v>153</v>
      </c>
      <c r="F142" s="30" t="s">
        <v>154</v>
      </c>
      <c r="G142" s="32">
        <v>6200</v>
      </c>
      <c r="H142" s="33">
        <v>45710</v>
      </c>
      <c r="I142" s="32" t="s">
        <v>573</v>
      </c>
      <c r="J142" s="32" t="s">
        <v>84</v>
      </c>
      <c r="K142" s="34">
        <v>352409720</v>
      </c>
      <c r="L142" s="35" t="s">
        <v>782</v>
      </c>
    </row>
    <row r="143" spans="1:12" hidden="1" x14ac:dyDescent="0.25">
      <c r="A143" s="30" t="s">
        <v>12</v>
      </c>
      <c r="B143" s="30" t="s">
        <v>13</v>
      </c>
      <c r="C143" s="30" t="s">
        <v>14</v>
      </c>
      <c r="D143" s="30" t="s">
        <v>343</v>
      </c>
      <c r="E143" s="30" t="s">
        <v>344</v>
      </c>
      <c r="F143" s="30" t="s">
        <v>345</v>
      </c>
      <c r="G143" s="32">
        <v>500</v>
      </c>
      <c r="H143" s="33">
        <v>45710</v>
      </c>
      <c r="I143" s="32" t="s">
        <v>568</v>
      </c>
      <c r="J143" s="32" t="s">
        <v>187</v>
      </c>
      <c r="K143" s="34">
        <v>352409721</v>
      </c>
      <c r="L143" s="35" t="s">
        <v>783</v>
      </c>
    </row>
    <row r="144" spans="1:12" hidden="1" x14ac:dyDescent="0.25">
      <c r="A144" s="30" t="s">
        <v>12</v>
      </c>
      <c r="B144" s="30" t="s">
        <v>13</v>
      </c>
      <c r="C144" s="30" t="s">
        <v>14</v>
      </c>
      <c r="D144" s="30" t="s">
        <v>435</v>
      </c>
      <c r="E144" s="39">
        <v>31095925572</v>
      </c>
      <c r="F144" s="36" t="s">
        <v>33</v>
      </c>
      <c r="G144" s="32">
        <v>500</v>
      </c>
      <c r="H144" s="33">
        <v>45710</v>
      </c>
      <c r="I144" s="32" t="s">
        <v>578</v>
      </c>
      <c r="J144" s="32" t="s">
        <v>126</v>
      </c>
      <c r="K144" s="34">
        <v>352409739</v>
      </c>
      <c r="L144" s="35" t="s">
        <v>784</v>
      </c>
    </row>
    <row r="145" spans="1:12" hidden="1" x14ac:dyDescent="0.25">
      <c r="A145" s="30" t="s">
        <v>12</v>
      </c>
      <c r="B145" s="30" t="s">
        <v>13</v>
      </c>
      <c r="C145" s="30" t="s">
        <v>14</v>
      </c>
      <c r="D145" s="30" t="s">
        <v>343</v>
      </c>
      <c r="E145" s="30" t="s">
        <v>344</v>
      </c>
      <c r="F145" s="30" t="s">
        <v>345</v>
      </c>
      <c r="G145" s="32">
        <v>500</v>
      </c>
      <c r="H145" s="33">
        <v>45711</v>
      </c>
      <c r="I145" s="32" t="s">
        <v>568</v>
      </c>
      <c r="J145" s="32" t="s">
        <v>187</v>
      </c>
      <c r="K145" s="34">
        <v>352409760</v>
      </c>
      <c r="L145" s="35" t="s">
        <v>785</v>
      </c>
    </row>
    <row r="146" spans="1:12" s="38" customFormat="1" hidden="1" x14ac:dyDescent="0.25">
      <c r="A146" s="36" t="s">
        <v>12</v>
      </c>
      <c r="B146" s="36" t="s">
        <v>13</v>
      </c>
      <c r="C146" s="36" t="s">
        <v>14</v>
      </c>
      <c r="D146" s="36" t="s">
        <v>759</v>
      </c>
      <c r="E146" s="42">
        <v>35211636583</v>
      </c>
      <c r="F146" s="36" t="s">
        <v>33</v>
      </c>
      <c r="G146" s="37">
        <v>500</v>
      </c>
      <c r="H146" s="33">
        <v>45712</v>
      </c>
      <c r="I146" s="37" t="s">
        <v>590</v>
      </c>
      <c r="J146" s="37" t="s">
        <v>123</v>
      </c>
      <c r="K146" s="36">
        <v>352409777</v>
      </c>
      <c r="L146" s="35" t="s">
        <v>786</v>
      </c>
    </row>
    <row r="147" spans="1:12" hidden="1" x14ac:dyDescent="0.25">
      <c r="A147" s="30" t="s">
        <v>12</v>
      </c>
      <c r="B147" s="30" t="s">
        <v>13</v>
      </c>
      <c r="C147" s="30" t="s">
        <v>14</v>
      </c>
      <c r="D147" s="30" t="s">
        <v>343</v>
      </c>
      <c r="E147" s="30" t="s">
        <v>344</v>
      </c>
      <c r="F147" s="30" t="s">
        <v>345</v>
      </c>
      <c r="G147" s="32">
        <v>500</v>
      </c>
      <c r="H147" s="33">
        <v>45713</v>
      </c>
      <c r="I147" s="32" t="s">
        <v>568</v>
      </c>
      <c r="J147" s="32" t="s">
        <v>187</v>
      </c>
      <c r="K147" s="34">
        <v>352409803</v>
      </c>
      <c r="L147" s="35" t="s">
        <v>787</v>
      </c>
    </row>
    <row r="148" spans="1:12" hidden="1" x14ac:dyDescent="0.25">
      <c r="A148" s="30" t="s">
        <v>12</v>
      </c>
      <c r="B148" s="30" t="s">
        <v>13</v>
      </c>
      <c r="C148" s="30" t="s">
        <v>14</v>
      </c>
      <c r="D148" s="30" t="s">
        <v>144</v>
      </c>
      <c r="E148" s="39">
        <v>42542201947</v>
      </c>
      <c r="F148" s="30" t="s">
        <v>145</v>
      </c>
      <c r="G148" s="37">
        <v>6000</v>
      </c>
      <c r="H148" s="33">
        <v>45713</v>
      </c>
      <c r="I148" s="32" t="s">
        <v>652</v>
      </c>
      <c r="J148" s="32" t="s">
        <v>147</v>
      </c>
      <c r="K148" s="34">
        <v>352409793</v>
      </c>
      <c r="L148" s="35" t="s">
        <v>788</v>
      </c>
    </row>
    <row r="149" spans="1:12" hidden="1" x14ac:dyDescent="0.25">
      <c r="A149" s="30" t="s">
        <v>12</v>
      </c>
      <c r="B149" s="30" t="s">
        <v>13</v>
      </c>
      <c r="C149" s="30" t="s">
        <v>14</v>
      </c>
      <c r="D149" s="30" t="s">
        <v>760</v>
      </c>
      <c r="E149" s="30" t="s">
        <v>761</v>
      </c>
      <c r="F149" s="30" t="s">
        <v>33</v>
      </c>
      <c r="G149" s="37">
        <v>6000</v>
      </c>
      <c r="H149" s="33">
        <v>45713</v>
      </c>
      <c r="I149" s="37" t="s">
        <v>762</v>
      </c>
      <c r="J149" s="37" t="s">
        <v>142</v>
      </c>
      <c r="K149" s="34">
        <v>352409792</v>
      </c>
      <c r="L149" s="35" t="s">
        <v>788</v>
      </c>
    </row>
    <row r="150" spans="1:12" hidden="1" x14ac:dyDescent="0.25">
      <c r="A150" s="30" t="s">
        <v>12</v>
      </c>
      <c r="B150" s="30" t="s">
        <v>13</v>
      </c>
      <c r="C150" s="30" t="s">
        <v>14</v>
      </c>
      <c r="D150" s="32" t="s">
        <v>149</v>
      </c>
      <c r="E150" s="40">
        <v>50100624324501</v>
      </c>
      <c r="F150" s="32" t="s">
        <v>150</v>
      </c>
      <c r="G150" s="32">
        <v>5000</v>
      </c>
      <c r="H150" s="33">
        <v>45713</v>
      </c>
      <c r="I150" s="32" t="s">
        <v>567</v>
      </c>
      <c r="J150" s="32" t="s">
        <v>29</v>
      </c>
      <c r="K150" s="36">
        <v>352409791</v>
      </c>
      <c r="L150" s="35" t="s">
        <v>788</v>
      </c>
    </row>
    <row r="151" spans="1:12" hidden="1" x14ac:dyDescent="0.25">
      <c r="A151" s="30" t="s">
        <v>12</v>
      </c>
      <c r="B151" s="30" t="s">
        <v>13</v>
      </c>
      <c r="C151" s="30" t="s">
        <v>14</v>
      </c>
      <c r="D151" s="30" t="s">
        <v>95</v>
      </c>
      <c r="E151" s="30" t="s">
        <v>96</v>
      </c>
      <c r="F151" s="30" t="s">
        <v>33</v>
      </c>
      <c r="G151" s="32">
        <v>6000</v>
      </c>
      <c r="H151" s="33">
        <v>45713</v>
      </c>
      <c r="I151" s="32" t="s">
        <v>571</v>
      </c>
      <c r="J151" s="32" t="s">
        <v>59</v>
      </c>
      <c r="K151" s="34">
        <v>352409790</v>
      </c>
      <c r="L151" s="35" t="s">
        <v>788</v>
      </c>
    </row>
    <row r="152" spans="1:12" s="38" customFormat="1" hidden="1" x14ac:dyDescent="0.25">
      <c r="A152" s="36" t="s">
        <v>12</v>
      </c>
      <c r="B152" s="36" t="s">
        <v>13</v>
      </c>
      <c r="C152" s="36" t="s">
        <v>14</v>
      </c>
      <c r="D152" s="36" t="s">
        <v>759</v>
      </c>
      <c r="E152" s="42">
        <v>35211636583</v>
      </c>
      <c r="F152" s="36" t="s">
        <v>33</v>
      </c>
      <c r="G152" s="37">
        <v>500</v>
      </c>
      <c r="H152" s="33">
        <v>45713</v>
      </c>
      <c r="I152" s="37" t="s">
        <v>590</v>
      </c>
      <c r="J152" s="37" t="s">
        <v>123</v>
      </c>
      <c r="K152" s="36">
        <v>352409805</v>
      </c>
      <c r="L152" s="35" t="s">
        <v>789</v>
      </c>
    </row>
    <row r="153" spans="1:12" hidden="1" x14ac:dyDescent="0.25">
      <c r="A153" s="30" t="s">
        <v>12</v>
      </c>
      <c r="B153" s="30" t="s">
        <v>13</v>
      </c>
      <c r="C153" s="30" t="s">
        <v>14</v>
      </c>
      <c r="D153" s="30" t="s">
        <v>343</v>
      </c>
      <c r="E153" s="30" t="s">
        <v>344</v>
      </c>
      <c r="F153" s="30" t="s">
        <v>345</v>
      </c>
      <c r="G153" s="32">
        <v>500</v>
      </c>
      <c r="H153" s="33">
        <v>45714</v>
      </c>
      <c r="I153" s="32" t="s">
        <v>568</v>
      </c>
      <c r="J153" s="32" t="s">
        <v>187</v>
      </c>
      <c r="K153" s="34">
        <v>352409830</v>
      </c>
      <c r="L153" s="35" t="s">
        <v>790</v>
      </c>
    </row>
    <row r="154" spans="1:12" hidden="1" x14ac:dyDescent="0.25">
      <c r="A154" s="30" t="s">
        <v>12</v>
      </c>
      <c r="B154" s="30" t="s">
        <v>13</v>
      </c>
      <c r="C154" s="30" t="s">
        <v>14</v>
      </c>
      <c r="D154" s="30" t="s">
        <v>343</v>
      </c>
      <c r="E154" s="30" t="s">
        <v>344</v>
      </c>
      <c r="F154" s="30" t="s">
        <v>345</v>
      </c>
      <c r="G154" s="32">
        <v>500</v>
      </c>
      <c r="H154" s="33">
        <v>45716</v>
      </c>
      <c r="I154" s="32" t="s">
        <v>568</v>
      </c>
      <c r="J154" s="32" t="s">
        <v>187</v>
      </c>
      <c r="K154" s="34">
        <v>352409896</v>
      </c>
      <c r="L154" s="35" t="s">
        <v>791</v>
      </c>
    </row>
    <row r="155" spans="1:12" s="38" customFormat="1" hidden="1" x14ac:dyDescent="0.25">
      <c r="A155" s="36" t="s">
        <v>12</v>
      </c>
      <c r="B155" s="36" t="s">
        <v>13</v>
      </c>
      <c r="C155" s="36" t="s">
        <v>14</v>
      </c>
      <c r="D155" s="36" t="s">
        <v>759</v>
      </c>
      <c r="E155" s="42">
        <v>35211636583</v>
      </c>
      <c r="F155" s="36" t="s">
        <v>33</v>
      </c>
      <c r="G155" s="37">
        <v>500</v>
      </c>
      <c r="H155" s="33">
        <v>45716</v>
      </c>
      <c r="I155" s="37" t="s">
        <v>590</v>
      </c>
      <c r="J155" s="37" t="s">
        <v>123</v>
      </c>
      <c r="K155" s="36">
        <v>352409898</v>
      </c>
      <c r="L155" s="35" t="s">
        <v>791</v>
      </c>
    </row>
    <row r="156" spans="1:12" hidden="1" x14ac:dyDescent="0.25">
      <c r="A156" s="30" t="s">
        <v>12</v>
      </c>
      <c r="B156" s="30" t="s">
        <v>13</v>
      </c>
      <c r="C156" s="30" t="s">
        <v>14</v>
      </c>
      <c r="D156" s="30" t="s">
        <v>95</v>
      </c>
      <c r="E156" s="30" t="s">
        <v>96</v>
      </c>
      <c r="F156" s="30" t="s">
        <v>33</v>
      </c>
      <c r="G156" s="32">
        <v>6000</v>
      </c>
      <c r="H156" s="33">
        <v>45716</v>
      </c>
      <c r="I156" s="32" t="s">
        <v>571</v>
      </c>
      <c r="J156" s="32" t="s">
        <v>59</v>
      </c>
      <c r="K156" s="34">
        <v>352409899</v>
      </c>
      <c r="L156" s="35" t="s">
        <v>792</v>
      </c>
    </row>
    <row r="157" spans="1:12" hidden="1" x14ac:dyDescent="0.25">
      <c r="A157" s="30" t="s">
        <v>12</v>
      </c>
      <c r="B157" s="30" t="s">
        <v>13</v>
      </c>
      <c r="C157" s="30" t="s">
        <v>14</v>
      </c>
      <c r="D157" s="30" t="s">
        <v>734</v>
      </c>
      <c r="E157" s="30" t="s">
        <v>735</v>
      </c>
      <c r="F157" s="30" t="s">
        <v>736</v>
      </c>
      <c r="G157" s="37">
        <v>200</v>
      </c>
      <c r="H157" s="33">
        <v>45716</v>
      </c>
      <c r="I157" s="37" t="s">
        <v>566</v>
      </c>
      <c r="J157" s="37" t="s">
        <v>156</v>
      </c>
      <c r="K157" s="36">
        <v>352409880</v>
      </c>
      <c r="L157" s="35" t="s">
        <v>793</v>
      </c>
    </row>
    <row r="158" spans="1:12" hidden="1" x14ac:dyDescent="0.25">
      <c r="A158" s="30" t="s">
        <v>12</v>
      </c>
      <c r="B158" s="30" t="s">
        <v>13</v>
      </c>
      <c r="C158" s="30" t="s">
        <v>14</v>
      </c>
      <c r="D158" s="30" t="s">
        <v>343</v>
      </c>
      <c r="E158" s="30" t="s">
        <v>344</v>
      </c>
      <c r="F158" s="30" t="s">
        <v>345</v>
      </c>
      <c r="G158" s="32">
        <v>500</v>
      </c>
      <c r="H158" s="33">
        <v>45718</v>
      </c>
      <c r="I158" s="32" t="s">
        <v>568</v>
      </c>
      <c r="J158" s="32" t="s">
        <v>187</v>
      </c>
      <c r="K158" s="34">
        <v>352409950</v>
      </c>
      <c r="L158" s="35" t="s">
        <v>794</v>
      </c>
    </row>
    <row r="159" spans="1:12" hidden="1" x14ac:dyDescent="0.25">
      <c r="A159" s="30" t="s">
        <v>12</v>
      </c>
      <c r="B159" s="30" t="s">
        <v>13</v>
      </c>
      <c r="C159" s="30" t="s">
        <v>14</v>
      </c>
      <c r="D159" s="30" t="s">
        <v>95</v>
      </c>
      <c r="E159" s="30" t="s">
        <v>96</v>
      </c>
      <c r="F159" s="30" t="s">
        <v>33</v>
      </c>
      <c r="G159" s="32">
        <v>6200</v>
      </c>
      <c r="H159" s="33">
        <v>45718</v>
      </c>
      <c r="I159" s="32" t="s">
        <v>571</v>
      </c>
      <c r="J159" s="32" t="s">
        <v>59</v>
      </c>
      <c r="K159" s="34">
        <v>352409951</v>
      </c>
      <c r="L159" s="35" t="s">
        <v>795</v>
      </c>
    </row>
    <row r="160" spans="1:12" hidden="1" x14ac:dyDescent="0.25">
      <c r="A160" s="30" t="s">
        <v>12</v>
      </c>
      <c r="B160" s="30" t="s">
        <v>13</v>
      </c>
      <c r="C160" s="30" t="s">
        <v>14</v>
      </c>
      <c r="D160" s="30" t="s">
        <v>36</v>
      </c>
      <c r="E160" s="30" t="s">
        <v>37</v>
      </c>
      <c r="F160" s="30" t="s">
        <v>38</v>
      </c>
      <c r="G160" s="32">
        <v>500</v>
      </c>
      <c r="H160" s="33">
        <v>45719</v>
      </c>
      <c r="I160" s="32" t="s">
        <v>578</v>
      </c>
      <c r="J160" s="32" t="s">
        <v>126</v>
      </c>
      <c r="K160" s="34">
        <v>352409952</v>
      </c>
      <c r="L160" s="35" t="s">
        <v>796</v>
      </c>
    </row>
    <row r="161" spans="1:12" s="38" customFormat="1" hidden="1" x14ac:dyDescent="0.25">
      <c r="A161" s="36" t="s">
        <v>12</v>
      </c>
      <c r="B161" s="36" t="s">
        <v>13</v>
      </c>
      <c r="C161" s="36" t="s">
        <v>14</v>
      </c>
      <c r="D161" s="36" t="s">
        <v>759</v>
      </c>
      <c r="E161" s="42">
        <v>35211636583</v>
      </c>
      <c r="F161" s="36" t="s">
        <v>33</v>
      </c>
      <c r="G161" s="37">
        <v>500</v>
      </c>
      <c r="H161" s="33">
        <v>45719</v>
      </c>
      <c r="I161" s="37" t="s">
        <v>590</v>
      </c>
      <c r="J161" s="37" t="s">
        <v>123</v>
      </c>
      <c r="K161" s="36">
        <v>352409953</v>
      </c>
      <c r="L161" s="35" t="s">
        <v>796</v>
      </c>
    </row>
    <row r="162" spans="1:12" hidden="1" x14ac:dyDescent="0.25">
      <c r="A162" s="30" t="s">
        <v>12</v>
      </c>
      <c r="B162" s="30" t="s">
        <v>13</v>
      </c>
      <c r="C162" s="30" t="s">
        <v>14</v>
      </c>
      <c r="D162" s="30" t="s">
        <v>31</v>
      </c>
      <c r="E162" s="30" t="s">
        <v>32</v>
      </c>
      <c r="F162" s="30" t="s">
        <v>33</v>
      </c>
      <c r="G162" s="32">
        <v>6200</v>
      </c>
      <c r="H162" s="33">
        <v>45719</v>
      </c>
      <c r="I162" s="32" t="s">
        <v>693</v>
      </c>
      <c r="J162" s="32" t="s">
        <v>118</v>
      </c>
      <c r="K162" s="34">
        <v>352409924</v>
      </c>
      <c r="L162" s="35" t="s">
        <v>797</v>
      </c>
    </row>
    <row r="163" spans="1:12" hidden="1" x14ac:dyDescent="0.25">
      <c r="A163" s="30" t="s">
        <v>12</v>
      </c>
      <c r="B163" s="30" t="s">
        <v>13</v>
      </c>
      <c r="C163" s="30" t="s">
        <v>14</v>
      </c>
      <c r="D163" s="30" t="s">
        <v>144</v>
      </c>
      <c r="E163" s="39">
        <v>42542201947</v>
      </c>
      <c r="F163" s="30" t="s">
        <v>145</v>
      </c>
      <c r="G163" s="32">
        <v>6200</v>
      </c>
      <c r="H163" s="33">
        <v>45719</v>
      </c>
      <c r="I163" s="32" t="s">
        <v>652</v>
      </c>
      <c r="J163" s="32" t="s">
        <v>147</v>
      </c>
      <c r="K163" s="34">
        <v>352409877</v>
      </c>
      <c r="L163" s="35" t="s">
        <v>797</v>
      </c>
    </row>
    <row r="164" spans="1:12" hidden="1" x14ac:dyDescent="0.25">
      <c r="A164" s="30" t="s">
        <v>12</v>
      </c>
      <c r="B164" s="30" t="s">
        <v>13</v>
      </c>
      <c r="C164" s="30" t="s">
        <v>14</v>
      </c>
      <c r="D164" s="30" t="s">
        <v>95</v>
      </c>
      <c r="E164" s="30" t="s">
        <v>96</v>
      </c>
      <c r="F164" s="30" t="s">
        <v>33</v>
      </c>
      <c r="G164" s="32">
        <v>6200</v>
      </c>
      <c r="H164" s="33">
        <v>45719</v>
      </c>
      <c r="I164" s="32" t="s">
        <v>571</v>
      </c>
      <c r="J164" s="32" t="s">
        <v>59</v>
      </c>
      <c r="K164" s="34">
        <v>352409951</v>
      </c>
      <c r="L164" s="35" t="s">
        <v>797</v>
      </c>
    </row>
    <row r="165" spans="1:12" s="38" customFormat="1" hidden="1" x14ac:dyDescent="0.25">
      <c r="A165" s="36" t="s">
        <v>12</v>
      </c>
      <c r="B165" s="36" t="s">
        <v>13</v>
      </c>
      <c r="C165" s="36" t="s">
        <v>14</v>
      </c>
      <c r="D165" s="36" t="s">
        <v>591</v>
      </c>
      <c r="E165" s="36" t="s">
        <v>592</v>
      </c>
      <c r="F165" s="36" t="s">
        <v>110</v>
      </c>
      <c r="G165" s="32">
        <v>2000</v>
      </c>
      <c r="H165" s="33">
        <v>45719</v>
      </c>
      <c r="I165" s="37" t="s">
        <v>593</v>
      </c>
      <c r="J165" s="37" t="s">
        <v>76</v>
      </c>
      <c r="K165" s="34">
        <v>352409967</v>
      </c>
      <c r="L165" s="35" t="s">
        <v>798</v>
      </c>
    </row>
    <row r="166" spans="1:12" hidden="1" x14ac:dyDescent="0.25">
      <c r="A166" s="30" t="s">
        <v>12</v>
      </c>
      <c r="B166" s="30" t="s">
        <v>13</v>
      </c>
      <c r="C166" s="30" t="s">
        <v>14</v>
      </c>
      <c r="D166" s="30" t="s">
        <v>734</v>
      </c>
      <c r="E166" s="30" t="s">
        <v>735</v>
      </c>
      <c r="F166" s="30" t="s">
        <v>736</v>
      </c>
      <c r="G166" s="37">
        <v>2000</v>
      </c>
      <c r="H166" s="33">
        <v>45719</v>
      </c>
      <c r="I166" s="37" t="s">
        <v>566</v>
      </c>
      <c r="J166" s="37" t="s">
        <v>156</v>
      </c>
      <c r="K166" s="36">
        <v>352409880</v>
      </c>
      <c r="L166" s="35" t="s">
        <v>690</v>
      </c>
    </row>
    <row r="167" spans="1:12" hidden="1" x14ac:dyDescent="0.25">
      <c r="A167" s="30" t="s">
        <v>12</v>
      </c>
      <c r="B167" s="30" t="s">
        <v>13</v>
      </c>
      <c r="C167" s="30" t="s">
        <v>14</v>
      </c>
      <c r="D167" s="30" t="s">
        <v>343</v>
      </c>
      <c r="E167" s="30" t="s">
        <v>344</v>
      </c>
      <c r="F167" s="30" t="s">
        <v>345</v>
      </c>
      <c r="G167" s="32">
        <v>500</v>
      </c>
      <c r="H167" s="33">
        <v>45720</v>
      </c>
      <c r="I167" s="32" t="s">
        <v>568</v>
      </c>
      <c r="J167" s="32" t="s">
        <v>187</v>
      </c>
      <c r="K167" s="34">
        <v>352409979</v>
      </c>
      <c r="L167" s="35" t="s">
        <v>799</v>
      </c>
    </row>
    <row r="168" spans="1:12" hidden="1" x14ac:dyDescent="0.25">
      <c r="A168" s="30" t="s">
        <v>12</v>
      </c>
      <c r="B168" s="30" t="s">
        <v>13</v>
      </c>
      <c r="C168" s="30" t="s">
        <v>14</v>
      </c>
      <c r="D168" s="30" t="s">
        <v>343</v>
      </c>
      <c r="E168" s="30" t="s">
        <v>344</v>
      </c>
      <c r="F168" s="30" t="s">
        <v>345</v>
      </c>
      <c r="G168" s="32">
        <v>500</v>
      </c>
      <c r="H168" s="33">
        <v>45721</v>
      </c>
      <c r="I168" s="32" t="s">
        <v>568</v>
      </c>
      <c r="J168" s="32" t="s">
        <v>187</v>
      </c>
      <c r="K168" s="34">
        <v>352410004</v>
      </c>
      <c r="L168" s="35" t="s">
        <v>800</v>
      </c>
    </row>
    <row r="169" spans="1:12" x14ac:dyDescent="0.25">
      <c r="A169" s="30" t="s">
        <v>12</v>
      </c>
      <c r="B169" s="30" t="s">
        <v>13</v>
      </c>
      <c r="C169" s="30" t="s">
        <v>14</v>
      </c>
      <c r="D169" s="30" t="s">
        <v>31</v>
      </c>
      <c r="E169" s="30" t="s">
        <v>32</v>
      </c>
      <c r="F169" s="30" t="s">
        <v>33</v>
      </c>
      <c r="G169" s="32">
        <v>3000</v>
      </c>
      <c r="H169" s="33">
        <v>45721</v>
      </c>
      <c r="I169" s="32" t="s">
        <v>693</v>
      </c>
      <c r="J169" s="32" t="s">
        <v>118</v>
      </c>
      <c r="K169" s="34">
        <v>352409986</v>
      </c>
      <c r="L169" s="35" t="s">
        <v>801</v>
      </c>
    </row>
    <row r="170" spans="1:12" hidden="1" x14ac:dyDescent="0.25">
      <c r="A170" s="30" t="s">
        <v>12</v>
      </c>
      <c r="B170" s="30" t="s">
        <v>13</v>
      </c>
      <c r="C170" s="30" t="s">
        <v>14</v>
      </c>
      <c r="D170" s="30" t="s">
        <v>31</v>
      </c>
      <c r="E170" s="30" t="s">
        <v>32</v>
      </c>
      <c r="F170" s="30" t="s">
        <v>33</v>
      </c>
      <c r="G170" s="32">
        <v>6200</v>
      </c>
      <c r="H170" s="33">
        <v>45721</v>
      </c>
      <c r="I170" s="32" t="s">
        <v>667</v>
      </c>
      <c r="J170" s="32" t="s">
        <v>98</v>
      </c>
      <c r="K170" s="34">
        <v>352409774</v>
      </c>
      <c r="L170" s="35" t="s">
        <v>802</v>
      </c>
    </row>
    <row r="171" spans="1:12" s="38" customFormat="1" hidden="1" x14ac:dyDescent="0.25">
      <c r="A171" s="36" t="s">
        <v>12</v>
      </c>
      <c r="B171" s="36" t="s">
        <v>13</v>
      </c>
      <c r="C171" s="36" t="s">
        <v>14</v>
      </c>
      <c r="D171" s="36" t="s">
        <v>759</v>
      </c>
      <c r="E171" s="42">
        <v>35211636583</v>
      </c>
      <c r="F171" s="36" t="s">
        <v>33</v>
      </c>
      <c r="G171" s="37">
        <v>500</v>
      </c>
      <c r="H171" s="33">
        <v>45722</v>
      </c>
      <c r="I171" s="37" t="s">
        <v>590</v>
      </c>
      <c r="J171" s="37" t="s">
        <v>123</v>
      </c>
      <c r="K171" s="36">
        <v>352410025</v>
      </c>
      <c r="L171" s="35" t="s">
        <v>803</v>
      </c>
    </row>
    <row r="172" spans="1:12" hidden="1" x14ac:dyDescent="0.25">
      <c r="A172" s="30" t="s">
        <v>12</v>
      </c>
      <c r="B172" s="30" t="s">
        <v>13</v>
      </c>
      <c r="C172" s="30" t="s">
        <v>14</v>
      </c>
      <c r="D172" s="30" t="s">
        <v>108</v>
      </c>
      <c r="E172" s="30" t="s">
        <v>109</v>
      </c>
      <c r="F172" s="30" t="s">
        <v>110</v>
      </c>
      <c r="G172" s="32">
        <v>6000</v>
      </c>
      <c r="H172" s="33">
        <v>45722</v>
      </c>
      <c r="I172" s="32" t="s">
        <v>701</v>
      </c>
      <c r="J172" s="32" t="s">
        <v>68</v>
      </c>
      <c r="K172" s="34">
        <v>352410034</v>
      </c>
      <c r="L172" s="35" t="s">
        <v>804</v>
      </c>
    </row>
    <row r="173" spans="1:12" hidden="1" x14ac:dyDescent="0.25">
      <c r="A173" s="30" t="s">
        <v>12</v>
      </c>
      <c r="B173" s="30" t="s">
        <v>13</v>
      </c>
      <c r="C173" s="30" t="s">
        <v>14</v>
      </c>
      <c r="D173" s="30" t="s">
        <v>343</v>
      </c>
      <c r="E173" s="30" t="s">
        <v>344</v>
      </c>
      <c r="F173" s="30" t="s">
        <v>345</v>
      </c>
      <c r="G173" s="32">
        <v>500</v>
      </c>
      <c r="H173" s="33">
        <v>45723</v>
      </c>
      <c r="I173" s="32" t="s">
        <v>568</v>
      </c>
      <c r="J173" s="32" t="s">
        <v>187</v>
      </c>
      <c r="K173" s="34">
        <v>352410054</v>
      </c>
      <c r="L173" s="35" t="s">
        <v>805</v>
      </c>
    </row>
    <row r="174" spans="1:12" hidden="1" x14ac:dyDescent="0.25">
      <c r="A174" s="30" t="s">
        <v>12</v>
      </c>
      <c r="B174" s="30" t="s">
        <v>13</v>
      </c>
      <c r="C174" s="30" t="s">
        <v>14</v>
      </c>
      <c r="D174" s="30" t="s">
        <v>734</v>
      </c>
      <c r="E174" s="30" t="s">
        <v>735</v>
      </c>
      <c r="F174" s="30" t="s">
        <v>736</v>
      </c>
      <c r="G174" s="37">
        <v>5250</v>
      </c>
      <c r="H174" s="33">
        <v>45723</v>
      </c>
      <c r="I174" s="37" t="s">
        <v>573</v>
      </c>
      <c r="J174" s="37" t="s">
        <v>84</v>
      </c>
      <c r="K174" s="36">
        <v>352410026</v>
      </c>
      <c r="L174" s="35" t="s">
        <v>809</v>
      </c>
    </row>
    <row r="175" spans="1:12" hidden="1" x14ac:dyDescent="0.25">
      <c r="A175" s="30" t="s">
        <v>12</v>
      </c>
      <c r="B175" s="30" t="s">
        <v>13</v>
      </c>
      <c r="C175" s="30" t="s">
        <v>14</v>
      </c>
      <c r="D175" s="30" t="s">
        <v>806</v>
      </c>
      <c r="E175" s="30" t="s">
        <v>807</v>
      </c>
      <c r="F175" s="30" t="s">
        <v>808</v>
      </c>
      <c r="G175" s="32">
        <v>4750</v>
      </c>
      <c r="H175" s="33">
        <v>45723</v>
      </c>
      <c r="I175" s="32" t="s">
        <v>593</v>
      </c>
      <c r="J175" s="32" t="s">
        <v>76</v>
      </c>
      <c r="K175" s="34">
        <v>352410052</v>
      </c>
      <c r="L175" s="35" t="s">
        <v>810</v>
      </c>
    </row>
    <row r="176" spans="1:12" hidden="1" x14ac:dyDescent="0.25">
      <c r="A176" s="30" t="s">
        <v>12</v>
      </c>
      <c r="B176" s="30" t="s">
        <v>13</v>
      </c>
      <c r="C176" s="30" t="s">
        <v>14</v>
      </c>
      <c r="D176" s="30" t="s">
        <v>343</v>
      </c>
      <c r="E176" s="30" t="s">
        <v>344</v>
      </c>
      <c r="F176" s="30" t="s">
        <v>345</v>
      </c>
      <c r="G176" s="32">
        <v>500</v>
      </c>
      <c r="H176" s="33">
        <v>45724</v>
      </c>
      <c r="I176" s="32" t="s">
        <v>568</v>
      </c>
      <c r="J176" s="32" t="s">
        <v>187</v>
      </c>
      <c r="K176" s="34">
        <v>352410096</v>
      </c>
      <c r="L176" s="35" t="s">
        <v>811</v>
      </c>
    </row>
    <row r="177" spans="1:12" hidden="1" x14ac:dyDescent="0.25">
      <c r="A177" s="30" t="s">
        <v>12</v>
      </c>
      <c r="B177" s="30" t="s">
        <v>13</v>
      </c>
      <c r="C177" s="30" t="s">
        <v>14</v>
      </c>
      <c r="D177" s="30" t="s">
        <v>734</v>
      </c>
      <c r="E177" s="30" t="s">
        <v>735</v>
      </c>
      <c r="F177" s="30" t="s">
        <v>736</v>
      </c>
      <c r="G177" s="37">
        <v>5250</v>
      </c>
      <c r="H177" s="33">
        <v>45724</v>
      </c>
      <c r="I177" s="37" t="s">
        <v>573</v>
      </c>
      <c r="J177" s="37" t="s">
        <v>84</v>
      </c>
      <c r="K177" s="36">
        <v>352410093</v>
      </c>
      <c r="L177" s="35" t="s">
        <v>812</v>
      </c>
    </row>
    <row r="178" spans="1:12" s="38" customFormat="1" hidden="1" x14ac:dyDescent="0.25">
      <c r="A178" s="36" t="s">
        <v>12</v>
      </c>
      <c r="B178" s="36" t="s">
        <v>13</v>
      </c>
      <c r="C178" s="36" t="s">
        <v>14</v>
      </c>
      <c r="D178" s="30" t="s">
        <v>734</v>
      </c>
      <c r="E178" s="30" t="s">
        <v>735</v>
      </c>
      <c r="F178" s="30" t="s">
        <v>736</v>
      </c>
      <c r="G178" s="37">
        <v>2000</v>
      </c>
      <c r="H178" s="33">
        <v>45724</v>
      </c>
      <c r="I178" s="37" t="s">
        <v>590</v>
      </c>
      <c r="J178" s="37" t="s">
        <v>123</v>
      </c>
      <c r="K178" s="36">
        <v>352410025</v>
      </c>
      <c r="L178" s="35" t="s">
        <v>690</v>
      </c>
    </row>
    <row r="179" spans="1:12" hidden="1" x14ac:dyDescent="0.25">
      <c r="A179" s="30" t="s">
        <v>12</v>
      </c>
      <c r="B179" s="30" t="s">
        <v>13</v>
      </c>
      <c r="C179" s="30" t="s">
        <v>14</v>
      </c>
      <c r="D179" s="30" t="s">
        <v>343</v>
      </c>
      <c r="E179" s="30" t="s">
        <v>344</v>
      </c>
      <c r="F179" s="30" t="s">
        <v>345</v>
      </c>
      <c r="G179" s="32">
        <v>500</v>
      </c>
      <c r="H179" s="33">
        <v>45726</v>
      </c>
      <c r="I179" s="32" t="s">
        <v>568</v>
      </c>
      <c r="J179" s="32" t="s">
        <v>187</v>
      </c>
      <c r="K179" s="34">
        <v>352410106</v>
      </c>
      <c r="L179" s="35" t="s">
        <v>813</v>
      </c>
    </row>
    <row r="180" spans="1:12" s="38" customFormat="1" hidden="1" x14ac:dyDescent="0.25">
      <c r="A180" s="36" t="s">
        <v>12</v>
      </c>
      <c r="B180" s="36" t="s">
        <v>13</v>
      </c>
      <c r="C180" s="36" t="s">
        <v>14</v>
      </c>
      <c r="D180" s="36" t="s">
        <v>759</v>
      </c>
      <c r="E180" s="42">
        <v>35211636583</v>
      </c>
      <c r="F180" s="36" t="s">
        <v>33</v>
      </c>
      <c r="G180" s="37">
        <v>500</v>
      </c>
      <c r="H180" s="33">
        <v>45726</v>
      </c>
      <c r="I180" s="37" t="s">
        <v>590</v>
      </c>
      <c r="J180" s="37" t="s">
        <v>123</v>
      </c>
      <c r="K180" s="36">
        <v>352410131</v>
      </c>
      <c r="L180" s="35" t="s">
        <v>814</v>
      </c>
    </row>
    <row r="181" spans="1:12" hidden="1" x14ac:dyDescent="0.25">
      <c r="A181" s="43" t="s">
        <v>12</v>
      </c>
      <c r="B181" s="43" t="s">
        <v>13</v>
      </c>
      <c r="C181" s="43" t="s">
        <v>14</v>
      </c>
      <c r="D181" s="43" t="s">
        <v>734</v>
      </c>
      <c r="E181" s="43" t="s">
        <v>735</v>
      </c>
      <c r="F181" s="43" t="s">
        <v>736</v>
      </c>
      <c r="G181" s="44">
        <v>5250</v>
      </c>
      <c r="H181" s="45">
        <v>45726</v>
      </c>
      <c r="I181" s="44" t="s">
        <v>573</v>
      </c>
      <c r="J181" s="44" t="s">
        <v>84</v>
      </c>
      <c r="K181" s="43">
        <v>352410107</v>
      </c>
      <c r="L181" s="46" t="s">
        <v>815</v>
      </c>
    </row>
    <row r="182" spans="1:12" hidden="1" x14ac:dyDescent="0.25">
      <c r="A182" s="30" t="s">
        <v>12</v>
      </c>
      <c r="B182" s="30" t="s">
        <v>13</v>
      </c>
      <c r="C182" s="30" t="s">
        <v>14</v>
      </c>
      <c r="D182" s="30" t="s">
        <v>806</v>
      </c>
      <c r="E182" s="30" t="s">
        <v>807</v>
      </c>
      <c r="F182" s="30" t="s">
        <v>808</v>
      </c>
      <c r="G182" s="32">
        <v>3750</v>
      </c>
      <c r="H182" s="33">
        <v>45726</v>
      </c>
      <c r="I182" s="32" t="s">
        <v>593</v>
      </c>
      <c r="J182" s="32" t="s">
        <v>76</v>
      </c>
      <c r="K182" s="34">
        <v>352410099</v>
      </c>
      <c r="L182" s="35" t="s">
        <v>815</v>
      </c>
    </row>
    <row r="183" spans="1:12" hidden="1" x14ac:dyDescent="0.25">
      <c r="A183" s="43" t="s">
        <v>12</v>
      </c>
      <c r="B183" s="43" t="s">
        <v>13</v>
      </c>
      <c r="C183" s="43" t="s">
        <v>14</v>
      </c>
      <c r="D183" s="43" t="s">
        <v>343</v>
      </c>
      <c r="E183" s="43" t="s">
        <v>344</v>
      </c>
      <c r="F183" s="43" t="s">
        <v>345</v>
      </c>
      <c r="G183" s="44">
        <v>500</v>
      </c>
      <c r="H183" s="45">
        <v>45727</v>
      </c>
      <c r="I183" s="44" t="s">
        <v>568</v>
      </c>
      <c r="J183" s="44" t="s">
        <v>187</v>
      </c>
      <c r="K183" s="46">
        <v>352410141</v>
      </c>
      <c r="L183" s="46" t="s">
        <v>816</v>
      </c>
    </row>
    <row r="184" spans="1:12" hidden="1" x14ac:dyDescent="0.25">
      <c r="A184" s="30" t="s">
        <v>12</v>
      </c>
      <c r="B184" s="30" t="s">
        <v>13</v>
      </c>
      <c r="C184" s="30" t="s">
        <v>14</v>
      </c>
      <c r="D184" s="30" t="s">
        <v>734</v>
      </c>
      <c r="E184" s="30" t="s">
        <v>735</v>
      </c>
      <c r="F184" s="30" t="s">
        <v>736</v>
      </c>
      <c r="G184" s="37">
        <v>5250</v>
      </c>
      <c r="H184" s="33">
        <v>45727</v>
      </c>
      <c r="I184" s="37" t="s">
        <v>573</v>
      </c>
      <c r="J184" s="37" t="s">
        <v>84</v>
      </c>
      <c r="K184" s="36">
        <v>352410159</v>
      </c>
      <c r="L184" s="35" t="s">
        <v>817</v>
      </c>
    </row>
    <row r="185" spans="1:12" hidden="1" x14ac:dyDescent="0.25">
      <c r="A185" s="30" t="s">
        <v>12</v>
      </c>
      <c r="B185" s="30" t="s">
        <v>13</v>
      </c>
      <c r="C185" s="30" t="s">
        <v>14</v>
      </c>
      <c r="D185" s="30" t="s">
        <v>806</v>
      </c>
      <c r="E185" s="30" t="s">
        <v>807</v>
      </c>
      <c r="F185" s="30" t="s">
        <v>808</v>
      </c>
      <c r="G185" s="37">
        <v>5250</v>
      </c>
      <c r="H185" s="33">
        <v>45727</v>
      </c>
      <c r="I185" s="32" t="s">
        <v>593</v>
      </c>
      <c r="J185" s="32" t="s">
        <v>76</v>
      </c>
      <c r="K185" s="36">
        <v>352410160</v>
      </c>
      <c r="L185" s="35" t="s">
        <v>817</v>
      </c>
    </row>
    <row r="186" spans="1:12" hidden="1" x14ac:dyDescent="0.25">
      <c r="A186" s="30" t="s">
        <v>12</v>
      </c>
      <c r="B186" s="30" t="s">
        <v>13</v>
      </c>
      <c r="C186" s="30" t="s">
        <v>14</v>
      </c>
      <c r="D186" s="30" t="s">
        <v>734</v>
      </c>
      <c r="E186" s="30" t="s">
        <v>735</v>
      </c>
      <c r="F186" s="30" t="s">
        <v>736</v>
      </c>
      <c r="G186" s="37">
        <v>5250</v>
      </c>
      <c r="H186" s="33">
        <v>45727</v>
      </c>
      <c r="I186" s="37" t="s">
        <v>573</v>
      </c>
      <c r="J186" s="37" t="s">
        <v>84</v>
      </c>
      <c r="K186" s="36">
        <v>352410107</v>
      </c>
      <c r="L186" s="35" t="s">
        <v>815</v>
      </c>
    </row>
    <row r="187" spans="1:12" s="38" customFormat="1" hidden="1" x14ac:dyDescent="0.25">
      <c r="A187" s="36" t="s">
        <v>12</v>
      </c>
      <c r="B187" s="36" t="s">
        <v>13</v>
      </c>
      <c r="C187" s="36" t="s">
        <v>14</v>
      </c>
      <c r="D187" s="36" t="s">
        <v>759</v>
      </c>
      <c r="E187" s="42">
        <v>35211636583</v>
      </c>
      <c r="F187" s="36" t="s">
        <v>33</v>
      </c>
      <c r="G187" s="37">
        <v>500</v>
      </c>
      <c r="H187" s="33">
        <v>45727</v>
      </c>
      <c r="I187" s="37" t="s">
        <v>590</v>
      </c>
      <c r="J187" s="37" t="s">
        <v>123</v>
      </c>
      <c r="K187" s="36">
        <v>352410168</v>
      </c>
      <c r="L187" s="35" t="s">
        <v>818</v>
      </c>
    </row>
    <row r="188" spans="1:12" s="38" customFormat="1" hidden="1" x14ac:dyDescent="0.25">
      <c r="A188" s="36" t="s">
        <v>12</v>
      </c>
      <c r="B188" s="36" t="s">
        <v>13</v>
      </c>
      <c r="C188" s="36" t="s">
        <v>14</v>
      </c>
      <c r="D188" s="36" t="s">
        <v>759</v>
      </c>
      <c r="E188" s="42">
        <v>35211636583</v>
      </c>
      <c r="F188" s="36" t="s">
        <v>33</v>
      </c>
      <c r="G188" s="37">
        <v>500</v>
      </c>
      <c r="H188" s="33">
        <v>45728</v>
      </c>
      <c r="I188" s="37" t="s">
        <v>590</v>
      </c>
      <c r="J188" s="37" t="s">
        <v>123</v>
      </c>
      <c r="K188" s="36">
        <v>352410175</v>
      </c>
      <c r="L188" s="35" t="s">
        <v>819</v>
      </c>
    </row>
    <row r="189" spans="1:12" hidden="1" x14ac:dyDescent="0.25">
      <c r="A189" s="30" t="s">
        <v>12</v>
      </c>
      <c r="B189" s="30" t="s">
        <v>13</v>
      </c>
      <c r="C189" s="30" t="s">
        <v>14</v>
      </c>
      <c r="D189" s="30" t="s">
        <v>343</v>
      </c>
      <c r="E189" s="30" t="s">
        <v>344</v>
      </c>
      <c r="F189" s="30" t="s">
        <v>345</v>
      </c>
      <c r="G189" s="32">
        <v>500</v>
      </c>
      <c r="H189" s="33">
        <v>45728</v>
      </c>
      <c r="I189" s="32" t="s">
        <v>568</v>
      </c>
      <c r="J189" s="32" t="s">
        <v>187</v>
      </c>
      <c r="K189" s="36">
        <v>352410176</v>
      </c>
      <c r="L189" s="35" t="s">
        <v>819</v>
      </c>
    </row>
    <row r="190" spans="1:12" hidden="1" x14ac:dyDescent="0.25">
      <c r="A190" s="30" t="s">
        <v>12</v>
      </c>
      <c r="B190" s="30" t="s">
        <v>13</v>
      </c>
      <c r="C190" s="30" t="s">
        <v>14</v>
      </c>
      <c r="D190" s="30" t="s">
        <v>734</v>
      </c>
      <c r="E190" s="30" t="s">
        <v>735</v>
      </c>
      <c r="F190" s="30" t="s">
        <v>736</v>
      </c>
      <c r="G190" s="37">
        <v>5250</v>
      </c>
      <c r="H190" s="33">
        <v>45728</v>
      </c>
      <c r="I190" s="37" t="s">
        <v>573</v>
      </c>
      <c r="J190" s="37" t="s">
        <v>84</v>
      </c>
      <c r="K190" s="36">
        <v>352410178</v>
      </c>
      <c r="L190" s="35" t="s">
        <v>820</v>
      </c>
    </row>
    <row r="191" spans="1:12" hidden="1" x14ac:dyDescent="0.25">
      <c r="A191" s="30" t="s">
        <v>12</v>
      </c>
      <c r="B191" s="30" t="s">
        <v>13</v>
      </c>
      <c r="C191" s="30" t="s">
        <v>14</v>
      </c>
      <c r="D191" s="30" t="s">
        <v>806</v>
      </c>
      <c r="E191" s="30" t="s">
        <v>807</v>
      </c>
      <c r="F191" s="30" t="s">
        <v>808</v>
      </c>
      <c r="G191" s="37">
        <v>5250</v>
      </c>
      <c r="H191" s="33">
        <v>45728</v>
      </c>
      <c r="I191" s="32" t="s">
        <v>593</v>
      </c>
      <c r="J191" s="32" t="s">
        <v>76</v>
      </c>
      <c r="K191" s="36">
        <v>352410177</v>
      </c>
      <c r="L191" s="35" t="s">
        <v>820</v>
      </c>
    </row>
    <row r="192" spans="1:12" hidden="1" x14ac:dyDescent="0.25">
      <c r="A192" s="30" t="s">
        <v>12</v>
      </c>
      <c r="B192" s="30" t="s">
        <v>13</v>
      </c>
      <c r="C192" s="30" t="s">
        <v>14</v>
      </c>
      <c r="D192" s="30" t="s">
        <v>343</v>
      </c>
      <c r="E192" s="30" t="s">
        <v>344</v>
      </c>
      <c r="F192" s="30" t="s">
        <v>345</v>
      </c>
      <c r="G192" s="32">
        <v>500</v>
      </c>
      <c r="H192" s="33">
        <v>45728</v>
      </c>
      <c r="I192" s="32" t="s">
        <v>568</v>
      </c>
      <c r="J192" s="32" t="s">
        <v>187</v>
      </c>
      <c r="K192" s="34">
        <v>352410141</v>
      </c>
      <c r="L192" s="35" t="s">
        <v>816</v>
      </c>
    </row>
    <row r="193" spans="1:12" hidden="1" x14ac:dyDescent="0.25">
      <c r="A193" s="30" t="s">
        <v>12</v>
      </c>
      <c r="B193" s="30" t="s">
        <v>13</v>
      </c>
      <c r="C193" s="30" t="s">
        <v>14</v>
      </c>
      <c r="D193" s="36" t="s">
        <v>193</v>
      </c>
      <c r="E193" s="36" t="s">
        <v>194</v>
      </c>
      <c r="F193" s="36" t="s">
        <v>195</v>
      </c>
      <c r="G193" s="32">
        <v>5250</v>
      </c>
      <c r="H193" s="33">
        <v>45729</v>
      </c>
      <c r="I193" s="32" t="s">
        <v>572</v>
      </c>
      <c r="J193" s="32" t="s">
        <v>34</v>
      </c>
      <c r="K193" s="34">
        <v>352410220</v>
      </c>
      <c r="L193" s="35" t="s">
        <v>820</v>
      </c>
    </row>
    <row r="194" spans="1:12" s="38" customFormat="1" hidden="1" x14ac:dyDescent="0.25">
      <c r="A194" s="36" t="s">
        <v>12</v>
      </c>
      <c r="B194" s="36" t="s">
        <v>13</v>
      </c>
      <c r="C194" s="36" t="s">
        <v>14</v>
      </c>
      <c r="D194" s="36" t="s">
        <v>759</v>
      </c>
      <c r="E194" s="42">
        <v>35211636583</v>
      </c>
      <c r="F194" s="36" t="s">
        <v>33</v>
      </c>
      <c r="G194" s="37">
        <v>500</v>
      </c>
      <c r="H194" s="33">
        <v>45729</v>
      </c>
      <c r="I194" s="37" t="s">
        <v>590</v>
      </c>
      <c r="J194" s="37" t="s">
        <v>123</v>
      </c>
      <c r="K194" s="36">
        <v>352410221</v>
      </c>
      <c r="L194" s="35" t="s">
        <v>821</v>
      </c>
    </row>
    <row r="195" spans="1:12" hidden="1" x14ac:dyDescent="0.25">
      <c r="A195" s="30" t="s">
        <v>12</v>
      </c>
      <c r="B195" s="30" t="s">
        <v>13</v>
      </c>
      <c r="C195" s="30" t="s">
        <v>14</v>
      </c>
      <c r="D195" s="30" t="s">
        <v>343</v>
      </c>
      <c r="E195" s="30" t="s">
        <v>344</v>
      </c>
      <c r="F195" s="30" t="s">
        <v>345</v>
      </c>
      <c r="G195" s="32">
        <v>500</v>
      </c>
      <c r="H195" s="33">
        <v>45729</v>
      </c>
      <c r="I195" s="32" t="s">
        <v>568</v>
      </c>
      <c r="J195" s="32" t="s">
        <v>187</v>
      </c>
      <c r="K195" s="36">
        <v>352410222</v>
      </c>
      <c r="L195" s="35" t="s">
        <v>821</v>
      </c>
    </row>
    <row r="196" spans="1:12" hidden="1" x14ac:dyDescent="0.25">
      <c r="A196" s="30" t="s">
        <v>12</v>
      </c>
      <c r="B196" s="30" t="s">
        <v>13</v>
      </c>
      <c r="C196" s="30" t="s">
        <v>14</v>
      </c>
      <c r="D196" s="30" t="s">
        <v>734</v>
      </c>
      <c r="E196" s="30" t="s">
        <v>735</v>
      </c>
      <c r="F196" s="30" t="s">
        <v>736</v>
      </c>
      <c r="G196" s="37">
        <v>5250</v>
      </c>
      <c r="H196" s="33">
        <v>45729</v>
      </c>
      <c r="I196" s="37" t="s">
        <v>573</v>
      </c>
      <c r="J196" s="37" t="s">
        <v>84</v>
      </c>
      <c r="K196" s="36">
        <v>352410223</v>
      </c>
      <c r="L196" s="35" t="s">
        <v>822</v>
      </c>
    </row>
    <row r="197" spans="1:12" hidden="1" x14ac:dyDescent="0.25">
      <c r="A197" s="30" t="s">
        <v>12</v>
      </c>
      <c r="B197" s="30" t="s">
        <v>13</v>
      </c>
      <c r="C197" s="30" t="s">
        <v>14</v>
      </c>
      <c r="D197" s="30" t="s">
        <v>806</v>
      </c>
      <c r="E197" s="30" t="s">
        <v>807</v>
      </c>
      <c r="F197" s="30" t="s">
        <v>808</v>
      </c>
      <c r="G197" s="37">
        <v>5250</v>
      </c>
      <c r="H197" s="33">
        <v>45729</v>
      </c>
      <c r="I197" s="32" t="s">
        <v>593</v>
      </c>
      <c r="J197" s="32" t="s">
        <v>76</v>
      </c>
      <c r="K197" s="36">
        <v>352410224</v>
      </c>
      <c r="L197" s="35" t="s">
        <v>822</v>
      </c>
    </row>
    <row r="198" spans="1:12" hidden="1" x14ac:dyDescent="0.25">
      <c r="A198" s="30" t="s">
        <v>12</v>
      </c>
      <c r="B198" s="30" t="s">
        <v>13</v>
      </c>
      <c r="C198" s="30" t="s">
        <v>14</v>
      </c>
      <c r="D198" s="32" t="s">
        <v>149</v>
      </c>
      <c r="E198" s="40">
        <v>50100624324501</v>
      </c>
      <c r="F198" s="32" t="s">
        <v>150</v>
      </c>
      <c r="G198" s="37">
        <v>5250</v>
      </c>
      <c r="H198" s="33">
        <v>45729</v>
      </c>
      <c r="I198" s="32" t="s">
        <v>567</v>
      </c>
      <c r="J198" s="32" t="s">
        <v>29</v>
      </c>
      <c r="K198" s="36">
        <v>352410225</v>
      </c>
      <c r="L198" s="35" t="s">
        <v>820</v>
      </c>
    </row>
    <row r="199" spans="1:12" x14ac:dyDescent="0.25">
      <c r="A199" s="30" t="s">
        <v>12</v>
      </c>
      <c r="B199" s="30" t="s">
        <v>13</v>
      </c>
      <c r="C199" s="30" t="s">
        <v>14</v>
      </c>
      <c r="D199" s="30" t="s">
        <v>95</v>
      </c>
      <c r="E199" s="30" t="s">
        <v>96</v>
      </c>
      <c r="F199" s="30" t="s">
        <v>33</v>
      </c>
      <c r="G199" s="32">
        <v>3000</v>
      </c>
      <c r="H199" s="33">
        <v>45729</v>
      </c>
      <c r="I199" s="32" t="s">
        <v>571</v>
      </c>
      <c r="J199" s="32" t="s">
        <v>59</v>
      </c>
      <c r="K199" s="36">
        <v>352410226</v>
      </c>
      <c r="L199" s="35" t="s">
        <v>823</v>
      </c>
    </row>
    <row r="200" spans="1:12" hidden="1" x14ac:dyDescent="0.25">
      <c r="A200" s="30" t="s">
        <v>12</v>
      </c>
      <c r="B200" s="30" t="s">
        <v>13</v>
      </c>
      <c r="C200" s="30" t="s">
        <v>14</v>
      </c>
      <c r="D200" s="30" t="s">
        <v>343</v>
      </c>
      <c r="E200" s="30" t="s">
        <v>344</v>
      </c>
      <c r="F200" s="30" t="s">
        <v>345</v>
      </c>
      <c r="G200" s="32">
        <v>700</v>
      </c>
      <c r="H200" s="33">
        <v>45731</v>
      </c>
      <c r="I200" s="32" t="s">
        <v>568</v>
      </c>
      <c r="J200" s="32" t="s">
        <v>187</v>
      </c>
      <c r="K200" s="36">
        <v>352410258</v>
      </c>
      <c r="L200" s="35" t="s">
        <v>824</v>
      </c>
    </row>
    <row r="201" spans="1:12" s="38" customFormat="1" hidden="1" x14ac:dyDescent="0.25">
      <c r="A201" s="36" t="s">
        <v>12</v>
      </c>
      <c r="B201" s="36" t="s">
        <v>13</v>
      </c>
      <c r="C201" s="36" t="s">
        <v>14</v>
      </c>
      <c r="D201" s="36" t="s">
        <v>759</v>
      </c>
      <c r="E201" s="42">
        <v>35211636583</v>
      </c>
      <c r="F201" s="36" t="s">
        <v>33</v>
      </c>
      <c r="G201" s="32">
        <v>700</v>
      </c>
      <c r="H201" s="33">
        <v>45731</v>
      </c>
      <c r="I201" s="37" t="s">
        <v>590</v>
      </c>
      <c r="J201" s="37" t="s">
        <v>123</v>
      </c>
      <c r="K201" s="36">
        <v>352410259</v>
      </c>
      <c r="L201" s="35" t="s">
        <v>824</v>
      </c>
    </row>
    <row r="202" spans="1:12" hidden="1" x14ac:dyDescent="0.25">
      <c r="A202" s="30" t="s">
        <v>12</v>
      </c>
      <c r="B202" s="30" t="s">
        <v>13</v>
      </c>
      <c r="C202" s="30" t="s">
        <v>14</v>
      </c>
      <c r="D202" s="30" t="s">
        <v>95</v>
      </c>
      <c r="E202" s="30" t="s">
        <v>96</v>
      </c>
      <c r="F202" s="30" t="s">
        <v>33</v>
      </c>
      <c r="G202" s="32">
        <v>6200</v>
      </c>
      <c r="H202" s="33">
        <v>45731</v>
      </c>
      <c r="I202" s="32" t="s">
        <v>571</v>
      </c>
      <c r="J202" s="32" t="s">
        <v>59</v>
      </c>
      <c r="K202" s="36">
        <v>352410279</v>
      </c>
      <c r="L202" s="35" t="s">
        <v>825</v>
      </c>
    </row>
    <row r="203" spans="1:12" hidden="1" x14ac:dyDescent="0.25">
      <c r="A203" s="30" t="s">
        <v>12</v>
      </c>
      <c r="B203" s="30" t="s">
        <v>13</v>
      </c>
      <c r="C203" s="30" t="s">
        <v>14</v>
      </c>
      <c r="D203" s="30" t="s">
        <v>806</v>
      </c>
      <c r="E203" s="30" t="s">
        <v>807</v>
      </c>
      <c r="F203" s="30" t="s">
        <v>808</v>
      </c>
      <c r="G203" s="37">
        <v>5250</v>
      </c>
      <c r="H203" s="33">
        <v>45731</v>
      </c>
      <c r="I203" s="32" t="s">
        <v>593</v>
      </c>
      <c r="J203" s="32" t="s">
        <v>76</v>
      </c>
      <c r="K203" s="36">
        <v>352410267</v>
      </c>
      <c r="L203" s="35" t="s">
        <v>826</v>
      </c>
    </row>
    <row r="204" spans="1:12" hidden="1" x14ac:dyDescent="0.25">
      <c r="A204" s="30" t="s">
        <v>12</v>
      </c>
      <c r="B204" s="30" t="s">
        <v>13</v>
      </c>
      <c r="C204" s="30" t="s">
        <v>14</v>
      </c>
      <c r="D204" s="30" t="s">
        <v>734</v>
      </c>
      <c r="E204" s="30" t="s">
        <v>735</v>
      </c>
      <c r="F204" s="30" t="s">
        <v>736</v>
      </c>
      <c r="G204" s="37">
        <v>5250</v>
      </c>
      <c r="H204" s="33">
        <v>45731</v>
      </c>
      <c r="I204" s="37" t="s">
        <v>573</v>
      </c>
      <c r="J204" s="37" t="s">
        <v>84</v>
      </c>
      <c r="K204" s="36">
        <v>352410288</v>
      </c>
      <c r="L204" s="35" t="s">
        <v>826</v>
      </c>
    </row>
    <row r="205" spans="1:12" hidden="1" x14ac:dyDescent="0.25">
      <c r="A205" s="30" t="s">
        <v>12</v>
      </c>
      <c r="B205" s="30" t="s">
        <v>13</v>
      </c>
      <c r="C205" s="30" t="s">
        <v>14</v>
      </c>
      <c r="D205" s="32" t="s">
        <v>149</v>
      </c>
      <c r="E205" s="40">
        <v>50100624324501</v>
      </c>
      <c r="F205" s="32" t="s">
        <v>150</v>
      </c>
      <c r="G205" s="37">
        <v>5250</v>
      </c>
      <c r="H205" s="33">
        <v>45731</v>
      </c>
      <c r="I205" s="32" t="s">
        <v>567</v>
      </c>
      <c r="J205" s="32" t="s">
        <v>29</v>
      </c>
      <c r="K205" s="36">
        <v>352410289</v>
      </c>
      <c r="L205" s="35" t="s">
        <v>826</v>
      </c>
    </row>
    <row r="206" spans="1:12" hidden="1" x14ac:dyDescent="0.25">
      <c r="A206" s="43" t="s">
        <v>12</v>
      </c>
      <c r="B206" s="43" t="s">
        <v>13</v>
      </c>
      <c r="C206" s="43" t="s">
        <v>14</v>
      </c>
      <c r="D206" s="43" t="s">
        <v>343</v>
      </c>
      <c r="E206" s="43" t="s">
        <v>344</v>
      </c>
      <c r="F206" s="43" t="s">
        <v>345</v>
      </c>
      <c r="G206" s="44">
        <v>500</v>
      </c>
      <c r="H206" s="45">
        <v>45732</v>
      </c>
      <c r="I206" s="44" t="s">
        <v>568</v>
      </c>
      <c r="J206" s="44" t="s">
        <v>187</v>
      </c>
      <c r="K206" s="43">
        <v>352410293</v>
      </c>
      <c r="L206" s="46" t="s">
        <v>827</v>
      </c>
    </row>
    <row r="207" spans="1:12" s="38" customFormat="1" hidden="1" x14ac:dyDescent="0.25">
      <c r="A207" s="43" t="s">
        <v>12</v>
      </c>
      <c r="B207" s="43" t="s">
        <v>13</v>
      </c>
      <c r="C207" s="43" t="s">
        <v>14</v>
      </c>
      <c r="D207" s="43" t="s">
        <v>759</v>
      </c>
      <c r="E207" s="47">
        <v>35211636583</v>
      </c>
      <c r="F207" s="43" t="s">
        <v>33</v>
      </c>
      <c r="G207" s="44">
        <v>500</v>
      </c>
      <c r="H207" s="45">
        <v>45732</v>
      </c>
      <c r="I207" s="44" t="s">
        <v>590</v>
      </c>
      <c r="J207" s="44" t="s">
        <v>123</v>
      </c>
      <c r="K207" s="43">
        <v>352410296</v>
      </c>
      <c r="L207" s="46" t="s">
        <v>828</v>
      </c>
    </row>
    <row r="208" spans="1:12" hidden="1" x14ac:dyDescent="0.25">
      <c r="A208" s="43" t="s">
        <v>12</v>
      </c>
      <c r="B208" s="43" t="s">
        <v>13</v>
      </c>
      <c r="C208" s="43" t="s">
        <v>14</v>
      </c>
      <c r="D208" s="43" t="s">
        <v>734</v>
      </c>
      <c r="E208" s="43" t="s">
        <v>735</v>
      </c>
      <c r="F208" s="43" t="s">
        <v>736</v>
      </c>
      <c r="G208" s="44">
        <v>5250</v>
      </c>
      <c r="H208" s="45">
        <v>45732</v>
      </c>
      <c r="I208" s="44" t="s">
        <v>573</v>
      </c>
      <c r="J208" s="44" t="s">
        <v>84</v>
      </c>
      <c r="K208" s="43">
        <v>352410288</v>
      </c>
      <c r="L208" s="46" t="s">
        <v>829</v>
      </c>
    </row>
    <row r="209" spans="1:12" hidden="1" x14ac:dyDescent="0.25">
      <c r="A209" s="30" t="s">
        <v>12</v>
      </c>
      <c r="B209" s="30" t="s">
        <v>13</v>
      </c>
      <c r="C209" s="30" t="s">
        <v>14</v>
      </c>
      <c r="D209" s="30" t="s">
        <v>343</v>
      </c>
      <c r="E209" s="30" t="s">
        <v>344</v>
      </c>
      <c r="F209" s="30" t="s">
        <v>345</v>
      </c>
      <c r="G209" s="32">
        <v>500</v>
      </c>
      <c r="H209" s="33">
        <v>45733</v>
      </c>
      <c r="I209" s="32" t="s">
        <v>568</v>
      </c>
      <c r="J209" s="32" t="s">
        <v>187</v>
      </c>
      <c r="K209" s="36">
        <v>352410293</v>
      </c>
      <c r="L209" s="35" t="s">
        <v>827</v>
      </c>
    </row>
    <row r="210" spans="1:12" s="38" customFormat="1" hidden="1" x14ac:dyDescent="0.25">
      <c r="A210" s="36" t="s">
        <v>12</v>
      </c>
      <c r="B210" s="36" t="s">
        <v>13</v>
      </c>
      <c r="C210" s="36" t="s">
        <v>14</v>
      </c>
      <c r="D210" s="36" t="s">
        <v>759</v>
      </c>
      <c r="E210" s="42">
        <v>35211636583</v>
      </c>
      <c r="F210" s="36" t="s">
        <v>33</v>
      </c>
      <c r="G210" s="32">
        <v>500</v>
      </c>
      <c r="H210" s="33">
        <v>45733</v>
      </c>
      <c r="I210" s="37" t="s">
        <v>590</v>
      </c>
      <c r="J210" s="37" t="s">
        <v>123</v>
      </c>
      <c r="K210" s="36">
        <v>352410296</v>
      </c>
      <c r="L210" s="35" t="s">
        <v>828</v>
      </c>
    </row>
    <row r="211" spans="1:12" hidden="1" x14ac:dyDescent="0.25">
      <c r="A211" s="30" t="s">
        <v>12</v>
      </c>
      <c r="B211" s="30" t="s">
        <v>13</v>
      </c>
      <c r="C211" s="30" t="s">
        <v>14</v>
      </c>
      <c r="D211" s="30" t="s">
        <v>734</v>
      </c>
      <c r="E211" s="30" t="s">
        <v>735</v>
      </c>
      <c r="F211" s="30" t="s">
        <v>736</v>
      </c>
      <c r="G211" s="37">
        <v>5250</v>
      </c>
      <c r="H211" s="33">
        <v>45733</v>
      </c>
      <c r="I211" s="37" t="s">
        <v>573</v>
      </c>
      <c r="J211" s="37" t="s">
        <v>84</v>
      </c>
      <c r="K211" s="36">
        <v>352410288</v>
      </c>
      <c r="L211" s="35" t="s">
        <v>829</v>
      </c>
    </row>
    <row r="212" spans="1:12" s="38" customFormat="1" hidden="1" x14ac:dyDescent="0.25">
      <c r="A212" s="36" t="s">
        <v>12</v>
      </c>
      <c r="B212" s="36" t="s">
        <v>13</v>
      </c>
      <c r="C212" s="36" t="s">
        <v>14</v>
      </c>
      <c r="D212" s="36" t="s">
        <v>759</v>
      </c>
      <c r="E212" s="42">
        <v>35211636583</v>
      </c>
      <c r="F212" s="36" t="s">
        <v>33</v>
      </c>
      <c r="G212" s="32">
        <v>500</v>
      </c>
      <c r="H212" s="33">
        <v>45733</v>
      </c>
      <c r="I212" s="37" t="s">
        <v>590</v>
      </c>
      <c r="J212" s="37" t="s">
        <v>123</v>
      </c>
      <c r="K212" s="36">
        <v>352410327</v>
      </c>
      <c r="L212" s="35" t="s">
        <v>830</v>
      </c>
    </row>
    <row r="213" spans="1:12" hidden="1" x14ac:dyDescent="0.25">
      <c r="A213" s="30" t="s">
        <v>12</v>
      </c>
      <c r="B213" s="30" t="s">
        <v>13</v>
      </c>
      <c r="C213" s="30" t="s">
        <v>14</v>
      </c>
      <c r="D213" s="30" t="s">
        <v>806</v>
      </c>
      <c r="E213" s="30" t="s">
        <v>807</v>
      </c>
      <c r="F213" s="30" t="s">
        <v>808</v>
      </c>
      <c r="G213" s="37">
        <v>5250</v>
      </c>
      <c r="H213" s="33">
        <v>45733</v>
      </c>
      <c r="I213" s="32" t="s">
        <v>593</v>
      </c>
      <c r="J213" s="32" t="s">
        <v>76</v>
      </c>
      <c r="K213" s="36">
        <v>352410295</v>
      </c>
      <c r="L213" s="35" t="s">
        <v>831</v>
      </c>
    </row>
    <row r="214" spans="1:12" hidden="1" x14ac:dyDescent="0.25">
      <c r="A214" s="30" t="s">
        <v>12</v>
      </c>
      <c r="B214" s="30" t="s">
        <v>13</v>
      </c>
      <c r="C214" s="30" t="s">
        <v>14</v>
      </c>
      <c r="D214" s="30" t="s">
        <v>343</v>
      </c>
      <c r="E214" s="30" t="s">
        <v>344</v>
      </c>
      <c r="F214" s="30" t="s">
        <v>345</v>
      </c>
      <c r="G214" s="32">
        <v>500</v>
      </c>
      <c r="H214" s="33">
        <v>45734</v>
      </c>
      <c r="I214" s="32" t="s">
        <v>568</v>
      </c>
      <c r="J214" s="32" t="s">
        <v>187</v>
      </c>
      <c r="K214" s="36">
        <v>352410350</v>
      </c>
      <c r="L214" s="35" t="s">
        <v>832</v>
      </c>
    </row>
    <row r="215" spans="1:12" s="38" customFormat="1" hidden="1" x14ac:dyDescent="0.25">
      <c r="A215" s="36" t="s">
        <v>12</v>
      </c>
      <c r="B215" s="36" t="s">
        <v>13</v>
      </c>
      <c r="C215" s="36" t="s">
        <v>14</v>
      </c>
      <c r="D215" s="36" t="s">
        <v>759</v>
      </c>
      <c r="E215" s="42">
        <v>35211636583</v>
      </c>
      <c r="F215" s="36" t="s">
        <v>33</v>
      </c>
      <c r="G215" s="32">
        <v>500</v>
      </c>
      <c r="H215" s="33">
        <v>45734</v>
      </c>
      <c r="I215" s="37" t="s">
        <v>590</v>
      </c>
      <c r="J215" s="37" t="s">
        <v>123</v>
      </c>
      <c r="K215" s="36">
        <v>352410355</v>
      </c>
      <c r="L215" s="35" t="s">
        <v>833</v>
      </c>
    </row>
    <row r="216" spans="1:12" hidden="1" x14ac:dyDescent="0.25">
      <c r="A216" s="30" t="s">
        <v>12</v>
      </c>
      <c r="B216" s="30" t="s">
        <v>13</v>
      </c>
      <c r="C216" s="30" t="s">
        <v>14</v>
      </c>
      <c r="D216" s="30" t="s">
        <v>343</v>
      </c>
      <c r="E216" s="30" t="s">
        <v>344</v>
      </c>
      <c r="F216" s="30" t="s">
        <v>345</v>
      </c>
      <c r="G216" s="32">
        <v>500</v>
      </c>
      <c r="H216" s="33">
        <v>45735</v>
      </c>
      <c r="I216" s="32" t="s">
        <v>568</v>
      </c>
      <c r="J216" s="32" t="s">
        <v>187</v>
      </c>
      <c r="K216" s="36">
        <v>352410385</v>
      </c>
      <c r="L216" s="35" t="s">
        <v>834</v>
      </c>
    </row>
    <row r="217" spans="1:12" hidden="1" x14ac:dyDescent="0.25">
      <c r="A217" s="30" t="s">
        <v>12</v>
      </c>
      <c r="B217" s="30" t="s">
        <v>13</v>
      </c>
      <c r="C217" s="30" t="s">
        <v>14</v>
      </c>
      <c r="D217" s="30" t="s">
        <v>36</v>
      </c>
      <c r="E217" s="30" t="s">
        <v>37</v>
      </c>
      <c r="F217" s="30" t="s">
        <v>38</v>
      </c>
      <c r="G217" s="32">
        <v>500</v>
      </c>
      <c r="H217" s="33">
        <v>45735</v>
      </c>
      <c r="I217" s="32" t="s">
        <v>578</v>
      </c>
      <c r="J217" s="32" t="s">
        <v>126</v>
      </c>
      <c r="K217" s="34">
        <v>352410368</v>
      </c>
      <c r="L217" s="35" t="s">
        <v>835</v>
      </c>
    </row>
    <row r="218" spans="1:12" hidden="1" x14ac:dyDescent="0.25">
      <c r="A218" s="30" t="s">
        <v>12</v>
      </c>
      <c r="B218" s="30" t="s">
        <v>13</v>
      </c>
      <c r="C218" s="30" t="s">
        <v>14</v>
      </c>
      <c r="D218" s="30" t="s">
        <v>806</v>
      </c>
      <c r="E218" s="30" t="s">
        <v>807</v>
      </c>
      <c r="F218" s="30" t="s">
        <v>808</v>
      </c>
      <c r="G218" s="37">
        <v>5250</v>
      </c>
      <c r="H218" s="33">
        <v>45735</v>
      </c>
      <c r="I218" s="32" t="s">
        <v>593</v>
      </c>
      <c r="J218" s="32" t="s">
        <v>76</v>
      </c>
      <c r="K218" s="36">
        <v>352410349</v>
      </c>
      <c r="L218" s="35" t="s">
        <v>836</v>
      </c>
    </row>
    <row r="219" spans="1:12" hidden="1" x14ac:dyDescent="0.25">
      <c r="A219" s="30" t="s">
        <v>12</v>
      </c>
      <c r="B219" s="30" t="s">
        <v>13</v>
      </c>
      <c r="C219" s="30" t="s">
        <v>14</v>
      </c>
      <c r="D219" s="30" t="s">
        <v>734</v>
      </c>
      <c r="E219" s="30" t="s">
        <v>735</v>
      </c>
      <c r="F219" s="30" t="s">
        <v>736</v>
      </c>
      <c r="G219" s="37">
        <v>3500</v>
      </c>
      <c r="H219" s="33">
        <v>45735</v>
      </c>
      <c r="I219" s="37" t="s">
        <v>573</v>
      </c>
      <c r="J219" s="37" t="s">
        <v>84</v>
      </c>
      <c r="K219" s="36">
        <v>352410334</v>
      </c>
      <c r="L219" s="35" t="s">
        <v>837</v>
      </c>
    </row>
    <row r="220" spans="1:12" hidden="1" x14ac:dyDescent="0.25">
      <c r="A220" s="30" t="s">
        <v>12</v>
      </c>
      <c r="B220" s="30" t="s">
        <v>13</v>
      </c>
      <c r="C220" s="30" t="s">
        <v>14</v>
      </c>
      <c r="D220" s="36" t="s">
        <v>193</v>
      </c>
      <c r="E220" s="36" t="s">
        <v>194</v>
      </c>
      <c r="F220" s="36" t="s">
        <v>195</v>
      </c>
      <c r="G220" s="37">
        <v>3500</v>
      </c>
      <c r="H220" s="33">
        <v>45735</v>
      </c>
      <c r="I220" s="32" t="s">
        <v>572</v>
      </c>
      <c r="J220" s="32" t="s">
        <v>34</v>
      </c>
      <c r="K220" s="34">
        <v>352410294</v>
      </c>
      <c r="L220" s="35" t="s">
        <v>837</v>
      </c>
    </row>
    <row r="221" spans="1:12" hidden="1" x14ac:dyDescent="0.25">
      <c r="A221" s="30" t="s">
        <v>12</v>
      </c>
      <c r="B221" s="30" t="s">
        <v>13</v>
      </c>
      <c r="C221" s="30" t="s">
        <v>14</v>
      </c>
      <c r="D221" s="30" t="s">
        <v>343</v>
      </c>
      <c r="E221" s="30" t="s">
        <v>344</v>
      </c>
      <c r="F221" s="30" t="s">
        <v>345</v>
      </c>
      <c r="G221" s="32">
        <v>500</v>
      </c>
      <c r="H221" s="33">
        <v>45736</v>
      </c>
      <c r="I221" s="32" t="s">
        <v>568</v>
      </c>
      <c r="J221" s="32" t="s">
        <v>187</v>
      </c>
      <c r="K221" s="36">
        <v>352410404</v>
      </c>
      <c r="L221" s="35" t="s">
        <v>838</v>
      </c>
    </row>
    <row r="222" spans="1:12" s="38" customFormat="1" hidden="1" x14ac:dyDescent="0.25">
      <c r="A222" s="36" t="s">
        <v>12</v>
      </c>
      <c r="B222" s="36" t="s">
        <v>13</v>
      </c>
      <c r="C222" s="36" t="s">
        <v>14</v>
      </c>
      <c r="D222" s="36" t="s">
        <v>759</v>
      </c>
      <c r="E222" s="42">
        <v>35211636583</v>
      </c>
      <c r="F222" s="36" t="s">
        <v>33</v>
      </c>
      <c r="G222" s="32">
        <v>500</v>
      </c>
      <c r="H222" s="33">
        <v>45736</v>
      </c>
      <c r="I222" s="37" t="s">
        <v>590</v>
      </c>
      <c r="J222" s="37" t="s">
        <v>123</v>
      </c>
      <c r="K222" s="36">
        <v>352410409</v>
      </c>
      <c r="L222" s="35" t="s">
        <v>838</v>
      </c>
    </row>
    <row r="223" spans="1:12" hidden="1" x14ac:dyDescent="0.25">
      <c r="A223" s="30" t="s">
        <v>12</v>
      </c>
      <c r="B223" s="30" t="s">
        <v>13</v>
      </c>
      <c r="C223" s="30" t="s">
        <v>14</v>
      </c>
      <c r="D223" s="30" t="s">
        <v>806</v>
      </c>
      <c r="E223" s="30" t="s">
        <v>807</v>
      </c>
      <c r="F223" s="30" t="s">
        <v>808</v>
      </c>
      <c r="G223" s="37">
        <v>5250</v>
      </c>
      <c r="H223" s="33">
        <v>45736</v>
      </c>
      <c r="I223" s="32" t="s">
        <v>593</v>
      </c>
      <c r="J223" s="32" t="s">
        <v>76</v>
      </c>
      <c r="K223" s="36">
        <v>352410406</v>
      </c>
      <c r="L223" s="35" t="s">
        <v>839</v>
      </c>
    </row>
    <row r="224" spans="1:12" hidden="1" x14ac:dyDescent="0.25">
      <c r="A224" s="30" t="s">
        <v>12</v>
      </c>
      <c r="B224" s="30" t="s">
        <v>13</v>
      </c>
      <c r="C224" s="30" t="s">
        <v>14</v>
      </c>
      <c r="D224" s="30" t="s">
        <v>343</v>
      </c>
      <c r="E224" s="30" t="s">
        <v>344</v>
      </c>
      <c r="F224" s="30" t="s">
        <v>345</v>
      </c>
      <c r="G224" s="32">
        <v>500</v>
      </c>
      <c r="H224" s="33">
        <v>45737</v>
      </c>
      <c r="I224" s="32" t="s">
        <v>568</v>
      </c>
      <c r="J224" s="32" t="s">
        <v>187</v>
      </c>
      <c r="K224" s="36">
        <v>352410441</v>
      </c>
      <c r="L224" s="35" t="s">
        <v>840</v>
      </c>
    </row>
    <row r="225" spans="1:12" hidden="1" x14ac:dyDescent="0.25">
      <c r="A225" s="30" t="s">
        <v>12</v>
      </c>
      <c r="B225" s="30" t="s">
        <v>13</v>
      </c>
      <c r="C225" s="30" t="s">
        <v>14</v>
      </c>
      <c r="D225" s="30" t="s">
        <v>760</v>
      </c>
      <c r="E225" s="30" t="s">
        <v>761</v>
      </c>
      <c r="F225" s="30" t="s">
        <v>33</v>
      </c>
      <c r="G225" s="37">
        <v>6200</v>
      </c>
      <c r="H225" s="33">
        <v>45737</v>
      </c>
      <c r="I225" s="37" t="s">
        <v>762</v>
      </c>
      <c r="J225" s="37" t="s">
        <v>142</v>
      </c>
      <c r="K225" s="34">
        <v>352410428</v>
      </c>
      <c r="L225" s="35" t="s">
        <v>841</v>
      </c>
    </row>
    <row r="226" spans="1:12" hidden="1" x14ac:dyDescent="0.25">
      <c r="A226" s="30" t="s">
        <v>12</v>
      </c>
      <c r="B226" s="30" t="s">
        <v>13</v>
      </c>
      <c r="C226" s="30" t="s">
        <v>14</v>
      </c>
      <c r="D226" s="30" t="s">
        <v>806</v>
      </c>
      <c r="E226" s="30" t="s">
        <v>807</v>
      </c>
      <c r="F226" s="30" t="s">
        <v>808</v>
      </c>
      <c r="G226" s="37">
        <v>5250</v>
      </c>
      <c r="H226" s="33">
        <v>45737</v>
      </c>
      <c r="I226" s="32" t="s">
        <v>593</v>
      </c>
      <c r="J226" s="32" t="s">
        <v>76</v>
      </c>
      <c r="K226" s="36">
        <v>352410443</v>
      </c>
      <c r="L226" s="35" t="s">
        <v>842</v>
      </c>
    </row>
    <row r="227" spans="1:12" hidden="1" x14ac:dyDescent="0.25">
      <c r="A227" s="30" t="s">
        <v>12</v>
      </c>
      <c r="B227" s="30" t="s">
        <v>13</v>
      </c>
      <c r="C227" s="30" t="s">
        <v>14</v>
      </c>
      <c r="D227" s="30" t="s">
        <v>734</v>
      </c>
      <c r="E227" s="30" t="s">
        <v>735</v>
      </c>
      <c r="F227" s="30" t="s">
        <v>736</v>
      </c>
      <c r="G227" s="37">
        <v>5250</v>
      </c>
      <c r="H227" s="33">
        <v>45737</v>
      </c>
      <c r="I227" s="37" t="s">
        <v>573</v>
      </c>
      <c r="J227" s="37" t="s">
        <v>84</v>
      </c>
      <c r="K227" s="36">
        <v>352410444</v>
      </c>
      <c r="L227" s="35" t="s">
        <v>842</v>
      </c>
    </row>
    <row r="228" spans="1:12" hidden="1" x14ac:dyDescent="0.25">
      <c r="A228" s="30" t="s">
        <v>12</v>
      </c>
      <c r="B228" s="30" t="s">
        <v>13</v>
      </c>
      <c r="C228" s="30" t="s">
        <v>14</v>
      </c>
      <c r="D228" s="30" t="s">
        <v>806</v>
      </c>
      <c r="E228" s="30" t="s">
        <v>807</v>
      </c>
      <c r="F228" s="30" t="s">
        <v>808</v>
      </c>
      <c r="G228" s="37">
        <v>5250</v>
      </c>
      <c r="H228" s="33">
        <v>45738</v>
      </c>
      <c r="I228" s="32" t="s">
        <v>593</v>
      </c>
      <c r="J228" s="32" t="s">
        <v>76</v>
      </c>
      <c r="K228" s="36">
        <v>352410491</v>
      </c>
      <c r="L228" s="35" t="s">
        <v>843</v>
      </c>
    </row>
    <row r="229" spans="1:12" hidden="1" x14ac:dyDescent="0.25">
      <c r="A229" s="30" t="s">
        <v>12</v>
      </c>
      <c r="B229" s="30" t="s">
        <v>13</v>
      </c>
      <c r="C229" s="30" t="s">
        <v>14</v>
      </c>
      <c r="D229" s="30" t="s">
        <v>734</v>
      </c>
      <c r="E229" s="30" t="s">
        <v>735</v>
      </c>
      <c r="F229" s="30" t="s">
        <v>736</v>
      </c>
      <c r="G229" s="37">
        <v>5250</v>
      </c>
      <c r="H229" s="33">
        <v>45738</v>
      </c>
      <c r="I229" s="37" t="s">
        <v>573</v>
      </c>
      <c r="J229" s="37" t="s">
        <v>84</v>
      </c>
      <c r="K229" s="36">
        <v>352410479</v>
      </c>
      <c r="L229" s="35" t="s">
        <v>843</v>
      </c>
    </row>
    <row r="230" spans="1:12" hidden="1" x14ac:dyDescent="0.25">
      <c r="A230" s="30" t="s">
        <v>12</v>
      </c>
      <c r="B230" s="30" t="s">
        <v>13</v>
      </c>
      <c r="C230" s="30" t="s">
        <v>14</v>
      </c>
      <c r="D230" s="30" t="s">
        <v>36</v>
      </c>
      <c r="E230" s="30" t="s">
        <v>37</v>
      </c>
      <c r="F230" s="30" t="s">
        <v>38</v>
      </c>
      <c r="G230" s="32">
        <v>5250</v>
      </c>
      <c r="H230" s="33">
        <v>45738</v>
      </c>
      <c r="I230" s="32" t="s">
        <v>681</v>
      </c>
      <c r="J230" s="32" t="s">
        <v>52</v>
      </c>
      <c r="K230" s="36">
        <v>352410480</v>
      </c>
      <c r="L230" s="35" t="s">
        <v>843</v>
      </c>
    </row>
    <row r="231" spans="1:12" hidden="1" x14ac:dyDescent="0.25">
      <c r="A231" s="30" t="s">
        <v>12</v>
      </c>
      <c r="B231" s="30" t="s">
        <v>13</v>
      </c>
      <c r="C231" s="30" t="s">
        <v>14</v>
      </c>
      <c r="D231" s="30" t="s">
        <v>343</v>
      </c>
      <c r="E231" s="30" t="s">
        <v>344</v>
      </c>
      <c r="F231" s="30" t="s">
        <v>345</v>
      </c>
      <c r="G231" s="32">
        <v>500</v>
      </c>
      <c r="H231" s="33">
        <v>45738</v>
      </c>
      <c r="I231" s="32" t="s">
        <v>568</v>
      </c>
      <c r="J231" s="32" t="s">
        <v>187</v>
      </c>
      <c r="K231" s="36">
        <v>352410493</v>
      </c>
      <c r="L231" s="35" t="s">
        <v>844</v>
      </c>
    </row>
    <row r="232" spans="1:12" x14ac:dyDescent="0.25">
      <c r="A232" s="30" t="s">
        <v>12</v>
      </c>
      <c r="B232" s="30" t="s">
        <v>13</v>
      </c>
      <c r="C232" s="30" t="s">
        <v>14</v>
      </c>
      <c r="D232" s="30" t="s">
        <v>144</v>
      </c>
      <c r="E232" s="39">
        <v>42542201947</v>
      </c>
      <c r="F232" s="30" t="s">
        <v>145</v>
      </c>
      <c r="G232" s="32">
        <v>6200</v>
      </c>
      <c r="H232" s="33">
        <v>45738</v>
      </c>
      <c r="I232" s="32" t="s">
        <v>652</v>
      </c>
      <c r="J232" s="32" t="s">
        <v>147</v>
      </c>
      <c r="K232" s="34">
        <v>342410494</v>
      </c>
      <c r="L232" s="35" t="s">
        <v>846</v>
      </c>
    </row>
    <row r="233" spans="1:12" s="38" customFormat="1" hidden="1" x14ac:dyDescent="0.25">
      <c r="A233" s="36" t="s">
        <v>12</v>
      </c>
      <c r="B233" s="36" t="s">
        <v>13</v>
      </c>
      <c r="C233" s="36" t="s">
        <v>14</v>
      </c>
      <c r="D233" s="36" t="s">
        <v>759</v>
      </c>
      <c r="E233" s="42">
        <v>35211636583</v>
      </c>
      <c r="F233" s="36" t="s">
        <v>33</v>
      </c>
      <c r="G233" s="32">
        <v>500</v>
      </c>
      <c r="H233" s="33">
        <v>45740</v>
      </c>
      <c r="I233" s="37" t="s">
        <v>590</v>
      </c>
      <c r="J233" s="37" t="s">
        <v>123</v>
      </c>
      <c r="K233" s="36">
        <v>352410502</v>
      </c>
      <c r="L233" s="35" t="s">
        <v>845</v>
      </c>
    </row>
    <row r="234" spans="1:12" hidden="1" x14ac:dyDescent="0.25">
      <c r="A234" s="30" t="s">
        <v>12</v>
      </c>
      <c r="B234" s="30" t="s">
        <v>13</v>
      </c>
      <c r="C234" s="30" t="s">
        <v>14</v>
      </c>
      <c r="D234" s="30" t="s">
        <v>806</v>
      </c>
      <c r="E234" s="30" t="s">
        <v>807</v>
      </c>
      <c r="F234" s="30" t="s">
        <v>808</v>
      </c>
      <c r="G234" s="37">
        <v>5250</v>
      </c>
      <c r="H234" s="33">
        <v>45740</v>
      </c>
      <c r="I234" s="32" t="s">
        <v>593</v>
      </c>
      <c r="J234" s="32" t="s">
        <v>76</v>
      </c>
      <c r="K234" s="36">
        <v>352410503</v>
      </c>
      <c r="L234" s="35" t="s">
        <v>847</v>
      </c>
    </row>
    <row r="235" spans="1:12" hidden="1" x14ac:dyDescent="0.25">
      <c r="A235" s="30" t="s">
        <v>12</v>
      </c>
      <c r="B235" s="30" t="s">
        <v>13</v>
      </c>
      <c r="C235" s="30" t="s">
        <v>14</v>
      </c>
      <c r="D235" s="30" t="s">
        <v>734</v>
      </c>
      <c r="E235" s="30" t="s">
        <v>735</v>
      </c>
      <c r="F235" s="30" t="s">
        <v>736</v>
      </c>
      <c r="G235" s="37">
        <v>5250</v>
      </c>
      <c r="H235" s="33">
        <v>45740</v>
      </c>
      <c r="I235" s="37" t="s">
        <v>573</v>
      </c>
      <c r="J235" s="37" t="s">
        <v>84</v>
      </c>
      <c r="K235" s="36">
        <v>352410501</v>
      </c>
      <c r="L235" s="35" t="s">
        <v>847</v>
      </c>
    </row>
    <row r="236" spans="1:12" hidden="1" x14ac:dyDescent="0.25">
      <c r="A236" s="30" t="s">
        <v>12</v>
      </c>
      <c r="B236" s="30" t="s">
        <v>13</v>
      </c>
      <c r="C236" s="30" t="s">
        <v>14</v>
      </c>
      <c r="D236" s="30" t="s">
        <v>36</v>
      </c>
      <c r="E236" s="30" t="s">
        <v>37</v>
      </c>
      <c r="F236" s="30" t="s">
        <v>38</v>
      </c>
      <c r="G236" s="32">
        <v>5250</v>
      </c>
      <c r="H236" s="33">
        <v>45740</v>
      </c>
      <c r="I236" s="32" t="s">
        <v>681</v>
      </c>
      <c r="J236" s="32" t="s">
        <v>52</v>
      </c>
      <c r="K236" s="36">
        <v>352410500</v>
      </c>
      <c r="L236" s="35" t="s">
        <v>847</v>
      </c>
    </row>
    <row r="237" spans="1:12" s="38" customFormat="1" hidden="1" x14ac:dyDescent="0.25">
      <c r="A237" s="36" t="s">
        <v>12</v>
      </c>
      <c r="B237" s="36" t="s">
        <v>13</v>
      </c>
      <c r="C237" s="36" t="s">
        <v>14</v>
      </c>
      <c r="D237" s="36" t="s">
        <v>759</v>
      </c>
      <c r="E237" s="42">
        <v>35211636583</v>
      </c>
      <c r="F237" s="36" t="s">
        <v>33</v>
      </c>
      <c r="G237" s="32">
        <v>500</v>
      </c>
      <c r="H237" s="33">
        <v>45741</v>
      </c>
      <c r="I237" s="37" t="s">
        <v>590</v>
      </c>
      <c r="J237" s="37" t="s">
        <v>123</v>
      </c>
      <c r="K237" s="36">
        <v>352410545</v>
      </c>
      <c r="L237" s="35" t="s">
        <v>848</v>
      </c>
    </row>
    <row r="238" spans="1:12" hidden="1" x14ac:dyDescent="0.25">
      <c r="A238" s="30" t="s">
        <v>12</v>
      </c>
      <c r="B238" s="30" t="s">
        <v>13</v>
      </c>
      <c r="C238" s="30" t="s">
        <v>14</v>
      </c>
      <c r="D238" s="30" t="s">
        <v>734</v>
      </c>
      <c r="E238" s="30" t="s">
        <v>735</v>
      </c>
      <c r="F238" s="30" t="s">
        <v>736</v>
      </c>
      <c r="G238" s="37">
        <v>5250</v>
      </c>
      <c r="H238" s="33">
        <v>45741</v>
      </c>
      <c r="I238" s="37" t="s">
        <v>573</v>
      </c>
      <c r="J238" s="37" t="s">
        <v>84</v>
      </c>
      <c r="K238" s="36">
        <v>352410543</v>
      </c>
      <c r="L238" s="35" t="s">
        <v>849</v>
      </c>
    </row>
    <row r="239" spans="1:12" hidden="1" x14ac:dyDescent="0.25">
      <c r="A239" s="30" t="s">
        <v>12</v>
      </c>
      <c r="B239" s="30" t="s">
        <v>13</v>
      </c>
      <c r="C239" s="30" t="s">
        <v>14</v>
      </c>
      <c r="D239" s="30" t="s">
        <v>36</v>
      </c>
      <c r="E239" s="30" t="s">
        <v>37</v>
      </c>
      <c r="F239" s="30" t="s">
        <v>38</v>
      </c>
      <c r="G239" s="32">
        <v>5250</v>
      </c>
      <c r="H239" s="33">
        <v>45741</v>
      </c>
      <c r="I239" s="32" t="s">
        <v>681</v>
      </c>
      <c r="J239" s="32" t="s">
        <v>52</v>
      </c>
      <c r="K239" s="36">
        <v>352410546</v>
      </c>
      <c r="L239" s="35" t="s">
        <v>849</v>
      </c>
    </row>
    <row r="240" spans="1:12" hidden="1" x14ac:dyDescent="0.25">
      <c r="A240" s="30" t="s">
        <v>12</v>
      </c>
      <c r="B240" s="30" t="s">
        <v>13</v>
      </c>
      <c r="C240" s="30" t="s">
        <v>14</v>
      </c>
      <c r="D240" s="30" t="s">
        <v>343</v>
      </c>
      <c r="E240" s="30" t="s">
        <v>344</v>
      </c>
      <c r="F240" s="30" t="s">
        <v>345</v>
      </c>
      <c r="G240" s="32">
        <v>500</v>
      </c>
      <c r="H240" s="33">
        <v>45742</v>
      </c>
      <c r="I240" s="32" t="s">
        <v>568</v>
      </c>
      <c r="J240" s="32" t="s">
        <v>187</v>
      </c>
      <c r="K240" s="36">
        <v>352410582</v>
      </c>
      <c r="L240" s="35" t="s">
        <v>850</v>
      </c>
    </row>
    <row r="241" spans="1:12" s="38" customFormat="1" hidden="1" x14ac:dyDescent="0.25">
      <c r="A241" s="36" t="s">
        <v>12</v>
      </c>
      <c r="B241" s="36" t="s">
        <v>13</v>
      </c>
      <c r="C241" s="36" t="s">
        <v>14</v>
      </c>
      <c r="D241" s="36" t="s">
        <v>759</v>
      </c>
      <c r="E241" s="42">
        <v>35211636583</v>
      </c>
      <c r="F241" s="36" t="s">
        <v>33</v>
      </c>
      <c r="G241" s="32">
        <v>500</v>
      </c>
      <c r="H241" s="33">
        <v>45742</v>
      </c>
      <c r="I241" s="37" t="s">
        <v>590</v>
      </c>
      <c r="J241" s="37" t="s">
        <v>123</v>
      </c>
      <c r="K241" s="36">
        <v>352410585</v>
      </c>
      <c r="L241" s="35" t="s">
        <v>850</v>
      </c>
    </row>
    <row r="242" spans="1:12" hidden="1" x14ac:dyDescent="0.25">
      <c r="A242" s="30" t="s">
        <v>12</v>
      </c>
      <c r="B242" s="30" t="s">
        <v>13</v>
      </c>
      <c r="C242" s="30" t="s">
        <v>14</v>
      </c>
      <c r="D242" s="30" t="s">
        <v>36</v>
      </c>
      <c r="E242" s="30" t="s">
        <v>37</v>
      </c>
      <c r="F242" s="30" t="s">
        <v>38</v>
      </c>
      <c r="G242" s="32">
        <v>5250</v>
      </c>
      <c r="H242" s="33">
        <v>45742</v>
      </c>
      <c r="I242" s="32" t="s">
        <v>681</v>
      </c>
      <c r="J242" s="32" t="s">
        <v>52</v>
      </c>
      <c r="K242" s="36">
        <v>352410579</v>
      </c>
      <c r="L242" s="35" t="s">
        <v>849</v>
      </c>
    </row>
    <row r="243" spans="1:12" hidden="1" x14ac:dyDescent="0.25">
      <c r="A243" s="30" t="s">
        <v>12</v>
      </c>
      <c r="B243" s="30" t="s">
        <v>13</v>
      </c>
      <c r="C243" s="30" t="s">
        <v>14</v>
      </c>
      <c r="D243" s="30" t="s">
        <v>806</v>
      </c>
      <c r="E243" s="30" t="s">
        <v>807</v>
      </c>
      <c r="F243" s="30" t="s">
        <v>808</v>
      </c>
      <c r="G243" s="37">
        <v>5000</v>
      </c>
      <c r="H243" s="33">
        <v>45742</v>
      </c>
      <c r="I243" s="32" t="s">
        <v>593</v>
      </c>
      <c r="J243" s="32" t="s">
        <v>76</v>
      </c>
      <c r="K243" s="36">
        <v>352410547</v>
      </c>
      <c r="L243" s="35" t="s">
        <v>851</v>
      </c>
    </row>
    <row r="244" spans="1:12" hidden="1" x14ac:dyDescent="0.25">
      <c r="A244" s="30" t="s">
        <v>12</v>
      </c>
      <c r="B244" s="30" t="s">
        <v>13</v>
      </c>
      <c r="C244" s="30" t="s">
        <v>14</v>
      </c>
      <c r="D244" s="30" t="s">
        <v>95</v>
      </c>
      <c r="E244" s="30" t="s">
        <v>96</v>
      </c>
      <c r="F244" s="30" t="s">
        <v>33</v>
      </c>
      <c r="G244" s="32">
        <v>6200</v>
      </c>
      <c r="H244" s="33">
        <v>45742</v>
      </c>
      <c r="I244" s="32" t="s">
        <v>571</v>
      </c>
      <c r="J244" s="32" t="s">
        <v>59</v>
      </c>
      <c r="K244" s="36">
        <v>352410575</v>
      </c>
      <c r="L244" s="35" t="s">
        <v>852</v>
      </c>
    </row>
    <row r="245" spans="1:12" hidden="1" x14ac:dyDescent="0.25">
      <c r="A245" s="30" t="s">
        <v>12</v>
      </c>
      <c r="B245" s="30" t="s">
        <v>13</v>
      </c>
      <c r="C245" s="30" t="s">
        <v>14</v>
      </c>
      <c r="D245" s="30" t="s">
        <v>734</v>
      </c>
      <c r="E245" s="30" t="s">
        <v>735</v>
      </c>
      <c r="F245" s="30" t="s">
        <v>736</v>
      </c>
      <c r="G245" s="37">
        <v>5250</v>
      </c>
      <c r="H245" s="33">
        <v>45742</v>
      </c>
      <c r="I245" s="37" t="s">
        <v>573</v>
      </c>
      <c r="J245" s="37" t="s">
        <v>84</v>
      </c>
      <c r="K245" s="36">
        <v>352410581</v>
      </c>
      <c r="L245" s="35" t="s">
        <v>853</v>
      </c>
    </row>
    <row r="246" spans="1:12" x14ac:dyDescent="0.25">
      <c r="A246" s="30" t="s">
        <v>12</v>
      </c>
      <c r="B246" s="30" t="s">
        <v>13</v>
      </c>
      <c r="C246" s="30" t="s">
        <v>14</v>
      </c>
      <c r="D246" s="30" t="s">
        <v>95</v>
      </c>
      <c r="E246" s="30" t="s">
        <v>96</v>
      </c>
      <c r="F246" s="30" t="s">
        <v>33</v>
      </c>
      <c r="G246" s="32">
        <v>3000</v>
      </c>
      <c r="H246" s="33">
        <v>45744</v>
      </c>
      <c r="I246" s="32" t="s">
        <v>571</v>
      </c>
      <c r="J246" s="32" t="s">
        <v>59</v>
      </c>
      <c r="K246" s="36">
        <v>352410602</v>
      </c>
      <c r="L246" s="35" t="s">
        <v>854</v>
      </c>
    </row>
    <row r="247" spans="1:12" x14ac:dyDescent="0.25">
      <c r="A247" s="30" t="s">
        <v>12</v>
      </c>
      <c r="B247" s="30" t="s">
        <v>13</v>
      </c>
      <c r="C247" s="30" t="s">
        <v>14</v>
      </c>
      <c r="D247" s="30" t="s">
        <v>144</v>
      </c>
      <c r="E247" s="39">
        <v>42542201947</v>
      </c>
      <c r="F247" s="30" t="s">
        <v>145</v>
      </c>
      <c r="G247" s="32">
        <v>6200</v>
      </c>
      <c r="H247" s="33">
        <v>45746</v>
      </c>
      <c r="I247" s="32" t="s">
        <v>652</v>
      </c>
      <c r="J247" s="32" t="s">
        <v>147</v>
      </c>
      <c r="K247" s="36">
        <v>352410642</v>
      </c>
      <c r="L247" s="35" t="s">
        <v>855</v>
      </c>
    </row>
    <row r="248" spans="1:12" hidden="1" x14ac:dyDescent="0.25">
      <c r="A248" s="30" t="s">
        <v>12</v>
      </c>
      <c r="B248" s="30" t="s">
        <v>13</v>
      </c>
      <c r="C248" s="30" t="s">
        <v>14</v>
      </c>
      <c r="D248" s="30" t="s">
        <v>760</v>
      </c>
      <c r="E248" s="30" t="s">
        <v>761</v>
      </c>
      <c r="F248" s="30" t="s">
        <v>33</v>
      </c>
      <c r="G248" s="37">
        <v>6200</v>
      </c>
      <c r="H248" s="33">
        <v>45747</v>
      </c>
      <c r="I248" s="37" t="s">
        <v>762</v>
      </c>
      <c r="J248" s="37" t="s">
        <v>142</v>
      </c>
      <c r="K248" s="34">
        <v>352410738</v>
      </c>
      <c r="L248" s="35" t="s">
        <v>856</v>
      </c>
    </row>
    <row r="249" spans="1:12" hidden="1" x14ac:dyDescent="0.25">
      <c r="A249" s="30" t="s">
        <v>12</v>
      </c>
      <c r="B249" s="30" t="s">
        <v>13</v>
      </c>
      <c r="C249" s="30" t="s">
        <v>14</v>
      </c>
      <c r="D249" s="30" t="s">
        <v>144</v>
      </c>
      <c r="E249" s="39">
        <v>42542201947</v>
      </c>
      <c r="F249" s="30" t="s">
        <v>145</v>
      </c>
      <c r="G249" s="32">
        <v>3000</v>
      </c>
      <c r="H249" s="33">
        <v>45747</v>
      </c>
      <c r="I249" s="32" t="s">
        <v>652</v>
      </c>
      <c r="J249" s="32" t="s">
        <v>147</v>
      </c>
      <c r="K249" s="36">
        <v>352410737</v>
      </c>
      <c r="L249" s="35" t="s">
        <v>857</v>
      </c>
    </row>
    <row r="250" spans="1:12" hidden="1" x14ac:dyDescent="0.25">
      <c r="A250" s="30" t="s">
        <v>12</v>
      </c>
      <c r="B250" s="30" t="s">
        <v>13</v>
      </c>
      <c r="C250" s="30" t="s">
        <v>14</v>
      </c>
      <c r="D250" s="30" t="s">
        <v>343</v>
      </c>
      <c r="E250" s="30" t="s">
        <v>344</v>
      </c>
      <c r="F250" s="30" t="s">
        <v>345</v>
      </c>
      <c r="G250" s="32">
        <v>500</v>
      </c>
      <c r="H250" s="33">
        <v>45747</v>
      </c>
      <c r="I250" s="32" t="s">
        <v>568</v>
      </c>
      <c r="J250" s="32" t="s">
        <v>187</v>
      </c>
      <c r="K250" s="36">
        <v>352410739</v>
      </c>
      <c r="L250" s="35" t="s">
        <v>858</v>
      </c>
    </row>
    <row r="251" spans="1:12" hidden="1" x14ac:dyDescent="0.25">
      <c r="A251" s="30" t="s">
        <v>12</v>
      </c>
      <c r="B251" s="30" t="s">
        <v>13</v>
      </c>
      <c r="C251" s="30" t="s">
        <v>14</v>
      </c>
      <c r="D251" s="30" t="s">
        <v>108</v>
      </c>
      <c r="E251" s="30" t="s">
        <v>109</v>
      </c>
      <c r="F251" s="30" t="s">
        <v>110</v>
      </c>
      <c r="G251" s="32">
        <v>6500</v>
      </c>
      <c r="H251" s="33">
        <v>45747</v>
      </c>
      <c r="I251" s="32" t="s">
        <v>701</v>
      </c>
      <c r="J251" s="32" t="s">
        <v>68</v>
      </c>
      <c r="K251" s="34">
        <v>352410639</v>
      </c>
      <c r="L251" s="35" t="s">
        <v>859</v>
      </c>
    </row>
    <row r="252" spans="1:12" hidden="1" x14ac:dyDescent="0.25">
      <c r="A252" s="30" t="s">
        <v>12</v>
      </c>
      <c r="B252" s="30" t="s">
        <v>13</v>
      </c>
      <c r="C252" s="30" t="s">
        <v>14</v>
      </c>
      <c r="D252" s="30" t="s">
        <v>31</v>
      </c>
      <c r="E252" s="30" t="s">
        <v>32</v>
      </c>
      <c r="F252" s="30" t="s">
        <v>33</v>
      </c>
      <c r="G252" s="32">
        <v>6500</v>
      </c>
      <c r="H252" s="33">
        <v>45747</v>
      </c>
      <c r="I252" s="32" t="s">
        <v>693</v>
      </c>
      <c r="J252" s="32" t="s">
        <v>118</v>
      </c>
      <c r="K252" s="34">
        <v>352410637</v>
      </c>
      <c r="L252" s="35" t="s">
        <v>859</v>
      </c>
    </row>
    <row r="253" spans="1:12" hidden="1" x14ac:dyDescent="0.25">
      <c r="A253" s="30" t="s">
        <v>12</v>
      </c>
      <c r="B253" s="30" t="s">
        <v>13</v>
      </c>
      <c r="C253" s="30" t="s">
        <v>14</v>
      </c>
      <c r="D253" s="30" t="s">
        <v>95</v>
      </c>
      <c r="E253" s="30" t="s">
        <v>96</v>
      </c>
      <c r="F253" s="30" t="s">
        <v>33</v>
      </c>
      <c r="G253" s="32">
        <v>6500</v>
      </c>
      <c r="H253" s="33">
        <v>45747</v>
      </c>
      <c r="I253" s="32" t="s">
        <v>571</v>
      </c>
      <c r="J253" s="32" t="s">
        <v>59</v>
      </c>
      <c r="K253" s="36">
        <v>352410643</v>
      </c>
      <c r="L253" s="35" t="s">
        <v>859</v>
      </c>
    </row>
    <row r="254" spans="1:12" hidden="1" x14ac:dyDescent="0.25">
      <c r="A254" s="30" t="s">
        <v>12</v>
      </c>
      <c r="B254" s="30" t="s">
        <v>13</v>
      </c>
      <c r="C254" s="30" t="s">
        <v>14</v>
      </c>
      <c r="D254" s="30" t="s">
        <v>760</v>
      </c>
      <c r="E254" s="30" t="s">
        <v>761</v>
      </c>
      <c r="F254" s="30" t="s">
        <v>33</v>
      </c>
      <c r="G254" s="37">
        <v>3000</v>
      </c>
      <c r="H254" s="33">
        <v>45748</v>
      </c>
      <c r="I254" s="37" t="s">
        <v>762</v>
      </c>
      <c r="J254" s="37" t="s">
        <v>142</v>
      </c>
      <c r="K254" s="34">
        <v>352410738</v>
      </c>
      <c r="L254" s="35" t="s">
        <v>860</v>
      </c>
    </row>
    <row r="255" spans="1:12" hidden="1" x14ac:dyDescent="0.25">
      <c r="A255" s="30" t="s">
        <v>12</v>
      </c>
      <c r="B255" s="30" t="s">
        <v>13</v>
      </c>
      <c r="C255" s="30" t="s">
        <v>14</v>
      </c>
      <c r="D255" s="30" t="s">
        <v>760</v>
      </c>
      <c r="E255" s="30" t="s">
        <v>761</v>
      </c>
      <c r="F255" s="30" t="s">
        <v>33</v>
      </c>
      <c r="G255" s="37">
        <v>500</v>
      </c>
      <c r="H255" s="33">
        <v>45749</v>
      </c>
      <c r="I255" s="37" t="s">
        <v>762</v>
      </c>
      <c r="J255" s="37" t="s">
        <v>142</v>
      </c>
      <c r="K255" s="34">
        <v>352410738</v>
      </c>
      <c r="L255" s="35" t="s">
        <v>860</v>
      </c>
    </row>
    <row r="256" spans="1:12" hidden="1" x14ac:dyDescent="0.25">
      <c r="A256" s="30" t="s">
        <v>12</v>
      </c>
      <c r="B256" s="30" t="s">
        <v>13</v>
      </c>
      <c r="C256" s="30" t="s">
        <v>14</v>
      </c>
      <c r="D256" s="36" t="s">
        <v>193</v>
      </c>
      <c r="E256" s="36" t="s">
        <v>194</v>
      </c>
      <c r="F256" s="36" t="s">
        <v>195</v>
      </c>
      <c r="G256" s="37">
        <v>5000</v>
      </c>
      <c r="H256" s="33">
        <v>45749</v>
      </c>
      <c r="I256" s="32" t="s">
        <v>572</v>
      </c>
      <c r="J256" s="32" t="s">
        <v>34</v>
      </c>
      <c r="K256" s="34">
        <v>352500009</v>
      </c>
      <c r="L256" s="35" t="s">
        <v>861</v>
      </c>
    </row>
    <row r="257" spans="1:12" hidden="1" x14ac:dyDescent="0.25">
      <c r="A257" s="30" t="s">
        <v>12</v>
      </c>
      <c r="B257" s="30" t="s">
        <v>13</v>
      </c>
      <c r="C257" s="30" t="s">
        <v>14</v>
      </c>
      <c r="D257" s="30" t="s">
        <v>95</v>
      </c>
      <c r="E257" s="30" t="s">
        <v>96</v>
      </c>
      <c r="F257" s="30" t="s">
        <v>33</v>
      </c>
      <c r="G257" s="32">
        <v>6200</v>
      </c>
      <c r="H257" s="33">
        <v>45750</v>
      </c>
      <c r="I257" s="32" t="s">
        <v>571</v>
      </c>
      <c r="J257" s="32" t="s">
        <v>59</v>
      </c>
      <c r="K257" s="36" t="s">
        <v>862</v>
      </c>
      <c r="L257" s="35" t="s">
        <v>863</v>
      </c>
    </row>
    <row r="258" spans="1:12" hidden="1" x14ac:dyDescent="0.25">
      <c r="A258" s="30" t="s">
        <v>12</v>
      </c>
      <c r="B258" s="30" t="s">
        <v>13</v>
      </c>
      <c r="C258" s="30" t="s">
        <v>14</v>
      </c>
      <c r="D258" s="30" t="s">
        <v>144</v>
      </c>
      <c r="E258" s="39">
        <v>42542201947</v>
      </c>
      <c r="F258" s="30" t="s">
        <v>145</v>
      </c>
      <c r="G258" s="32">
        <v>6200</v>
      </c>
      <c r="H258" s="33">
        <v>45750</v>
      </c>
      <c r="I258" s="32" t="s">
        <v>652</v>
      </c>
      <c r="J258" s="32" t="s">
        <v>147</v>
      </c>
      <c r="K258" s="36" t="s">
        <v>862</v>
      </c>
      <c r="L258" s="35" t="s">
        <v>863</v>
      </c>
    </row>
    <row r="259" spans="1:12" hidden="1" x14ac:dyDescent="0.25">
      <c r="A259" s="30" t="s">
        <v>12</v>
      </c>
      <c r="B259" s="30" t="s">
        <v>13</v>
      </c>
      <c r="C259" s="30" t="s">
        <v>14</v>
      </c>
      <c r="D259" s="30" t="s">
        <v>36</v>
      </c>
      <c r="E259" s="30" t="s">
        <v>37</v>
      </c>
      <c r="F259" s="30" t="s">
        <v>38</v>
      </c>
      <c r="G259" s="32">
        <v>7500</v>
      </c>
      <c r="H259" s="33">
        <v>45750</v>
      </c>
      <c r="I259" s="32" t="s">
        <v>681</v>
      </c>
      <c r="J259" s="32" t="s">
        <v>52</v>
      </c>
      <c r="K259" s="36" t="s">
        <v>862</v>
      </c>
      <c r="L259" s="35" t="s">
        <v>864</v>
      </c>
    </row>
    <row r="260" spans="1:12" hidden="1" x14ac:dyDescent="0.25">
      <c r="A260" s="30" t="s">
        <v>12</v>
      </c>
      <c r="B260" s="30" t="s">
        <v>13</v>
      </c>
      <c r="C260" s="30" t="s">
        <v>14</v>
      </c>
      <c r="D260" s="30" t="s">
        <v>760</v>
      </c>
      <c r="E260" s="30" t="s">
        <v>761</v>
      </c>
      <c r="F260" s="30" t="s">
        <v>33</v>
      </c>
      <c r="G260" s="32">
        <v>6200</v>
      </c>
      <c r="H260" s="33">
        <v>45750</v>
      </c>
      <c r="I260" s="37" t="s">
        <v>762</v>
      </c>
      <c r="J260" s="37" t="s">
        <v>142</v>
      </c>
      <c r="K260" s="36" t="s">
        <v>862</v>
      </c>
      <c r="L260" s="35" t="s">
        <v>863</v>
      </c>
    </row>
    <row r="261" spans="1:12" hidden="1" x14ac:dyDescent="0.25">
      <c r="A261" s="30" t="s">
        <v>12</v>
      </c>
      <c r="B261" s="30" t="s">
        <v>13</v>
      </c>
      <c r="C261" s="30" t="s">
        <v>14</v>
      </c>
      <c r="D261" s="30" t="s">
        <v>734</v>
      </c>
      <c r="E261" s="30" t="s">
        <v>735</v>
      </c>
      <c r="F261" s="30" t="s">
        <v>736</v>
      </c>
      <c r="G261" s="37">
        <v>5000</v>
      </c>
      <c r="H261" s="33">
        <v>45750</v>
      </c>
      <c r="I261" s="37" t="s">
        <v>573</v>
      </c>
      <c r="J261" s="37" t="s">
        <v>84</v>
      </c>
      <c r="K261" s="36">
        <v>352500021</v>
      </c>
      <c r="L261" s="35" t="s">
        <v>865</v>
      </c>
    </row>
    <row r="262" spans="1:12" hidden="1" x14ac:dyDescent="0.25">
      <c r="A262" s="30" t="s">
        <v>12</v>
      </c>
      <c r="B262" s="30" t="s">
        <v>13</v>
      </c>
      <c r="C262" s="30" t="s">
        <v>14</v>
      </c>
      <c r="D262" s="30" t="s">
        <v>108</v>
      </c>
      <c r="E262" s="30" t="s">
        <v>109</v>
      </c>
      <c r="F262" s="30" t="s">
        <v>110</v>
      </c>
      <c r="G262" s="32">
        <v>6200</v>
      </c>
      <c r="H262" s="33">
        <v>45750</v>
      </c>
      <c r="I262" s="32" t="s">
        <v>701</v>
      </c>
      <c r="J262" s="32" t="s">
        <v>68</v>
      </c>
      <c r="K262" s="36" t="s">
        <v>862</v>
      </c>
      <c r="L262" s="35" t="s">
        <v>863</v>
      </c>
    </row>
    <row r="263" spans="1:12" hidden="1" x14ac:dyDescent="0.25">
      <c r="A263" s="30" t="s">
        <v>12</v>
      </c>
      <c r="B263" s="30" t="s">
        <v>13</v>
      </c>
      <c r="C263" s="30" t="s">
        <v>14</v>
      </c>
      <c r="D263" s="30" t="s">
        <v>31</v>
      </c>
      <c r="E263" s="30" t="s">
        <v>32</v>
      </c>
      <c r="F263" s="30" t="s">
        <v>33</v>
      </c>
      <c r="G263" s="32">
        <v>6200</v>
      </c>
      <c r="H263" s="33">
        <v>45750</v>
      </c>
      <c r="I263" s="32" t="s">
        <v>693</v>
      </c>
      <c r="J263" s="32" t="s">
        <v>118</v>
      </c>
      <c r="K263" s="36" t="s">
        <v>862</v>
      </c>
      <c r="L263" s="35" t="s">
        <v>863</v>
      </c>
    </row>
  </sheetData>
  <autoFilter ref="A1:L263">
    <filterColumn colId="11">
      <filters>
        <filter val="NELMANGLA-JIGANI-40FT 04/03"/>
        <filter val="NELMANGLA-JIGANI-40FT 12/03"/>
        <filter val="NELMANGLA-JIGANI-40FT 22/03"/>
        <filter val="NELMANGLA-JIGANI-40FT 26/03"/>
        <filter val="NELMANGLA-JIGANI-40FT 29/03"/>
      </filters>
    </filterColumn>
  </autoFilter>
  <pageMargins left="0.7" right="0.7" top="0.75" bottom="0.75" header="0.3" footer="0.3"/>
  <pageSetup orientation="portrait" r:id="rId1"/>
  <ignoredErrors>
    <ignoredError sqref="E78 E82:E84 C2:C26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57"/>
  <sheetViews>
    <sheetView topLeftCell="B1" zoomScaleNormal="100" workbookViewId="0">
      <pane ySplit="1" topLeftCell="A2" activePane="bottomLeft" state="frozen"/>
      <selection pane="bottomLeft" activeCell="G20" sqref="A1:L57"/>
    </sheetView>
  </sheetViews>
  <sheetFormatPr defaultRowHeight="12.6" x14ac:dyDescent="0.25"/>
  <cols>
    <col min="1" max="1" width="22.33203125" style="31" bestFit="1" customWidth="1"/>
    <col min="2" max="2" width="11.88671875" style="31" bestFit="1" customWidth="1"/>
    <col min="3" max="3" width="14" style="31" bestFit="1" customWidth="1"/>
    <col min="4" max="4" width="18" style="31" bestFit="1" customWidth="1"/>
    <col min="5" max="5" width="17.77734375" style="31" bestFit="1" customWidth="1"/>
    <col min="6" max="6" width="14.33203125" style="31" bestFit="1" customWidth="1"/>
    <col min="7" max="7" width="8.77734375" style="31" bestFit="1" customWidth="1"/>
    <col min="8" max="8" width="11" style="31" bestFit="1" customWidth="1"/>
    <col min="9" max="9" width="17.21875" style="31" bestFit="1" customWidth="1"/>
    <col min="10" max="10" width="10.44140625" style="31" bestFit="1" customWidth="1"/>
    <col min="11" max="11" width="10" style="51" bestFit="1" customWidth="1"/>
    <col min="12" max="12" width="60.88671875" style="31" bestFit="1" customWidth="1"/>
    <col min="13" max="16384" width="8.88671875" style="31"/>
  </cols>
  <sheetData>
    <row r="1" spans="1:12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9" t="s">
        <v>7</v>
      </c>
      <c r="I1" s="28" t="s">
        <v>8</v>
      </c>
      <c r="J1" s="28" t="s">
        <v>9</v>
      </c>
      <c r="K1" s="48" t="s">
        <v>10</v>
      </c>
      <c r="L1" s="30" t="s">
        <v>11</v>
      </c>
    </row>
    <row r="2" spans="1:12" hidden="1" x14ac:dyDescent="0.25">
      <c r="A2" s="30" t="s">
        <v>12</v>
      </c>
      <c r="B2" s="30" t="s">
        <v>13</v>
      </c>
      <c r="C2" s="30" t="s">
        <v>14</v>
      </c>
      <c r="D2" s="30" t="s">
        <v>760</v>
      </c>
      <c r="E2" s="30" t="s">
        <v>761</v>
      </c>
      <c r="F2" s="30" t="s">
        <v>33</v>
      </c>
      <c r="G2" s="37">
        <v>3000</v>
      </c>
      <c r="H2" s="33">
        <v>45748</v>
      </c>
      <c r="I2" s="37" t="s">
        <v>762</v>
      </c>
      <c r="J2" s="37" t="s">
        <v>142</v>
      </c>
      <c r="K2" s="49">
        <v>352410738</v>
      </c>
      <c r="L2" s="35" t="s">
        <v>860</v>
      </c>
    </row>
    <row r="3" spans="1:12" hidden="1" x14ac:dyDescent="0.25">
      <c r="A3" s="30" t="s">
        <v>12</v>
      </c>
      <c r="B3" s="30" t="s">
        <v>13</v>
      </c>
      <c r="C3" s="30" t="s">
        <v>14</v>
      </c>
      <c r="D3" s="30" t="s">
        <v>760</v>
      </c>
      <c r="E3" s="30" t="s">
        <v>761</v>
      </c>
      <c r="F3" s="30" t="s">
        <v>33</v>
      </c>
      <c r="G3" s="37">
        <v>500</v>
      </c>
      <c r="H3" s="33">
        <v>45749</v>
      </c>
      <c r="I3" s="37" t="s">
        <v>762</v>
      </c>
      <c r="J3" s="37" t="s">
        <v>142</v>
      </c>
      <c r="K3" s="49">
        <v>352410738</v>
      </c>
      <c r="L3" s="35" t="s">
        <v>860</v>
      </c>
    </row>
    <row r="4" spans="1:12" hidden="1" x14ac:dyDescent="0.25">
      <c r="A4" s="30" t="s">
        <v>12</v>
      </c>
      <c r="B4" s="30" t="s">
        <v>13</v>
      </c>
      <c r="C4" s="30" t="s">
        <v>14</v>
      </c>
      <c r="D4" s="36" t="s">
        <v>193</v>
      </c>
      <c r="E4" s="36" t="s">
        <v>194</v>
      </c>
      <c r="F4" s="36" t="s">
        <v>195</v>
      </c>
      <c r="G4" s="37">
        <v>5000</v>
      </c>
      <c r="H4" s="33">
        <v>45749</v>
      </c>
      <c r="I4" s="32" t="s">
        <v>572</v>
      </c>
      <c r="J4" s="32" t="s">
        <v>34</v>
      </c>
      <c r="K4" s="49">
        <v>352500009</v>
      </c>
      <c r="L4" s="35" t="s">
        <v>861</v>
      </c>
    </row>
    <row r="5" spans="1:12" hidden="1" x14ac:dyDescent="0.25">
      <c r="A5" s="30" t="s">
        <v>12</v>
      </c>
      <c r="B5" s="30" t="s">
        <v>13</v>
      </c>
      <c r="C5" s="30" t="s">
        <v>14</v>
      </c>
      <c r="D5" s="30" t="s">
        <v>95</v>
      </c>
      <c r="E5" s="30" t="s">
        <v>96</v>
      </c>
      <c r="F5" s="30" t="s">
        <v>33</v>
      </c>
      <c r="G5" s="32">
        <v>6200</v>
      </c>
      <c r="H5" s="33">
        <v>45750</v>
      </c>
      <c r="I5" s="32" t="s">
        <v>571</v>
      </c>
      <c r="J5" s="32" t="s">
        <v>59</v>
      </c>
      <c r="K5" s="50" t="s">
        <v>862</v>
      </c>
      <c r="L5" s="35" t="s">
        <v>863</v>
      </c>
    </row>
    <row r="6" spans="1:12" x14ac:dyDescent="0.25">
      <c r="A6" s="30" t="s">
        <v>12</v>
      </c>
      <c r="B6" s="30" t="s">
        <v>13</v>
      </c>
      <c r="C6" s="30" t="s">
        <v>14</v>
      </c>
      <c r="D6" s="30" t="s">
        <v>144</v>
      </c>
      <c r="E6" s="39">
        <v>42542201947</v>
      </c>
      <c r="F6" s="30" t="s">
        <v>145</v>
      </c>
      <c r="G6" s="32">
        <v>6200</v>
      </c>
      <c r="H6" s="33">
        <v>45750</v>
      </c>
      <c r="I6" s="32" t="s">
        <v>652</v>
      </c>
      <c r="J6" s="32" t="s">
        <v>147</v>
      </c>
      <c r="K6" s="50" t="s">
        <v>862</v>
      </c>
      <c r="L6" s="35" t="s">
        <v>863</v>
      </c>
    </row>
    <row r="7" spans="1:12" hidden="1" x14ac:dyDescent="0.25">
      <c r="A7" s="30" t="s">
        <v>12</v>
      </c>
      <c r="B7" s="30" t="s">
        <v>13</v>
      </c>
      <c r="C7" s="30" t="s">
        <v>14</v>
      </c>
      <c r="D7" s="30" t="s">
        <v>36</v>
      </c>
      <c r="E7" s="30" t="s">
        <v>37</v>
      </c>
      <c r="F7" s="30" t="s">
        <v>38</v>
      </c>
      <c r="G7" s="32">
        <v>7500</v>
      </c>
      <c r="H7" s="33">
        <v>45750</v>
      </c>
      <c r="I7" s="32" t="s">
        <v>681</v>
      </c>
      <c r="J7" s="32" t="s">
        <v>52</v>
      </c>
      <c r="K7" s="50" t="s">
        <v>862</v>
      </c>
      <c r="L7" s="35" t="s">
        <v>864</v>
      </c>
    </row>
    <row r="8" spans="1:12" hidden="1" x14ac:dyDescent="0.25">
      <c r="A8" s="30" t="s">
        <v>12</v>
      </c>
      <c r="B8" s="30" t="s">
        <v>13</v>
      </c>
      <c r="C8" s="30" t="s">
        <v>14</v>
      </c>
      <c r="D8" s="30" t="s">
        <v>760</v>
      </c>
      <c r="E8" s="30" t="s">
        <v>761</v>
      </c>
      <c r="F8" s="30" t="s">
        <v>33</v>
      </c>
      <c r="G8" s="32">
        <v>6200</v>
      </c>
      <c r="H8" s="33">
        <v>45750</v>
      </c>
      <c r="I8" s="37" t="s">
        <v>762</v>
      </c>
      <c r="J8" s="37" t="s">
        <v>142</v>
      </c>
      <c r="K8" s="50" t="s">
        <v>862</v>
      </c>
      <c r="L8" s="35" t="s">
        <v>863</v>
      </c>
    </row>
    <row r="9" spans="1:12" hidden="1" x14ac:dyDescent="0.25">
      <c r="A9" s="30" t="s">
        <v>12</v>
      </c>
      <c r="B9" s="30" t="s">
        <v>13</v>
      </c>
      <c r="C9" s="30" t="s">
        <v>14</v>
      </c>
      <c r="D9" s="30" t="s">
        <v>734</v>
      </c>
      <c r="E9" s="30" t="s">
        <v>735</v>
      </c>
      <c r="F9" s="30" t="s">
        <v>736</v>
      </c>
      <c r="G9" s="37">
        <v>5000</v>
      </c>
      <c r="H9" s="33">
        <v>45750</v>
      </c>
      <c r="I9" s="37" t="s">
        <v>573</v>
      </c>
      <c r="J9" s="37" t="s">
        <v>84</v>
      </c>
      <c r="K9" s="50">
        <v>352500021</v>
      </c>
      <c r="L9" s="35" t="s">
        <v>865</v>
      </c>
    </row>
    <row r="10" spans="1:12" hidden="1" x14ac:dyDescent="0.25">
      <c r="A10" s="30" t="s">
        <v>12</v>
      </c>
      <c r="B10" s="30" t="s">
        <v>13</v>
      </c>
      <c r="C10" s="30" t="s">
        <v>14</v>
      </c>
      <c r="D10" s="30" t="s">
        <v>108</v>
      </c>
      <c r="E10" s="30" t="s">
        <v>109</v>
      </c>
      <c r="F10" s="30" t="s">
        <v>110</v>
      </c>
      <c r="G10" s="32">
        <v>6200</v>
      </c>
      <c r="H10" s="33">
        <v>45750</v>
      </c>
      <c r="I10" s="32" t="s">
        <v>701</v>
      </c>
      <c r="J10" s="32" t="s">
        <v>68</v>
      </c>
      <c r="K10" s="50" t="s">
        <v>862</v>
      </c>
      <c r="L10" s="35" t="s">
        <v>863</v>
      </c>
    </row>
    <row r="11" spans="1:12" hidden="1" x14ac:dyDescent="0.25">
      <c r="A11" s="30" t="s">
        <v>12</v>
      </c>
      <c r="B11" s="30" t="s">
        <v>13</v>
      </c>
      <c r="C11" s="30" t="s">
        <v>14</v>
      </c>
      <c r="D11" s="30" t="s">
        <v>31</v>
      </c>
      <c r="E11" s="30" t="s">
        <v>32</v>
      </c>
      <c r="F11" s="30" t="s">
        <v>33</v>
      </c>
      <c r="G11" s="32">
        <v>6200</v>
      </c>
      <c r="H11" s="33">
        <v>45750</v>
      </c>
      <c r="I11" s="32" t="s">
        <v>693</v>
      </c>
      <c r="J11" s="32" t="s">
        <v>118</v>
      </c>
      <c r="K11" s="50" t="s">
        <v>862</v>
      </c>
      <c r="L11" s="35" t="s">
        <v>863</v>
      </c>
    </row>
    <row r="12" spans="1:12" hidden="1" x14ac:dyDescent="0.25">
      <c r="A12" s="30" t="s">
        <v>12</v>
      </c>
      <c r="B12" s="30" t="s">
        <v>13</v>
      </c>
      <c r="C12" s="30" t="s">
        <v>14</v>
      </c>
      <c r="D12" s="30" t="s">
        <v>435</v>
      </c>
      <c r="E12" s="39">
        <v>31095925572</v>
      </c>
      <c r="F12" s="36" t="s">
        <v>33</v>
      </c>
      <c r="G12" s="32">
        <v>500</v>
      </c>
      <c r="H12" s="33">
        <v>45751</v>
      </c>
      <c r="I12" s="32" t="s">
        <v>578</v>
      </c>
      <c r="J12" s="32" t="s">
        <v>126</v>
      </c>
      <c r="K12" s="49">
        <v>352500024</v>
      </c>
      <c r="L12" s="35" t="s">
        <v>866</v>
      </c>
    </row>
    <row r="13" spans="1:12" x14ac:dyDescent="0.25">
      <c r="A13" s="30" t="s">
        <v>12</v>
      </c>
      <c r="B13" s="30" t="s">
        <v>13</v>
      </c>
      <c r="C13" s="30" t="s">
        <v>14</v>
      </c>
      <c r="D13" s="30" t="s">
        <v>144</v>
      </c>
      <c r="E13" s="39">
        <v>42542201947</v>
      </c>
      <c r="F13" s="30" t="s">
        <v>145</v>
      </c>
      <c r="G13" s="32">
        <v>5250</v>
      </c>
      <c r="H13" s="33">
        <v>45752</v>
      </c>
      <c r="I13" s="32" t="s">
        <v>652</v>
      </c>
      <c r="J13" s="32" t="s">
        <v>147</v>
      </c>
      <c r="K13" s="50">
        <v>352500059</v>
      </c>
      <c r="L13" s="35" t="s">
        <v>867</v>
      </c>
    </row>
    <row r="14" spans="1:12" hidden="1" x14ac:dyDescent="0.25">
      <c r="A14" s="30" t="s">
        <v>12</v>
      </c>
      <c r="B14" s="30" t="s">
        <v>13</v>
      </c>
      <c r="C14" s="30" t="s">
        <v>14</v>
      </c>
      <c r="D14" s="30" t="s">
        <v>36</v>
      </c>
      <c r="E14" s="30" t="s">
        <v>37</v>
      </c>
      <c r="F14" s="30" t="s">
        <v>38</v>
      </c>
      <c r="G14" s="32">
        <v>5250</v>
      </c>
      <c r="H14" s="33">
        <v>45752</v>
      </c>
      <c r="I14" s="32" t="s">
        <v>573</v>
      </c>
      <c r="J14" s="32" t="s">
        <v>84</v>
      </c>
      <c r="K14" s="50">
        <v>352500060</v>
      </c>
      <c r="L14" s="35" t="s">
        <v>867</v>
      </c>
    </row>
    <row r="15" spans="1:12" hidden="1" x14ac:dyDescent="0.25">
      <c r="A15" s="30" t="s">
        <v>12</v>
      </c>
      <c r="B15" s="30" t="s">
        <v>13</v>
      </c>
      <c r="C15" s="30" t="s">
        <v>14</v>
      </c>
      <c r="D15" s="30" t="s">
        <v>108</v>
      </c>
      <c r="E15" s="30" t="s">
        <v>109</v>
      </c>
      <c r="F15" s="30" t="s">
        <v>110</v>
      </c>
      <c r="G15" s="32">
        <v>5250</v>
      </c>
      <c r="H15" s="33">
        <v>45752</v>
      </c>
      <c r="I15" s="32" t="s">
        <v>667</v>
      </c>
      <c r="J15" s="32" t="s">
        <v>98</v>
      </c>
      <c r="K15" s="50" t="s">
        <v>862</v>
      </c>
      <c r="L15" s="35" t="s">
        <v>867</v>
      </c>
    </row>
    <row r="16" spans="1:12" hidden="1" x14ac:dyDescent="0.25">
      <c r="A16" s="30" t="s">
        <v>12</v>
      </c>
      <c r="B16" s="30" t="s">
        <v>13</v>
      </c>
      <c r="C16" s="30" t="s">
        <v>14</v>
      </c>
      <c r="D16" s="30" t="s">
        <v>31</v>
      </c>
      <c r="E16" s="30" t="s">
        <v>32</v>
      </c>
      <c r="F16" s="30" t="s">
        <v>33</v>
      </c>
      <c r="G16" s="32">
        <v>5250</v>
      </c>
      <c r="H16" s="33">
        <v>45752</v>
      </c>
      <c r="I16" s="32" t="s">
        <v>741</v>
      </c>
      <c r="J16" s="32" t="s">
        <v>22</v>
      </c>
      <c r="K16" s="50" t="s">
        <v>862</v>
      </c>
      <c r="L16" s="35" t="s">
        <v>867</v>
      </c>
    </row>
    <row r="17" spans="1:12" hidden="1" x14ac:dyDescent="0.25">
      <c r="A17" s="30" t="s">
        <v>12</v>
      </c>
      <c r="B17" s="30" t="s">
        <v>13</v>
      </c>
      <c r="C17" s="30" t="s">
        <v>14</v>
      </c>
      <c r="D17" s="30" t="s">
        <v>95</v>
      </c>
      <c r="E17" s="30" t="s">
        <v>96</v>
      </c>
      <c r="F17" s="30" t="s">
        <v>33</v>
      </c>
      <c r="G17" s="32">
        <v>5000</v>
      </c>
      <c r="H17" s="33">
        <v>45752</v>
      </c>
      <c r="I17" s="32" t="s">
        <v>571</v>
      </c>
      <c r="J17" s="32" t="s">
        <v>59</v>
      </c>
      <c r="K17" s="50">
        <v>352500025</v>
      </c>
      <c r="L17" s="35" t="s">
        <v>868</v>
      </c>
    </row>
    <row r="18" spans="1:12" hidden="1" x14ac:dyDescent="0.25">
      <c r="A18" s="30" t="s">
        <v>12</v>
      </c>
      <c r="B18" s="30" t="s">
        <v>13</v>
      </c>
      <c r="C18" s="30" t="s">
        <v>14</v>
      </c>
      <c r="D18" s="32" t="s">
        <v>149</v>
      </c>
      <c r="E18" s="40">
        <v>50100624324501</v>
      </c>
      <c r="F18" s="32" t="s">
        <v>150</v>
      </c>
      <c r="G18" s="37">
        <v>5250</v>
      </c>
      <c r="H18" s="33">
        <v>45754</v>
      </c>
      <c r="I18" s="32" t="s">
        <v>569</v>
      </c>
      <c r="J18" s="32" t="s">
        <v>40</v>
      </c>
      <c r="K18" s="36">
        <v>352500068</v>
      </c>
      <c r="L18" s="35" t="s">
        <v>867</v>
      </c>
    </row>
    <row r="19" spans="1:12" hidden="1" x14ac:dyDescent="0.25">
      <c r="A19" s="30" t="s">
        <v>12</v>
      </c>
      <c r="B19" s="30" t="s">
        <v>13</v>
      </c>
      <c r="C19" s="30" t="s">
        <v>14</v>
      </c>
      <c r="D19" s="30" t="s">
        <v>343</v>
      </c>
      <c r="E19" s="30" t="s">
        <v>344</v>
      </c>
      <c r="F19" s="30" t="s">
        <v>345</v>
      </c>
      <c r="G19" s="37">
        <v>5250</v>
      </c>
      <c r="H19" s="33">
        <v>45754</v>
      </c>
      <c r="I19" s="32" t="s">
        <v>869</v>
      </c>
      <c r="J19" s="32" t="s">
        <v>76</v>
      </c>
      <c r="K19" s="36">
        <v>352500069</v>
      </c>
      <c r="L19" s="35" t="s">
        <v>870</v>
      </c>
    </row>
    <row r="20" spans="1:12" x14ac:dyDescent="0.25">
      <c r="A20" s="30" t="s">
        <v>12</v>
      </c>
      <c r="B20" s="30" t="s">
        <v>13</v>
      </c>
      <c r="C20" s="30" t="s">
        <v>14</v>
      </c>
      <c r="D20" s="30" t="s">
        <v>144</v>
      </c>
      <c r="E20" s="39">
        <v>42542201947</v>
      </c>
      <c r="F20" s="30" t="s">
        <v>145</v>
      </c>
      <c r="G20" s="32">
        <v>3000</v>
      </c>
      <c r="H20" s="33">
        <v>45754</v>
      </c>
      <c r="I20" s="32" t="s">
        <v>652</v>
      </c>
      <c r="J20" s="32" t="s">
        <v>147</v>
      </c>
      <c r="K20" s="50">
        <v>352410737</v>
      </c>
      <c r="L20" s="35" t="s">
        <v>873</v>
      </c>
    </row>
    <row r="21" spans="1:12" hidden="1" x14ac:dyDescent="0.25">
      <c r="A21" s="30" t="s">
        <v>12</v>
      </c>
      <c r="B21" s="30" t="s">
        <v>13</v>
      </c>
      <c r="C21" s="30" t="s">
        <v>14</v>
      </c>
      <c r="D21" s="30" t="s">
        <v>31</v>
      </c>
      <c r="E21" s="30" t="s">
        <v>32</v>
      </c>
      <c r="F21" s="30" t="s">
        <v>33</v>
      </c>
      <c r="G21" s="32">
        <v>3250</v>
      </c>
      <c r="H21" s="33">
        <v>45754</v>
      </c>
      <c r="I21" s="32" t="s">
        <v>741</v>
      </c>
      <c r="J21" s="32" t="s">
        <v>22</v>
      </c>
      <c r="K21" s="50">
        <v>352500067</v>
      </c>
      <c r="L21" s="35" t="s">
        <v>871</v>
      </c>
    </row>
    <row r="22" spans="1:12" hidden="1" x14ac:dyDescent="0.25">
      <c r="A22" s="30" t="s">
        <v>12</v>
      </c>
      <c r="B22" s="30" t="s">
        <v>13</v>
      </c>
      <c r="C22" s="30" t="s">
        <v>14</v>
      </c>
      <c r="D22" s="30" t="s">
        <v>760</v>
      </c>
      <c r="E22" s="30" t="s">
        <v>761</v>
      </c>
      <c r="F22" s="30" t="s">
        <v>33</v>
      </c>
      <c r="G22" s="32">
        <v>6200</v>
      </c>
      <c r="H22" s="33">
        <v>45754</v>
      </c>
      <c r="I22" s="37" t="s">
        <v>762</v>
      </c>
      <c r="J22" s="37" t="s">
        <v>142</v>
      </c>
      <c r="K22" s="50">
        <v>352500076</v>
      </c>
      <c r="L22" s="35" t="s">
        <v>872</v>
      </c>
    </row>
    <row r="23" spans="1:12" hidden="1" x14ac:dyDescent="0.25">
      <c r="A23" s="30" t="s">
        <v>12</v>
      </c>
      <c r="B23" s="30" t="s">
        <v>13</v>
      </c>
      <c r="C23" s="30" t="s">
        <v>14</v>
      </c>
      <c r="D23" s="30" t="s">
        <v>95</v>
      </c>
      <c r="E23" s="30" t="s">
        <v>96</v>
      </c>
      <c r="F23" s="30" t="s">
        <v>33</v>
      </c>
      <c r="G23" s="32">
        <v>6200</v>
      </c>
      <c r="H23" s="33">
        <v>45754</v>
      </c>
      <c r="I23" s="32" t="s">
        <v>571</v>
      </c>
      <c r="J23" s="32" t="s">
        <v>59</v>
      </c>
      <c r="K23" s="50">
        <v>352500078</v>
      </c>
      <c r="L23" s="35" t="s">
        <v>872</v>
      </c>
    </row>
    <row r="24" spans="1:12" hidden="1" x14ac:dyDescent="0.25">
      <c r="A24" s="30" t="s">
        <v>12</v>
      </c>
      <c r="B24" s="30" t="s">
        <v>13</v>
      </c>
      <c r="C24" s="30" t="s">
        <v>14</v>
      </c>
      <c r="D24" s="30" t="s">
        <v>435</v>
      </c>
      <c r="E24" s="39">
        <v>31095925572</v>
      </c>
      <c r="F24" s="36" t="s">
        <v>33</v>
      </c>
      <c r="G24" s="32">
        <v>500</v>
      </c>
      <c r="H24" s="33">
        <v>45755</v>
      </c>
      <c r="I24" s="32" t="s">
        <v>578</v>
      </c>
      <c r="J24" s="32" t="s">
        <v>126</v>
      </c>
      <c r="K24" s="49">
        <v>352500075</v>
      </c>
      <c r="L24" s="35" t="s">
        <v>874</v>
      </c>
    </row>
    <row r="25" spans="1:12" hidden="1" x14ac:dyDescent="0.25">
      <c r="A25" s="30" t="s">
        <v>12</v>
      </c>
      <c r="B25" s="30" t="s">
        <v>13</v>
      </c>
      <c r="C25" s="30" t="s">
        <v>14</v>
      </c>
      <c r="D25" s="30" t="s">
        <v>760</v>
      </c>
      <c r="E25" s="30" t="s">
        <v>761</v>
      </c>
      <c r="F25" s="30" t="s">
        <v>33</v>
      </c>
      <c r="G25" s="32">
        <v>6200</v>
      </c>
      <c r="H25" s="33">
        <v>45755</v>
      </c>
      <c r="I25" s="37" t="s">
        <v>762</v>
      </c>
      <c r="J25" s="37" t="s">
        <v>142</v>
      </c>
      <c r="K25" s="50">
        <v>352500130</v>
      </c>
      <c r="L25" s="35" t="s">
        <v>875</v>
      </c>
    </row>
    <row r="26" spans="1:12" hidden="1" x14ac:dyDescent="0.25">
      <c r="A26" s="30" t="s">
        <v>12</v>
      </c>
      <c r="B26" s="30" t="s">
        <v>13</v>
      </c>
      <c r="C26" s="30" t="s">
        <v>14</v>
      </c>
      <c r="D26" s="30" t="s">
        <v>95</v>
      </c>
      <c r="E26" s="30" t="s">
        <v>96</v>
      </c>
      <c r="F26" s="30" t="s">
        <v>33</v>
      </c>
      <c r="G26" s="32">
        <v>6200</v>
      </c>
      <c r="H26" s="33">
        <v>45755</v>
      </c>
      <c r="I26" s="32" t="s">
        <v>571</v>
      </c>
      <c r="J26" s="32" t="s">
        <v>59</v>
      </c>
      <c r="K26" s="50">
        <v>352500129</v>
      </c>
      <c r="L26" s="35" t="s">
        <v>875</v>
      </c>
    </row>
    <row r="27" spans="1:12" hidden="1" x14ac:dyDescent="0.25">
      <c r="A27" s="30" t="s">
        <v>12</v>
      </c>
      <c r="B27" s="30" t="s">
        <v>13</v>
      </c>
      <c r="C27" s="30" t="s">
        <v>14</v>
      </c>
      <c r="D27" s="30" t="s">
        <v>108</v>
      </c>
      <c r="E27" s="30" t="s">
        <v>109</v>
      </c>
      <c r="F27" s="30" t="s">
        <v>110</v>
      </c>
      <c r="G27" s="32">
        <v>3250</v>
      </c>
      <c r="H27" s="33">
        <v>45755</v>
      </c>
      <c r="I27" s="32" t="s">
        <v>667</v>
      </c>
      <c r="J27" s="32" t="s">
        <v>98</v>
      </c>
      <c r="K27" s="50">
        <v>352500134</v>
      </c>
      <c r="L27" s="35" t="s">
        <v>876</v>
      </c>
    </row>
    <row r="28" spans="1:12" hidden="1" x14ac:dyDescent="0.25">
      <c r="A28" s="30" t="s">
        <v>12</v>
      </c>
      <c r="B28" s="30" t="s">
        <v>13</v>
      </c>
      <c r="C28" s="30" t="s">
        <v>14</v>
      </c>
      <c r="D28" s="30" t="s">
        <v>343</v>
      </c>
      <c r="E28" s="30" t="s">
        <v>344</v>
      </c>
      <c r="F28" s="30" t="s">
        <v>345</v>
      </c>
      <c r="G28" s="37">
        <v>5250</v>
      </c>
      <c r="H28" s="33">
        <v>45755</v>
      </c>
      <c r="I28" s="32" t="s">
        <v>869</v>
      </c>
      <c r="J28" s="32" t="s">
        <v>76</v>
      </c>
      <c r="K28" s="36">
        <v>352500087</v>
      </c>
      <c r="L28" s="35" t="s">
        <v>877</v>
      </c>
    </row>
    <row r="29" spans="1:12" hidden="1" x14ac:dyDescent="0.25">
      <c r="A29" s="30" t="s">
        <v>12</v>
      </c>
      <c r="B29" s="30" t="s">
        <v>13</v>
      </c>
      <c r="C29" s="30" t="s">
        <v>14</v>
      </c>
      <c r="D29" s="36" t="s">
        <v>193</v>
      </c>
      <c r="E29" s="36" t="s">
        <v>194</v>
      </c>
      <c r="F29" s="36" t="s">
        <v>195</v>
      </c>
      <c r="G29" s="37">
        <v>500</v>
      </c>
      <c r="H29" s="33">
        <v>45755</v>
      </c>
      <c r="I29" s="32" t="s">
        <v>572</v>
      </c>
      <c r="J29" s="32" t="s">
        <v>34</v>
      </c>
      <c r="K29" s="49">
        <v>352500085</v>
      </c>
      <c r="L29" s="35" t="s">
        <v>878</v>
      </c>
    </row>
    <row r="30" spans="1:12" hidden="1" x14ac:dyDescent="0.25">
      <c r="A30" s="30" t="s">
        <v>12</v>
      </c>
      <c r="B30" s="30" t="s">
        <v>13</v>
      </c>
      <c r="C30" s="30" t="s">
        <v>14</v>
      </c>
      <c r="D30" s="30" t="s">
        <v>36</v>
      </c>
      <c r="E30" s="30" t="s">
        <v>37</v>
      </c>
      <c r="F30" s="30" t="s">
        <v>38</v>
      </c>
      <c r="G30" s="32">
        <v>5250</v>
      </c>
      <c r="H30" s="33">
        <v>45755</v>
      </c>
      <c r="I30" s="32" t="s">
        <v>573</v>
      </c>
      <c r="J30" s="32" t="s">
        <v>84</v>
      </c>
      <c r="K30" s="50">
        <v>352500086</v>
      </c>
      <c r="L30" s="35" t="s">
        <v>870</v>
      </c>
    </row>
    <row r="31" spans="1:12" hidden="1" x14ac:dyDescent="0.25">
      <c r="A31" s="30" t="s">
        <v>12</v>
      </c>
      <c r="B31" s="30" t="s">
        <v>13</v>
      </c>
      <c r="C31" s="30" t="s">
        <v>14</v>
      </c>
      <c r="D31" s="32" t="s">
        <v>149</v>
      </c>
      <c r="E31" s="40">
        <v>50100624324501</v>
      </c>
      <c r="F31" s="32" t="s">
        <v>150</v>
      </c>
      <c r="G31" s="37">
        <v>5250</v>
      </c>
      <c r="H31" s="33">
        <v>45755</v>
      </c>
      <c r="I31" s="32" t="s">
        <v>569</v>
      </c>
      <c r="J31" s="32" t="s">
        <v>40</v>
      </c>
      <c r="K31" s="36">
        <v>352500088</v>
      </c>
      <c r="L31" s="35" t="s">
        <v>870</v>
      </c>
    </row>
    <row r="32" spans="1:12" s="38" customFormat="1" hidden="1" x14ac:dyDescent="0.25">
      <c r="A32" s="36" t="s">
        <v>12</v>
      </c>
      <c r="B32" s="36" t="s">
        <v>13</v>
      </c>
      <c r="C32" s="36" t="s">
        <v>14</v>
      </c>
      <c r="D32" s="36" t="s">
        <v>759</v>
      </c>
      <c r="E32" s="42">
        <v>35211636583</v>
      </c>
      <c r="F32" s="36" t="s">
        <v>33</v>
      </c>
      <c r="G32" s="32">
        <v>500</v>
      </c>
      <c r="H32" s="33">
        <v>45756</v>
      </c>
      <c r="I32" s="37" t="s">
        <v>635</v>
      </c>
      <c r="J32" s="37" t="s">
        <v>176</v>
      </c>
      <c r="K32" s="36">
        <v>352500156</v>
      </c>
      <c r="L32" s="35" t="s">
        <v>879</v>
      </c>
    </row>
    <row r="33" spans="1:12" x14ac:dyDescent="0.25">
      <c r="A33" s="30" t="s">
        <v>12</v>
      </c>
      <c r="B33" s="30" t="s">
        <v>13</v>
      </c>
      <c r="C33" s="30" t="s">
        <v>14</v>
      </c>
      <c r="D33" s="30" t="s">
        <v>144</v>
      </c>
      <c r="E33" s="39">
        <v>42542201947</v>
      </c>
      <c r="F33" s="30" t="s">
        <v>145</v>
      </c>
      <c r="G33" s="32">
        <v>3250</v>
      </c>
      <c r="H33" s="33">
        <v>45756</v>
      </c>
      <c r="I33" s="32" t="s">
        <v>652</v>
      </c>
      <c r="J33" s="32" t="s">
        <v>147</v>
      </c>
      <c r="K33" s="50">
        <v>352500136</v>
      </c>
      <c r="L33" s="35" t="s">
        <v>880</v>
      </c>
    </row>
    <row r="34" spans="1:12" hidden="1" x14ac:dyDescent="0.25">
      <c r="A34" s="30" t="s">
        <v>12</v>
      </c>
      <c r="B34" s="30" t="s">
        <v>13</v>
      </c>
      <c r="C34" s="30" t="s">
        <v>14</v>
      </c>
      <c r="D34" s="30" t="s">
        <v>760</v>
      </c>
      <c r="E34" s="30" t="s">
        <v>761</v>
      </c>
      <c r="F34" s="30" t="s">
        <v>33</v>
      </c>
      <c r="G34" s="32">
        <v>2500</v>
      </c>
      <c r="H34" s="33">
        <v>45756</v>
      </c>
      <c r="I34" s="37" t="s">
        <v>762</v>
      </c>
      <c r="J34" s="37" t="s">
        <v>142</v>
      </c>
      <c r="K34" s="50">
        <v>352500140</v>
      </c>
      <c r="L34" s="35" t="s">
        <v>881</v>
      </c>
    </row>
    <row r="35" spans="1:12" hidden="1" x14ac:dyDescent="0.25">
      <c r="A35" s="30" t="s">
        <v>12</v>
      </c>
      <c r="B35" s="30" t="s">
        <v>13</v>
      </c>
      <c r="C35" s="30" t="s">
        <v>14</v>
      </c>
      <c r="D35" s="30" t="s">
        <v>95</v>
      </c>
      <c r="E35" s="30" t="s">
        <v>96</v>
      </c>
      <c r="F35" s="30" t="s">
        <v>33</v>
      </c>
      <c r="G35" s="32">
        <v>5250</v>
      </c>
      <c r="H35" s="33">
        <v>45756</v>
      </c>
      <c r="I35" s="32" t="s">
        <v>571</v>
      </c>
      <c r="J35" s="32" t="s">
        <v>59</v>
      </c>
      <c r="K35" s="50">
        <v>352500141</v>
      </c>
      <c r="L35" s="35" t="s">
        <v>882</v>
      </c>
    </row>
    <row r="36" spans="1:12" hidden="1" x14ac:dyDescent="0.25">
      <c r="A36" s="30" t="s">
        <v>12</v>
      </c>
      <c r="B36" s="30" t="s">
        <v>13</v>
      </c>
      <c r="C36" s="30" t="s">
        <v>14</v>
      </c>
      <c r="D36" s="30" t="s">
        <v>108</v>
      </c>
      <c r="E36" s="30" t="s">
        <v>109</v>
      </c>
      <c r="F36" s="30" t="s">
        <v>110</v>
      </c>
      <c r="G36" s="32">
        <v>5250</v>
      </c>
      <c r="H36" s="33">
        <v>45756</v>
      </c>
      <c r="I36" s="32" t="s">
        <v>667</v>
      </c>
      <c r="J36" s="32" t="s">
        <v>98</v>
      </c>
      <c r="K36" s="50">
        <v>352500134</v>
      </c>
      <c r="L36" s="35" t="s">
        <v>882</v>
      </c>
    </row>
    <row r="37" spans="1:12" hidden="1" x14ac:dyDescent="0.25">
      <c r="A37" s="30" t="s">
        <v>12</v>
      </c>
      <c r="B37" s="30" t="s">
        <v>13</v>
      </c>
      <c r="C37" s="30" t="s">
        <v>14</v>
      </c>
      <c r="D37" s="30" t="s">
        <v>343</v>
      </c>
      <c r="E37" s="30" t="s">
        <v>344</v>
      </c>
      <c r="F37" s="30" t="s">
        <v>345</v>
      </c>
      <c r="G37" s="37">
        <v>5250</v>
      </c>
      <c r="H37" s="33">
        <v>45756</v>
      </c>
      <c r="I37" s="32" t="s">
        <v>869</v>
      </c>
      <c r="J37" s="32" t="s">
        <v>76</v>
      </c>
      <c r="K37" s="36">
        <v>352500135</v>
      </c>
      <c r="L37" s="35" t="s">
        <v>882</v>
      </c>
    </row>
    <row r="38" spans="1:12" hidden="1" x14ac:dyDescent="0.25">
      <c r="A38" s="30" t="s">
        <v>12</v>
      </c>
      <c r="B38" s="30" t="s">
        <v>13</v>
      </c>
      <c r="C38" s="30" t="s">
        <v>14</v>
      </c>
      <c r="D38" s="30" t="s">
        <v>31</v>
      </c>
      <c r="E38" s="30" t="s">
        <v>32</v>
      </c>
      <c r="F38" s="30" t="s">
        <v>33</v>
      </c>
      <c r="G38" s="37">
        <v>5250</v>
      </c>
      <c r="H38" s="33">
        <v>45756</v>
      </c>
      <c r="I38" s="32" t="s">
        <v>741</v>
      </c>
      <c r="J38" s="32" t="s">
        <v>22</v>
      </c>
      <c r="K38" s="50">
        <v>352500095</v>
      </c>
      <c r="L38" s="35" t="s">
        <v>882</v>
      </c>
    </row>
    <row r="39" spans="1:12" x14ac:dyDescent="0.25">
      <c r="A39" s="30" t="s">
        <v>12</v>
      </c>
      <c r="B39" s="30" t="s">
        <v>13</v>
      </c>
      <c r="C39" s="30" t="s">
        <v>14</v>
      </c>
      <c r="D39" s="30" t="s">
        <v>144</v>
      </c>
      <c r="E39" s="39">
        <v>42542201947</v>
      </c>
      <c r="F39" s="30" t="s">
        <v>145</v>
      </c>
      <c r="G39" s="32">
        <v>3750</v>
      </c>
      <c r="H39" s="33">
        <v>45757</v>
      </c>
      <c r="I39" s="32" t="s">
        <v>652</v>
      </c>
      <c r="J39" s="32" t="s">
        <v>147</v>
      </c>
      <c r="K39" s="50">
        <v>352500184</v>
      </c>
      <c r="L39" s="35" t="s">
        <v>883</v>
      </c>
    </row>
    <row r="40" spans="1:12" hidden="1" x14ac:dyDescent="0.25">
      <c r="A40" s="30" t="s">
        <v>12</v>
      </c>
      <c r="B40" s="30" t="s">
        <v>13</v>
      </c>
      <c r="C40" s="30" t="s">
        <v>14</v>
      </c>
      <c r="D40" s="30" t="s">
        <v>95</v>
      </c>
      <c r="E40" s="30" t="s">
        <v>96</v>
      </c>
      <c r="F40" s="30" t="s">
        <v>33</v>
      </c>
      <c r="G40" s="32">
        <v>3500</v>
      </c>
      <c r="H40" s="33">
        <v>45757</v>
      </c>
      <c r="I40" s="32" t="s">
        <v>571</v>
      </c>
      <c r="J40" s="32" t="s">
        <v>59</v>
      </c>
      <c r="K40" s="50">
        <v>352500180</v>
      </c>
      <c r="L40" s="35" t="s">
        <v>884</v>
      </c>
    </row>
    <row r="41" spans="1:12" hidden="1" x14ac:dyDescent="0.25">
      <c r="A41" s="30" t="s">
        <v>12</v>
      </c>
      <c r="B41" s="30" t="s">
        <v>13</v>
      </c>
      <c r="C41" s="30" t="s">
        <v>14</v>
      </c>
      <c r="D41" s="30" t="s">
        <v>343</v>
      </c>
      <c r="E41" s="30" t="s">
        <v>344</v>
      </c>
      <c r="F41" s="30" t="s">
        <v>345</v>
      </c>
      <c r="G41" s="37">
        <v>5250</v>
      </c>
      <c r="H41" s="33">
        <v>45757</v>
      </c>
      <c r="I41" s="32" t="s">
        <v>869</v>
      </c>
      <c r="J41" s="32" t="s">
        <v>76</v>
      </c>
      <c r="K41" s="50">
        <v>352500179</v>
      </c>
      <c r="L41" s="35" t="s">
        <v>883</v>
      </c>
    </row>
    <row r="42" spans="1:12" hidden="1" x14ac:dyDescent="0.25">
      <c r="A42" s="30" t="s">
        <v>12</v>
      </c>
      <c r="B42" s="30" t="s">
        <v>13</v>
      </c>
      <c r="C42" s="30" t="s">
        <v>14</v>
      </c>
      <c r="D42" s="30" t="s">
        <v>31</v>
      </c>
      <c r="E42" s="30" t="s">
        <v>32</v>
      </c>
      <c r="F42" s="30" t="s">
        <v>33</v>
      </c>
      <c r="G42" s="37">
        <v>3750</v>
      </c>
      <c r="H42" s="33">
        <v>45757</v>
      </c>
      <c r="I42" s="32" t="s">
        <v>741</v>
      </c>
      <c r="J42" s="32" t="s">
        <v>22</v>
      </c>
      <c r="K42" s="50">
        <v>352500178</v>
      </c>
      <c r="L42" s="35" t="s">
        <v>883</v>
      </c>
    </row>
    <row r="43" spans="1:12" hidden="1" x14ac:dyDescent="0.25">
      <c r="A43" s="30" t="s">
        <v>12</v>
      </c>
      <c r="B43" s="30" t="s">
        <v>13</v>
      </c>
      <c r="C43" s="30" t="s">
        <v>14</v>
      </c>
      <c r="D43" s="30" t="s">
        <v>36</v>
      </c>
      <c r="E43" s="30" t="s">
        <v>37</v>
      </c>
      <c r="F43" s="30" t="s">
        <v>38</v>
      </c>
      <c r="G43" s="37">
        <v>5250</v>
      </c>
      <c r="H43" s="33">
        <v>45757</v>
      </c>
      <c r="I43" s="32" t="s">
        <v>667</v>
      </c>
      <c r="J43" s="32" t="s">
        <v>98</v>
      </c>
      <c r="K43" s="50">
        <v>352500181</v>
      </c>
      <c r="L43" s="35" t="s">
        <v>883</v>
      </c>
    </row>
    <row r="44" spans="1:12" hidden="1" x14ac:dyDescent="0.25">
      <c r="A44" s="30" t="s">
        <v>12</v>
      </c>
      <c r="B44" s="30" t="s">
        <v>13</v>
      </c>
      <c r="C44" s="30" t="s">
        <v>14</v>
      </c>
      <c r="D44" s="32" t="s">
        <v>149</v>
      </c>
      <c r="E44" s="40">
        <v>50100624324501</v>
      </c>
      <c r="F44" s="32" t="s">
        <v>150</v>
      </c>
      <c r="G44" s="37">
        <v>4750</v>
      </c>
      <c r="H44" s="33">
        <v>45757</v>
      </c>
      <c r="I44" s="32" t="s">
        <v>569</v>
      </c>
      <c r="J44" s="32" t="s">
        <v>40</v>
      </c>
      <c r="K44" s="36">
        <v>352500195</v>
      </c>
      <c r="L44" s="35" t="s">
        <v>885</v>
      </c>
    </row>
    <row r="45" spans="1:12" hidden="1" x14ac:dyDescent="0.25">
      <c r="A45" s="30" t="s">
        <v>12</v>
      </c>
      <c r="B45" s="30" t="s">
        <v>13</v>
      </c>
      <c r="C45" s="30" t="s">
        <v>14</v>
      </c>
      <c r="D45" s="30" t="s">
        <v>36</v>
      </c>
      <c r="E45" s="30" t="s">
        <v>37</v>
      </c>
      <c r="F45" s="30" t="s">
        <v>38</v>
      </c>
      <c r="G45" s="37">
        <v>4500</v>
      </c>
      <c r="H45" s="33">
        <v>45758</v>
      </c>
      <c r="I45" s="32" t="s">
        <v>667</v>
      </c>
      <c r="J45" s="32" t="s">
        <v>98</v>
      </c>
      <c r="K45" s="50">
        <v>352500211</v>
      </c>
      <c r="L45" s="35" t="s">
        <v>886</v>
      </c>
    </row>
    <row r="46" spans="1:12" hidden="1" x14ac:dyDescent="0.25">
      <c r="A46" s="30" t="s">
        <v>12</v>
      </c>
      <c r="B46" s="30" t="s">
        <v>13</v>
      </c>
      <c r="C46" s="30" t="s">
        <v>14</v>
      </c>
      <c r="D46" s="30" t="s">
        <v>31</v>
      </c>
      <c r="E46" s="30" t="s">
        <v>32</v>
      </c>
      <c r="F46" s="30" t="s">
        <v>33</v>
      </c>
      <c r="G46" s="37">
        <v>4500</v>
      </c>
      <c r="H46" s="33">
        <v>45758</v>
      </c>
      <c r="I46" s="32" t="s">
        <v>741</v>
      </c>
      <c r="J46" s="32" t="s">
        <v>22</v>
      </c>
      <c r="K46" s="50">
        <v>352500212</v>
      </c>
      <c r="L46" s="35" t="s">
        <v>886</v>
      </c>
    </row>
    <row r="47" spans="1:12" x14ac:dyDescent="0.25">
      <c r="A47" s="30" t="s">
        <v>12</v>
      </c>
      <c r="B47" s="30" t="s">
        <v>13</v>
      </c>
      <c r="C47" s="30" t="s">
        <v>14</v>
      </c>
      <c r="D47" s="30" t="s">
        <v>144</v>
      </c>
      <c r="E47" s="39">
        <v>42542201947</v>
      </c>
      <c r="F47" s="30" t="s">
        <v>145</v>
      </c>
      <c r="G47" s="37">
        <v>4500</v>
      </c>
      <c r="H47" s="33">
        <v>45758</v>
      </c>
      <c r="I47" s="32" t="s">
        <v>652</v>
      </c>
      <c r="J47" s="32" t="s">
        <v>147</v>
      </c>
      <c r="K47" s="50">
        <v>352500208</v>
      </c>
      <c r="L47" s="35" t="s">
        <v>886</v>
      </c>
    </row>
    <row r="48" spans="1:12" hidden="1" x14ac:dyDescent="0.25">
      <c r="A48" s="30" t="s">
        <v>12</v>
      </c>
      <c r="B48" s="30" t="s">
        <v>13</v>
      </c>
      <c r="C48" s="30" t="s">
        <v>14</v>
      </c>
      <c r="D48" s="30" t="s">
        <v>36</v>
      </c>
      <c r="E48" s="30" t="s">
        <v>37</v>
      </c>
      <c r="F48" s="30" t="s">
        <v>38</v>
      </c>
      <c r="G48" s="37">
        <v>3500</v>
      </c>
      <c r="H48" s="33">
        <v>45759</v>
      </c>
      <c r="I48" s="32" t="s">
        <v>667</v>
      </c>
      <c r="J48" s="32" t="s">
        <v>98</v>
      </c>
      <c r="K48" s="50">
        <v>352500248</v>
      </c>
      <c r="L48" s="35" t="s">
        <v>887</v>
      </c>
    </row>
    <row r="49" spans="1:12" hidden="1" x14ac:dyDescent="0.25">
      <c r="A49" s="30" t="s">
        <v>12</v>
      </c>
      <c r="B49" s="30" t="s">
        <v>13</v>
      </c>
      <c r="C49" s="30" t="s">
        <v>14</v>
      </c>
      <c r="D49" s="30" t="s">
        <v>31</v>
      </c>
      <c r="E49" s="30" t="s">
        <v>32</v>
      </c>
      <c r="F49" s="30" t="s">
        <v>33</v>
      </c>
      <c r="G49" s="37">
        <v>3500</v>
      </c>
      <c r="H49" s="33">
        <v>45759</v>
      </c>
      <c r="I49" s="32" t="s">
        <v>741</v>
      </c>
      <c r="J49" s="32" t="s">
        <v>22</v>
      </c>
      <c r="K49" s="50">
        <v>352500247</v>
      </c>
      <c r="L49" s="35" t="s">
        <v>887</v>
      </c>
    </row>
    <row r="50" spans="1:12" x14ac:dyDescent="0.25">
      <c r="A50" s="30" t="s">
        <v>12</v>
      </c>
      <c r="B50" s="30" t="s">
        <v>13</v>
      </c>
      <c r="C50" s="30" t="s">
        <v>14</v>
      </c>
      <c r="D50" s="30" t="s">
        <v>144</v>
      </c>
      <c r="E50" s="39">
        <v>42542201947</v>
      </c>
      <c r="F50" s="30" t="s">
        <v>145</v>
      </c>
      <c r="G50" s="37">
        <v>3500</v>
      </c>
      <c r="H50" s="33">
        <v>45759</v>
      </c>
      <c r="I50" s="32" t="s">
        <v>652</v>
      </c>
      <c r="J50" s="32" t="s">
        <v>147</v>
      </c>
      <c r="K50" s="50">
        <v>352500246</v>
      </c>
      <c r="L50" s="35" t="s">
        <v>887</v>
      </c>
    </row>
    <row r="51" spans="1:12" hidden="1" x14ac:dyDescent="0.25">
      <c r="A51" s="30" t="s">
        <v>12</v>
      </c>
      <c r="B51" s="30" t="s">
        <v>13</v>
      </c>
      <c r="C51" s="30" t="s">
        <v>14</v>
      </c>
      <c r="D51" s="30" t="s">
        <v>343</v>
      </c>
      <c r="E51" s="30" t="s">
        <v>344</v>
      </c>
      <c r="F51" s="30" t="s">
        <v>345</v>
      </c>
      <c r="G51" s="37">
        <v>5000</v>
      </c>
      <c r="H51" s="33">
        <v>45759</v>
      </c>
      <c r="I51" s="32" t="s">
        <v>869</v>
      </c>
      <c r="J51" s="32" t="s">
        <v>76</v>
      </c>
      <c r="K51" s="50">
        <v>352500210</v>
      </c>
      <c r="L51" s="35" t="s">
        <v>888</v>
      </c>
    </row>
    <row r="52" spans="1:12" hidden="1" x14ac:dyDescent="0.25">
      <c r="A52" s="30" t="s">
        <v>12</v>
      </c>
      <c r="B52" s="30" t="s">
        <v>13</v>
      </c>
      <c r="C52" s="30" t="s">
        <v>14</v>
      </c>
      <c r="D52" s="30" t="s">
        <v>95</v>
      </c>
      <c r="E52" s="30" t="s">
        <v>96</v>
      </c>
      <c r="F52" s="30" t="s">
        <v>33</v>
      </c>
      <c r="G52" s="32">
        <v>3750</v>
      </c>
      <c r="H52" s="33">
        <v>45759</v>
      </c>
      <c r="I52" s="32" t="s">
        <v>571</v>
      </c>
      <c r="J52" s="32" t="s">
        <v>59</v>
      </c>
      <c r="K52" s="50">
        <v>352500206</v>
      </c>
      <c r="L52" s="35" t="s">
        <v>887</v>
      </c>
    </row>
    <row r="53" spans="1:12" hidden="1" x14ac:dyDescent="0.25">
      <c r="A53" s="30" t="s">
        <v>12</v>
      </c>
      <c r="B53" s="30" t="s">
        <v>13</v>
      </c>
      <c r="C53" s="30" t="s">
        <v>14</v>
      </c>
      <c r="D53" s="30" t="s">
        <v>31</v>
      </c>
      <c r="E53" s="30" t="s">
        <v>32</v>
      </c>
      <c r="F53" s="30" t="s">
        <v>33</v>
      </c>
      <c r="G53" s="37">
        <v>5250</v>
      </c>
      <c r="H53" s="33">
        <v>45775</v>
      </c>
      <c r="I53" s="32" t="s">
        <v>667</v>
      </c>
      <c r="J53" s="32" t="s">
        <v>98</v>
      </c>
      <c r="K53" s="50">
        <v>352500540</v>
      </c>
      <c r="L53" s="35" t="s">
        <v>889</v>
      </c>
    </row>
    <row r="54" spans="1:12" hidden="1" x14ac:dyDescent="0.25">
      <c r="A54" s="30" t="s">
        <v>12</v>
      </c>
      <c r="B54" s="30" t="s">
        <v>13</v>
      </c>
      <c r="C54" s="30" t="s">
        <v>14</v>
      </c>
      <c r="D54" s="30" t="s">
        <v>31</v>
      </c>
      <c r="E54" s="30" t="s">
        <v>32</v>
      </c>
      <c r="F54" s="30" t="s">
        <v>33</v>
      </c>
      <c r="G54" s="37">
        <v>5250</v>
      </c>
      <c r="H54" s="33">
        <v>45775</v>
      </c>
      <c r="I54" s="32" t="s">
        <v>741</v>
      </c>
      <c r="J54" s="32" t="s">
        <v>22</v>
      </c>
      <c r="K54" s="50">
        <v>352500541</v>
      </c>
      <c r="L54" s="35" t="s">
        <v>889</v>
      </c>
    </row>
    <row r="55" spans="1:12" hidden="1" x14ac:dyDescent="0.25">
      <c r="A55" s="30" t="s">
        <v>12</v>
      </c>
      <c r="B55" s="30" t="s">
        <v>13</v>
      </c>
      <c r="C55" s="30" t="s">
        <v>14</v>
      </c>
      <c r="D55" s="36" t="s">
        <v>193</v>
      </c>
      <c r="E55" s="36" t="s">
        <v>194</v>
      </c>
      <c r="F55" s="36" t="s">
        <v>195</v>
      </c>
      <c r="G55" s="37">
        <v>4000</v>
      </c>
      <c r="H55" s="33">
        <v>45775</v>
      </c>
      <c r="I55" s="32" t="s">
        <v>572</v>
      </c>
      <c r="J55" s="32" t="s">
        <v>34</v>
      </c>
      <c r="K55" s="50">
        <v>352500551</v>
      </c>
      <c r="L55" s="35" t="s">
        <v>890</v>
      </c>
    </row>
    <row r="56" spans="1:12" hidden="1" x14ac:dyDescent="0.25">
      <c r="A56" s="30" t="s">
        <v>12</v>
      </c>
      <c r="B56" s="30" t="s">
        <v>13</v>
      </c>
      <c r="C56" s="30" t="s">
        <v>14</v>
      </c>
      <c r="D56" s="32" t="s">
        <v>149</v>
      </c>
      <c r="E56" s="40">
        <v>50100624324501</v>
      </c>
      <c r="F56" s="32" t="s">
        <v>150</v>
      </c>
      <c r="G56" s="37">
        <v>4000</v>
      </c>
      <c r="H56" s="33">
        <v>45775</v>
      </c>
      <c r="I56" s="32" t="s">
        <v>569</v>
      </c>
      <c r="J56" s="32" t="s">
        <v>40</v>
      </c>
      <c r="K56" s="50">
        <v>352500552</v>
      </c>
      <c r="L56" s="35" t="s">
        <v>890</v>
      </c>
    </row>
    <row r="57" spans="1:12" hidden="1" x14ac:dyDescent="0.25">
      <c r="A57" s="30" t="s">
        <v>12</v>
      </c>
      <c r="B57" s="30" t="s">
        <v>13</v>
      </c>
      <c r="C57" s="30" t="s">
        <v>14</v>
      </c>
      <c r="D57" s="30" t="s">
        <v>95</v>
      </c>
      <c r="E57" s="30" t="s">
        <v>96</v>
      </c>
      <c r="F57" s="30" t="s">
        <v>33</v>
      </c>
      <c r="G57" s="37">
        <v>4000</v>
      </c>
      <c r="H57" s="33">
        <v>45775</v>
      </c>
      <c r="I57" s="32" t="s">
        <v>571</v>
      </c>
      <c r="J57" s="32" t="s">
        <v>59</v>
      </c>
      <c r="K57" s="50">
        <v>352500553</v>
      </c>
      <c r="L57" s="35" t="s">
        <v>890</v>
      </c>
    </row>
  </sheetData>
  <autoFilter ref="A1:L57">
    <filterColumn colId="9">
      <filters>
        <filter val="HR47B5920"/>
      </filters>
    </filterColumn>
  </autoFilter>
  <pageMargins left="0.7" right="0.7" top="0.75" bottom="0.75" header="0.3" footer="0.3"/>
  <pageSetup orientation="portrait" r:id="rId1"/>
  <ignoredErrors>
    <ignoredError sqref="C2:C5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opLeftCell="B1" zoomScaleNormal="100" workbookViewId="0">
      <pane ySplit="1" topLeftCell="A2" activePane="bottomLeft" state="frozen"/>
      <selection pane="bottomLeft" activeCell="G4" sqref="G4"/>
    </sheetView>
  </sheetViews>
  <sheetFormatPr defaultRowHeight="12.6" x14ac:dyDescent="0.25"/>
  <cols>
    <col min="1" max="1" width="22.33203125" style="31" bestFit="1" customWidth="1"/>
    <col min="2" max="2" width="11.88671875" style="31" bestFit="1" customWidth="1"/>
    <col min="3" max="3" width="14" style="31" bestFit="1" customWidth="1"/>
    <col min="4" max="4" width="18" style="31" bestFit="1" customWidth="1"/>
    <col min="5" max="5" width="17.77734375" style="31" bestFit="1" customWidth="1"/>
    <col min="6" max="6" width="14.33203125" style="31" bestFit="1" customWidth="1"/>
    <col min="7" max="7" width="8.77734375" style="31" bestFit="1" customWidth="1"/>
    <col min="8" max="8" width="11" style="31" bestFit="1" customWidth="1"/>
    <col min="9" max="9" width="17.21875" style="31" bestFit="1" customWidth="1"/>
    <col min="10" max="10" width="10.44140625" style="31" bestFit="1" customWidth="1"/>
    <col min="11" max="11" width="10" style="51" bestFit="1" customWidth="1"/>
    <col min="12" max="12" width="60.88671875" style="31" bestFit="1" customWidth="1"/>
    <col min="13" max="16384" width="8.88671875" style="31"/>
  </cols>
  <sheetData>
    <row r="1" spans="1:12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9" t="s">
        <v>7</v>
      </c>
      <c r="I1" s="28" t="s">
        <v>8</v>
      </c>
      <c r="J1" s="28" t="s">
        <v>9</v>
      </c>
      <c r="K1" s="48" t="s">
        <v>10</v>
      </c>
      <c r="L1" s="30" t="s">
        <v>11</v>
      </c>
    </row>
    <row r="2" spans="1:12" x14ac:dyDescent="0.25">
      <c r="A2" s="30" t="s">
        <v>12</v>
      </c>
      <c r="B2" s="30" t="s">
        <v>13</v>
      </c>
      <c r="C2" s="30" t="s">
        <v>14</v>
      </c>
      <c r="D2" s="30" t="s">
        <v>435</v>
      </c>
      <c r="E2" s="39">
        <v>31095925572</v>
      </c>
      <c r="F2" s="36" t="s">
        <v>33</v>
      </c>
      <c r="G2" s="32">
        <v>500</v>
      </c>
      <c r="H2" s="33">
        <v>45792</v>
      </c>
      <c r="I2" s="32" t="s">
        <v>578</v>
      </c>
      <c r="J2" s="32" t="s">
        <v>126</v>
      </c>
      <c r="K2" s="49">
        <v>352500878</v>
      </c>
      <c r="L2" s="35" t="s">
        <v>891</v>
      </c>
    </row>
    <row r="3" spans="1:12" x14ac:dyDescent="0.25">
      <c r="A3" s="30" t="s">
        <v>12</v>
      </c>
      <c r="B3" s="30" t="s">
        <v>13</v>
      </c>
      <c r="C3" s="30" t="s">
        <v>14</v>
      </c>
      <c r="D3" s="30" t="s">
        <v>95</v>
      </c>
      <c r="E3" s="30" t="s">
        <v>96</v>
      </c>
      <c r="F3" s="30" t="s">
        <v>33</v>
      </c>
      <c r="G3" s="37">
        <v>6200</v>
      </c>
      <c r="H3" s="33">
        <v>45792</v>
      </c>
      <c r="I3" s="32" t="s">
        <v>571</v>
      </c>
      <c r="J3" s="32" t="s">
        <v>59</v>
      </c>
      <c r="K3" s="49">
        <v>392500147</v>
      </c>
      <c r="L3" s="35" t="s">
        <v>892</v>
      </c>
    </row>
    <row r="4" spans="1:12" x14ac:dyDescent="0.25">
      <c r="A4" s="30" t="s">
        <v>12</v>
      </c>
      <c r="B4" s="30" t="s">
        <v>13</v>
      </c>
      <c r="C4" s="30" t="s">
        <v>14</v>
      </c>
      <c r="D4" s="30" t="s">
        <v>95</v>
      </c>
      <c r="E4" s="30" t="s">
        <v>96</v>
      </c>
      <c r="F4" s="30" t="s">
        <v>33</v>
      </c>
      <c r="G4" s="37">
        <v>1000</v>
      </c>
      <c r="H4" s="33">
        <v>45792</v>
      </c>
      <c r="I4" s="32" t="s">
        <v>571</v>
      </c>
      <c r="J4" s="32" t="s">
        <v>59</v>
      </c>
      <c r="K4" s="49">
        <v>392500147</v>
      </c>
      <c r="L4" s="35" t="s">
        <v>893</v>
      </c>
    </row>
    <row r="5" spans="1:12" x14ac:dyDescent="0.25">
      <c r="A5" s="30" t="s">
        <v>12</v>
      </c>
      <c r="B5" s="30" t="s">
        <v>13</v>
      </c>
      <c r="C5" s="30" t="s">
        <v>14</v>
      </c>
      <c r="D5" s="30" t="s">
        <v>144</v>
      </c>
      <c r="E5" s="39">
        <v>42542201947</v>
      </c>
      <c r="F5" s="30" t="s">
        <v>145</v>
      </c>
      <c r="G5" s="37">
        <v>7500</v>
      </c>
      <c r="H5" s="33">
        <v>45792</v>
      </c>
      <c r="I5" s="32" t="s">
        <v>652</v>
      </c>
      <c r="J5" s="32" t="s">
        <v>147</v>
      </c>
      <c r="K5" s="49">
        <v>352500885</v>
      </c>
      <c r="L5" s="35" t="s">
        <v>894</v>
      </c>
    </row>
    <row r="6" spans="1:12" x14ac:dyDescent="0.25">
      <c r="A6" s="30" t="s">
        <v>12</v>
      </c>
      <c r="B6" s="30" t="s">
        <v>13</v>
      </c>
      <c r="C6" s="30" t="s">
        <v>14</v>
      </c>
      <c r="D6" s="30" t="s">
        <v>41</v>
      </c>
      <c r="E6" s="30" t="s">
        <v>61</v>
      </c>
      <c r="F6" s="30" t="s">
        <v>62</v>
      </c>
      <c r="G6" s="32">
        <v>5000</v>
      </c>
      <c r="H6" s="33">
        <v>45792</v>
      </c>
      <c r="I6" s="32" t="s">
        <v>895</v>
      </c>
      <c r="J6" s="32" t="s">
        <v>896</v>
      </c>
      <c r="K6" s="34">
        <v>352500886</v>
      </c>
      <c r="L6" s="35" t="s">
        <v>897</v>
      </c>
    </row>
  </sheetData>
  <pageMargins left="0.7" right="0.7" top="0.75" bottom="0.75" header="0.3" footer="0.3"/>
  <pageSetup orientation="portrait" r:id="rId1"/>
  <ignoredErrors>
    <ignoredError sqref="C2:C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topLeftCell="B1" zoomScaleNormal="100" workbookViewId="0">
      <pane ySplit="1" topLeftCell="A2" activePane="bottomLeft" state="frozen"/>
      <selection pane="bottomLeft" activeCell="L2" sqref="L2"/>
    </sheetView>
  </sheetViews>
  <sheetFormatPr defaultRowHeight="12.6" x14ac:dyDescent="0.25"/>
  <cols>
    <col min="1" max="1" width="22.33203125" style="31" bestFit="1" customWidth="1"/>
    <col min="2" max="2" width="10.77734375" style="31" customWidth="1"/>
    <col min="3" max="3" width="14" style="31" bestFit="1" customWidth="1"/>
    <col min="4" max="4" width="18" style="31" bestFit="1" customWidth="1"/>
    <col min="5" max="5" width="17.77734375" style="31" bestFit="1" customWidth="1"/>
    <col min="6" max="6" width="14.33203125" style="31" bestFit="1" customWidth="1"/>
    <col min="7" max="7" width="8.77734375" style="31" bestFit="1" customWidth="1"/>
    <col min="8" max="8" width="11" style="31" bestFit="1" customWidth="1"/>
    <col min="9" max="9" width="17.21875" style="31" bestFit="1" customWidth="1"/>
    <col min="10" max="10" width="10.44140625" style="31" bestFit="1" customWidth="1"/>
    <col min="11" max="11" width="10" style="51" bestFit="1" customWidth="1"/>
    <col min="12" max="12" width="60.88671875" style="31" bestFit="1" customWidth="1"/>
    <col min="13" max="16384" width="8.88671875" style="31"/>
  </cols>
  <sheetData>
    <row r="1" spans="1:12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9" t="s">
        <v>7</v>
      </c>
      <c r="I1" s="28" t="s">
        <v>8</v>
      </c>
      <c r="J1" s="28" t="s">
        <v>9</v>
      </c>
      <c r="K1" s="48" t="s">
        <v>10</v>
      </c>
      <c r="L1" s="30" t="s">
        <v>11</v>
      </c>
    </row>
    <row r="2" spans="1:12" x14ac:dyDescent="0.25">
      <c r="A2" s="30" t="s">
        <v>12</v>
      </c>
      <c r="B2" s="30" t="s">
        <v>13</v>
      </c>
      <c r="C2" s="30" t="s">
        <v>14</v>
      </c>
      <c r="D2" s="30" t="s">
        <v>108</v>
      </c>
      <c r="E2" s="30" t="s">
        <v>109</v>
      </c>
      <c r="F2" s="30" t="s">
        <v>110</v>
      </c>
      <c r="G2" s="32">
        <v>3520</v>
      </c>
      <c r="H2" s="33">
        <v>45824</v>
      </c>
      <c r="I2" s="32" t="s">
        <v>898</v>
      </c>
      <c r="J2" s="32" t="s">
        <v>899</v>
      </c>
      <c r="K2" s="50">
        <v>352501619</v>
      </c>
      <c r="L2" s="35" t="s">
        <v>907</v>
      </c>
    </row>
    <row r="3" spans="1:12" x14ac:dyDescent="0.25">
      <c r="A3" s="30" t="s">
        <v>12</v>
      </c>
      <c r="B3" s="30" t="s">
        <v>13</v>
      </c>
      <c r="C3" s="30" t="s">
        <v>14</v>
      </c>
      <c r="D3" s="30" t="s">
        <v>36</v>
      </c>
      <c r="E3" s="30" t="s">
        <v>37</v>
      </c>
      <c r="F3" s="30" t="s">
        <v>38</v>
      </c>
      <c r="G3" s="32">
        <v>5450</v>
      </c>
      <c r="H3" s="33">
        <v>45824</v>
      </c>
      <c r="I3" s="32" t="s">
        <v>741</v>
      </c>
      <c r="J3" s="32" t="s">
        <v>22</v>
      </c>
      <c r="K3" s="50">
        <v>352501604</v>
      </c>
      <c r="L3" s="35" t="s">
        <v>900</v>
      </c>
    </row>
    <row r="4" spans="1:12" x14ac:dyDescent="0.25">
      <c r="A4" s="30" t="s">
        <v>12</v>
      </c>
      <c r="B4" s="30" t="s">
        <v>13</v>
      </c>
      <c r="C4" s="30" t="s">
        <v>14</v>
      </c>
      <c r="D4" s="36" t="s">
        <v>695</v>
      </c>
      <c r="E4" s="42">
        <v>32868066525</v>
      </c>
      <c r="F4" s="36" t="s">
        <v>697</v>
      </c>
      <c r="G4" s="37">
        <v>5450</v>
      </c>
      <c r="H4" s="33">
        <v>45824</v>
      </c>
      <c r="I4" s="32" t="s">
        <v>902</v>
      </c>
      <c r="J4" s="32" t="s">
        <v>901</v>
      </c>
      <c r="K4" s="49">
        <v>352501620</v>
      </c>
      <c r="L4" s="35" t="s">
        <v>900</v>
      </c>
    </row>
    <row r="5" spans="1:12" x14ac:dyDescent="0.25">
      <c r="A5" s="30" t="s">
        <v>12</v>
      </c>
      <c r="B5" s="30" t="s">
        <v>13</v>
      </c>
      <c r="C5" s="30" t="s">
        <v>14</v>
      </c>
      <c r="D5" s="30" t="s">
        <v>152</v>
      </c>
      <c r="E5" s="30" t="s">
        <v>153</v>
      </c>
      <c r="F5" s="30" t="s">
        <v>154</v>
      </c>
      <c r="G5" s="32">
        <v>4950</v>
      </c>
      <c r="H5" s="33">
        <v>45824</v>
      </c>
      <c r="I5" s="32" t="s">
        <v>903</v>
      </c>
      <c r="J5" s="32" t="s">
        <v>904</v>
      </c>
      <c r="K5" s="50">
        <v>352501618</v>
      </c>
      <c r="L5" s="35" t="s">
        <v>905</v>
      </c>
    </row>
    <row r="6" spans="1:12" x14ac:dyDescent="0.25">
      <c r="A6" s="30" t="s">
        <v>12</v>
      </c>
      <c r="B6" s="30" t="s">
        <v>13</v>
      </c>
      <c r="C6" s="30" t="s">
        <v>14</v>
      </c>
      <c r="D6" s="30" t="s">
        <v>215</v>
      </c>
      <c r="E6" s="39">
        <v>31617182821</v>
      </c>
      <c r="F6" s="30" t="s">
        <v>33</v>
      </c>
      <c r="G6" s="32">
        <v>6400</v>
      </c>
      <c r="H6" s="33">
        <v>45824</v>
      </c>
      <c r="I6" s="32" t="s">
        <v>895</v>
      </c>
      <c r="J6" s="32" t="s">
        <v>896</v>
      </c>
      <c r="K6" s="50">
        <v>352501574</v>
      </c>
      <c r="L6" s="35" t="s">
        <v>906</v>
      </c>
    </row>
    <row r="7" spans="1:12" x14ac:dyDescent="0.25">
      <c r="A7" s="30" t="s">
        <v>12</v>
      </c>
      <c r="B7" s="30" t="s">
        <v>13</v>
      </c>
      <c r="C7" s="30" t="s">
        <v>14</v>
      </c>
      <c r="D7" s="30" t="s">
        <v>95</v>
      </c>
      <c r="E7" s="30" t="s">
        <v>96</v>
      </c>
      <c r="F7" s="30" t="s">
        <v>33</v>
      </c>
      <c r="G7" s="37">
        <v>1200</v>
      </c>
      <c r="H7" s="33">
        <v>45825</v>
      </c>
      <c r="I7" s="32" t="s">
        <v>571</v>
      </c>
      <c r="J7" s="32" t="s">
        <v>59</v>
      </c>
      <c r="K7" s="49">
        <v>352501644</v>
      </c>
      <c r="L7" s="35" t="s">
        <v>906</v>
      </c>
    </row>
    <row r="8" spans="1:12" x14ac:dyDescent="0.25">
      <c r="A8" s="30" t="s">
        <v>12</v>
      </c>
      <c r="B8" s="30" t="s">
        <v>13</v>
      </c>
      <c r="C8" s="30" t="s">
        <v>14</v>
      </c>
      <c r="D8" s="30" t="s">
        <v>152</v>
      </c>
      <c r="E8" s="30" t="s">
        <v>153</v>
      </c>
      <c r="F8" s="30" t="s">
        <v>154</v>
      </c>
      <c r="G8" s="32">
        <v>2000</v>
      </c>
      <c r="H8" s="33">
        <v>45825</v>
      </c>
      <c r="I8" s="32" t="s">
        <v>903</v>
      </c>
      <c r="J8" s="32" t="s">
        <v>904</v>
      </c>
      <c r="K8" s="50">
        <v>352501362</v>
      </c>
      <c r="L8" s="35" t="s">
        <v>908</v>
      </c>
    </row>
    <row r="9" spans="1:12" x14ac:dyDescent="0.25">
      <c r="A9" s="30" t="s">
        <v>12</v>
      </c>
      <c r="B9" s="30" t="s">
        <v>13</v>
      </c>
      <c r="C9" s="30" t="s">
        <v>14</v>
      </c>
      <c r="D9" s="30" t="s">
        <v>152</v>
      </c>
      <c r="E9" s="30" t="s">
        <v>153</v>
      </c>
      <c r="F9" s="30" t="s">
        <v>154</v>
      </c>
      <c r="G9" s="32">
        <v>2000</v>
      </c>
      <c r="H9" s="33">
        <v>45825</v>
      </c>
      <c r="I9" s="32" t="s">
        <v>903</v>
      </c>
      <c r="J9" s="32" t="s">
        <v>904</v>
      </c>
      <c r="K9" s="50">
        <v>352501631</v>
      </c>
      <c r="L9" s="35" t="s">
        <v>909</v>
      </c>
    </row>
    <row r="10" spans="1:12" x14ac:dyDescent="0.25">
      <c r="A10" s="30" t="s">
        <v>12</v>
      </c>
      <c r="B10" s="30" t="s">
        <v>13</v>
      </c>
      <c r="C10" s="30" t="s">
        <v>14</v>
      </c>
      <c r="D10" s="30" t="s">
        <v>152</v>
      </c>
      <c r="E10" s="30" t="s">
        <v>153</v>
      </c>
      <c r="F10" s="30" t="s">
        <v>154</v>
      </c>
      <c r="G10" s="32">
        <v>5200</v>
      </c>
      <c r="H10" s="33">
        <v>45825</v>
      </c>
      <c r="I10" s="32" t="s">
        <v>903</v>
      </c>
      <c r="J10" s="32" t="s">
        <v>904</v>
      </c>
      <c r="K10" s="50">
        <v>352501631</v>
      </c>
      <c r="L10" s="35" t="s">
        <v>910</v>
      </c>
    </row>
    <row r="11" spans="1:12" x14ac:dyDescent="0.25">
      <c r="A11" s="30" t="s">
        <v>12</v>
      </c>
      <c r="B11" s="30" t="s">
        <v>13</v>
      </c>
      <c r="C11" s="30" t="s">
        <v>14</v>
      </c>
      <c r="D11" s="30" t="s">
        <v>108</v>
      </c>
      <c r="E11" s="30" t="s">
        <v>109</v>
      </c>
      <c r="F11" s="30" t="s">
        <v>110</v>
      </c>
      <c r="G11" s="32">
        <v>5450</v>
      </c>
      <c r="H11" s="33">
        <v>45826</v>
      </c>
      <c r="I11" s="32" t="s">
        <v>898</v>
      </c>
      <c r="J11" s="32" t="s">
        <v>899</v>
      </c>
      <c r="K11" s="50">
        <v>352501657</v>
      </c>
      <c r="L11" s="35" t="s">
        <v>911</v>
      </c>
    </row>
    <row r="12" spans="1:12" x14ac:dyDescent="0.25">
      <c r="A12" s="30" t="s">
        <v>12</v>
      </c>
      <c r="B12" s="30" t="s">
        <v>13</v>
      </c>
      <c r="C12" s="30" t="s">
        <v>14</v>
      </c>
      <c r="D12" s="30" t="s">
        <v>36</v>
      </c>
      <c r="E12" s="30" t="s">
        <v>37</v>
      </c>
      <c r="F12" s="30" t="s">
        <v>38</v>
      </c>
      <c r="G12" s="32">
        <v>5450</v>
      </c>
      <c r="H12" s="33">
        <v>45826</v>
      </c>
      <c r="I12" s="32" t="s">
        <v>741</v>
      </c>
      <c r="J12" s="32" t="s">
        <v>22</v>
      </c>
      <c r="K12" s="50">
        <v>352501655</v>
      </c>
      <c r="L12" s="35" t="s">
        <v>911</v>
      </c>
    </row>
    <row r="13" spans="1:12" x14ac:dyDescent="0.25">
      <c r="A13" s="30" t="s">
        <v>12</v>
      </c>
      <c r="B13" s="30" t="s">
        <v>13</v>
      </c>
      <c r="C13" s="30" t="s">
        <v>14</v>
      </c>
      <c r="D13" s="36" t="s">
        <v>695</v>
      </c>
      <c r="E13" s="42">
        <v>32868066525</v>
      </c>
      <c r="F13" s="36" t="s">
        <v>697</v>
      </c>
      <c r="G13" s="37">
        <v>5450</v>
      </c>
      <c r="H13" s="33">
        <v>45826</v>
      </c>
      <c r="I13" s="32" t="s">
        <v>902</v>
      </c>
      <c r="J13" s="32" t="s">
        <v>901</v>
      </c>
      <c r="K13" s="49">
        <v>352501656</v>
      </c>
      <c r="L13" s="35" t="s">
        <v>911</v>
      </c>
    </row>
    <row r="14" spans="1:12" x14ac:dyDescent="0.25">
      <c r="A14" s="30" t="s">
        <v>12</v>
      </c>
      <c r="B14" s="30" t="s">
        <v>13</v>
      </c>
      <c r="C14" s="30" t="s">
        <v>14</v>
      </c>
      <c r="D14" s="30" t="s">
        <v>108</v>
      </c>
      <c r="E14" s="30" t="s">
        <v>109</v>
      </c>
      <c r="F14" s="30" t="s">
        <v>110</v>
      </c>
      <c r="G14" s="32">
        <v>3950</v>
      </c>
      <c r="H14" s="33">
        <v>45827</v>
      </c>
      <c r="I14" s="32" t="s">
        <v>898</v>
      </c>
      <c r="J14" s="32" t="s">
        <v>899</v>
      </c>
      <c r="K14" s="50">
        <v>352501657</v>
      </c>
      <c r="L14" s="35" t="s">
        <v>912</v>
      </c>
    </row>
    <row r="15" spans="1:12" x14ac:dyDescent="0.25">
      <c r="A15" s="30" t="s">
        <v>12</v>
      </c>
      <c r="B15" s="30" t="s">
        <v>13</v>
      </c>
      <c r="C15" s="30" t="s">
        <v>14</v>
      </c>
      <c r="D15" s="30" t="s">
        <v>95</v>
      </c>
      <c r="E15" s="30" t="s">
        <v>96</v>
      </c>
      <c r="F15" s="30" t="s">
        <v>33</v>
      </c>
      <c r="G15" s="37">
        <v>5450</v>
      </c>
      <c r="H15" s="33">
        <v>45827</v>
      </c>
      <c r="I15" s="32" t="s">
        <v>571</v>
      </c>
      <c r="J15" s="32" t="s">
        <v>59</v>
      </c>
      <c r="K15" s="49">
        <v>352501673</v>
      </c>
      <c r="L15" s="35" t="s">
        <v>913</v>
      </c>
    </row>
    <row r="16" spans="1:12" x14ac:dyDescent="0.25">
      <c r="A16" s="30" t="s">
        <v>12</v>
      </c>
      <c r="B16" s="30" t="s">
        <v>13</v>
      </c>
      <c r="C16" s="30" t="s">
        <v>14</v>
      </c>
      <c r="D16" s="30" t="s">
        <v>36</v>
      </c>
      <c r="E16" s="30" t="s">
        <v>37</v>
      </c>
      <c r="F16" s="30" t="s">
        <v>38</v>
      </c>
      <c r="G16" s="32">
        <v>5450</v>
      </c>
      <c r="H16" s="33">
        <v>45827</v>
      </c>
      <c r="I16" s="32" t="s">
        <v>741</v>
      </c>
      <c r="J16" s="32" t="s">
        <v>22</v>
      </c>
      <c r="K16" s="49">
        <v>352501674</v>
      </c>
      <c r="L16" s="35" t="s">
        <v>913</v>
      </c>
    </row>
    <row r="17" spans="1:12" x14ac:dyDescent="0.25">
      <c r="A17" s="30" t="s">
        <v>12</v>
      </c>
      <c r="B17" s="30" t="s">
        <v>13</v>
      </c>
      <c r="C17" s="30" t="s">
        <v>14</v>
      </c>
      <c r="D17" s="30" t="s">
        <v>215</v>
      </c>
      <c r="E17" s="39">
        <v>31617182821</v>
      </c>
      <c r="F17" s="30" t="s">
        <v>33</v>
      </c>
      <c r="G17" s="37">
        <v>5450</v>
      </c>
      <c r="H17" s="33">
        <v>45827</v>
      </c>
      <c r="I17" s="32" t="s">
        <v>895</v>
      </c>
      <c r="J17" s="32" t="s">
        <v>896</v>
      </c>
      <c r="K17" s="49">
        <v>352501671</v>
      </c>
      <c r="L17" s="35" t="s">
        <v>913</v>
      </c>
    </row>
    <row r="18" spans="1:12" x14ac:dyDescent="0.25">
      <c r="A18" s="30" t="s">
        <v>12</v>
      </c>
      <c r="B18" s="30" t="s">
        <v>13</v>
      </c>
      <c r="C18" s="30" t="s">
        <v>14</v>
      </c>
      <c r="D18" s="30" t="s">
        <v>152</v>
      </c>
      <c r="E18" s="30" t="s">
        <v>153</v>
      </c>
      <c r="F18" s="30" t="s">
        <v>154</v>
      </c>
      <c r="G18" s="32">
        <v>6400</v>
      </c>
      <c r="H18" s="33">
        <v>45827</v>
      </c>
      <c r="I18" s="32" t="s">
        <v>903</v>
      </c>
      <c r="J18" s="32" t="s">
        <v>904</v>
      </c>
      <c r="K18" s="50">
        <v>352501670</v>
      </c>
      <c r="L18" s="35" t="s">
        <v>914</v>
      </c>
    </row>
    <row r="19" spans="1:12" x14ac:dyDescent="0.25">
      <c r="A19" s="30" t="s">
        <v>12</v>
      </c>
      <c r="B19" s="30" t="s">
        <v>13</v>
      </c>
      <c r="C19" s="30" t="s">
        <v>14</v>
      </c>
      <c r="D19" s="36" t="s">
        <v>695</v>
      </c>
      <c r="E19" s="42">
        <v>32868066525</v>
      </c>
      <c r="F19" s="36" t="s">
        <v>697</v>
      </c>
      <c r="G19" s="37">
        <v>5450</v>
      </c>
      <c r="H19" s="33">
        <v>45827</v>
      </c>
      <c r="I19" s="32" t="s">
        <v>902</v>
      </c>
      <c r="J19" s="32" t="s">
        <v>901</v>
      </c>
      <c r="K19" s="50">
        <v>352501676</v>
      </c>
      <c r="L19" s="35" t="s">
        <v>913</v>
      </c>
    </row>
    <row r="20" spans="1:12" x14ac:dyDescent="0.25">
      <c r="A20" s="30" t="s">
        <v>12</v>
      </c>
      <c r="B20" s="30" t="s">
        <v>13</v>
      </c>
      <c r="C20" s="30" t="s">
        <v>14</v>
      </c>
      <c r="D20" s="30" t="s">
        <v>108</v>
      </c>
      <c r="E20" s="30" t="s">
        <v>109</v>
      </c>
      <c r="F20" s="30" t="s">
        <v>110</v>
      </c>
      <c r="G20" s="32">
        <v>4000</v>
      </c>
      <c r="H20" s="33">
        <v>45827</v>
      </c>
      <c r="I20" s="32" t="s">
        <v>898</v>
      </c>
      <c r="J20" s="32" t="s">
        <v>899</v>
      </c>
      <c r="K20" s="50">
        <v>352501675</v>
      </c>
      <c r="L20" s="35" t="s">
        <v>915</v>
      </c>
    </row>
    <row r="21" spans="1:12" x14ac:dyDescent="0.25">
      <c r="A21" s="30" t="s">
        <v>12</v>
      </c>
      <c r="B21" s="30" t="s">
        <v>13</v>
      </c>
      <c r="C21" s="30" t="s">
        <v>14</v>
      </c>
      <c r="D21" s="30" t="s">
        <v>435</v>
      </c>
      <c r="E21" s="39">
        <v>31095925572</v>
      </c>
      <c r="F21" s="36" t="s">
        <v>33</v>
      </c>
      <c r="G21" s="32">
        <v>2500</v>
      </c>
      <c r="H21" s="33">
        <v>45827</v>
      </c>
      <c r="I21" s="32" t="s">
        <v>578</v>
      </c>
      <c r="J21" s="32" t="s">
        <v>126</v>
      </c>
      <c r="K21" s="49">
        <v>352501646</v>
      </c>
      <c r="L21" s="35" t="s">
        <v>916</v>
      </c>
    </row>
    <row r="22" spans="1:12" x14ac:dyDescent="0.25">
      <c r="A22" s="30" t="s">
        <v>12</v>
      </c>
      <c r="B22" s="30" t="s">
        <v>13</v>
      </c>
      <c r="C22" s="30" t="s">
        <v>14</v>
      </c>
      <c r="D22" s="36" t="s">
        <v>695</v>
      </c>
      <c r="E22" s="42">
        <v>32868066525</v>
      </c>
      <c r="F22" s="36" t="s">
        <v>697</v>
      </c>
      <c r="G22" s="37">
        <v>7700</v>
      </c>
      <c r="H22" s="33">
        <v>45828</v>
      </c>
      <c r="I22" s="32" t="s">
        <v>902</v>
      </c>
      <c r="J22" s="32" t="s">
        <v>901</v>
      </c>
      <c r="K22" s="50">
        <v>352501694</v>
      </c>
      <c r="L22" s="35" t="s">
        <v>917</v>
      </c>
    </row>
    <row r="23" spans="1:12" x14ac:dyDescent="0.25">
      <c r="A23" s="30" t="s">
        <v>12</v>
      </c>
      <c r="B23" s="30" t="s">
        <v>13</v>
      </c>
      <c r="C23" s="30" t="s">
        <v>14</v>
      </c>
      <c r="D23" s="30" t="s">
        <v>36</v>
      </c>
      <c r="E23" s="30" t="s">
        <v>37</v>
      </c>
      <c r="F23" s="30" t="s">
        <v>38</v>
      </c>
      <c r="G23" s="37">
        <v>7700</v>
      </c>
      <c r="H23" s="33">
        <v>45828</v>
      </c>
      <c r="I23" s="32" t="s">
        <v>741</v>
      </c>
      <c r="J23" s="32" t="s">
        <v>22</v>
      </c>
      <c r="K23" s="50">
        <v>352501695</v>
      </c>
      <c r="L23" s="35" t="s">
        <v>919</v>
      </c>
    </row>
    <row r="24" spans="1:12" x14ac:dyDescent="0.25">
      <c r="A24" s="30" t="s">
        <v>12</v>
      </c>
      <c r="B24" s="30" t="s">
        <v>13</v>
      </c>
      <c r="C24" s="30" t="s">
        <v>14</v>
      </c>
      <c r="D24" s="30" t="s">
        <v>95</v>
      </c>
      <c r="E24" s="30" t="s">
        <v>96</v>
      </c>
      <c r="F24" s="30" t="s">
        <v>33</v>
      </c>
      <c r="G24" s="37">
        <v>5200</v>
      </c>
      <c r="H24" s="33">
        <v>45828</v>
      </c>
      <c r="I24" s="32" t="s">
        <v>571</v>
      </c>
      <c r="J24" s="32" t="s">
        <v>59</v>
      </c>
      <c r="K24" s="50">
        <v>352501696</v>
      </c>
      <c r="L24" s="35" t="s">
        <v>918</v>
      </c>
    </row>
    <row r="25" spans="1:12" x14ac:dyDescent="0.25">
      <c r="A25" s="30" t="s">
        <v>12</v>
      </c>
      <c r="B25" s="30" t="s">
        <v>13</v>
      </c>
      <c r="C25" s="30" t="s">
        <v>14</v>
      </c>
      <c r="D25" s="30" t="s">
        <v>215</v>
      </c>
      <c r="E25" s="39">
        <v>31617182821</v>
      </c>
      <c r="F25" s="30" t="s">
        <v>33</v>
      </c>
      <c r="G25" s="37">
        <v>5450</v>
      </c>
      <c r="H25" s="33">
        <v>45829</v>
      </c>
      <c r="I25" s="32" t="s">
        <v>895</v>
      </c>
      <c r="J25" s="32" t="s">
        <v>896</v>
      </c>
      <c r="K25" s="49">
        <v>352501697</v>
      </c>
      <c r="L25" s="35" t="s">
        <v>920</v>
      </c>
    </row>
    <row r="26" spans="1:12" x14ac:dyDescent="0.25">
      <c r="A26" s="30" t="s">
        <v>12</v>
      </c>
      <c r="B26" s="30" t="s">
        <v>13</v>
      </c>
      <c r="C26" s="30" t="s">
        <v>14</v>
      </c>
      <c r="D26" s="30" t="s">
        <v>152</v>
      </c>
      <c r="E26" s="30" t="s">
        <v>153</v>
      </c>
      <c r="F26" s="30" t="s">
        <v>154</v>
      </c>
      <c r="G26" s="32">
        <v>5200</v>
      </c>
      <c r="H26" s="33">
        <v>45829</v>
      </c>
      <c r="I26" s="32" t="s">
        <v>903</v>
      </c>
      <c r="J26" s="32" t="s">
        <v>904</v>
      </c>
      <c r="K26" s="49">
        <v>352501686</v>
      </c>
      <c r="L26" s="35" t="s">
        <v>921</v>
      </c>
    </row>
    <row r="27" spans="1:12" x14ac:dyDescent="0.25">
      <c r="A27" s="30" t="s">
        <v>12</v>
      </c>
      <c r="B27" s="30" t="s">
        <v>13</v>
      </c>
      <c r="C27" s="30" t="s">
        <v>14</v>
      </c>
      <c r="D27" s="30" t="s">
        <v>95</v>
      </c>
      <c r="E27" s="30" t="s">
        <v>96</v>
      </c>
      <c r="F27" s="30" t="s">
        <v>33</v>
      </c>
      <c r="G27" s="37">
        <v>3950</v>
      </c>
      <c r="H27" s="33">
        <v>45829</v>
      </c>
      <c r="I27" s="32" t="s">
        <v>571</v>
      </c>
      <c r="J27" s="32" t="s">
        <v>59</v>
      </c>
      <c r="K27" s="50">
        <v>352501725</v>
      </c>
      <c r="L27" s="35" t="s">
        <v>920</v>
      </c>
    </row>
    <row r="28" spans="1:12" x14ac:dyDescent="0.25">
      <c r="A28" s="30" t="s">
        <v>12</v>
      </c>
      <c r="B28" s="30" t="s">
        <v>13</v>
      </c>
      <c r="C28" s="30" t="s">
        <v>14</v>
      </c>
      <c r="D28" s="30" t="s">
        <v>108</v>
      </c>
      <c r="E28" s="30" t="s">
        <v>109</v>
      </c>
      <c r="F28" s="30" t="s">
        <v>110</v>
      </c>
      <c r="G28" s="32">
        <v>5450</v>
      </c>
      <c r="H28" s="33">
        <v>45829</v>
      </c>
      <c r="I28" s="32" t="s">
        <v>898</v>
      </c>
      <c r="J28" s="32" t="s">
        <v>899</v>
      </c>
      <c r="K28" s="50">
        <v>352501718</v>
      </c>
      <c r="L28" s="35" t="s">
        <v>920</v>
      </c>
    </row>
    <row r="29" spans="1:12" x14ac:dyDescent="0.25">
      <c r="A29" s="30" t="s">
        <v>12</v>
      </c>
      <c r="B29" s="30" t="s">
        <v>13</v>
      </c>
      <c r="C29" s="30" t="s">
        <v>14</v>
      </c>
      <c r="D29" s="30" t="s">
        <v>36</v>
      </c>
      <c r="E29" s="30" t="s">
        <v>37</v>
      </c>
      <c r="F29" s="30" t="s">
        <v>38</v>
      </c>
      <c r="G29" s="37">
        <v>5450</v>
      </c>
      <c r="H29" s="33">
        <v>45829</v>
      </c>
      <c r="I29" s="32" t="s">
        <v>741</v>
      </c>
      <c r="J29" s="32" t="s">
        <v>22</v>
      </c>
      <c r="K29" s="50">
        <v>352501695</v>
      </c>
      <c r="L29" s="35" t="s">
        <v>920</v>
      </c>
    </row>
    <row r="30" spans="1:12" x14ac:dyDescent="0.25">
      <c r="A30" s="30" t="s">
        <v>12</v>
      </c>
      <c r="B30" s="30" t="s">
        <v>13</v>
      </c>
      <c r="C30" s="30" t="s">
        <v>14</v>
      </c>
      <c r="D30" s="30" t="s">
        <v>435</v>
      </c>
      <c r="E30" s="39">
        <v>31095925572</v>
      </c>
      <c r="F30" s="36" t="s">
        <v>33</v>
      </c>
      <c r="G30" s="32">
        <v>500</v>
      </c>
      <c r="H30" s="33">
        <v>45829</v>
      </c>
      <c r="I30" s="32" t="s">
        <v>578</v>
      </c>
      <c r="J30" s="32" t="s">
        <v>126</v>
      </c>
      <c r="K30" s="50">
        <v>342500870</v>
      </c>
      <c r="L30" s="35" t="s">
        <v>922</v>
      </c>
    </row>
    <row r="31" spans="1:12" x14ac:dyDescent="0.25">
      <c r="A31" s="30" t="s">
        <v>12</v>
      </c>
      <c r="B31" s="30" t="s">
        <v>13</v>
      </c>
      <c r="C31" s="30" t="s">
        <v>14</v>
      </c>
      <c r="D31" s="30" t="s">
        <v>215</v>
      </c>
      <c r="E31" s="39">
        <v>31617182821</v>
      </c>
      <c r="F31" s="30" t="s">
        <v>33</v>
      </c>
      <c r="G31" s="37">
        <v>7700</v>
      </c>
      <c r="H31" s="33">
        <v>45831</v>
      </c>
      <c r="I31" s="32" t="s">
        <v>895</v>
      </c>
      <c r="J31" s="32" t="s">
        <v>896</v>
      </c>
      <c r="K31" s="49">
        <v>352501757</v>
      </c>
      <c r="L31" s="35" t="s">
        <v>923</v>
      </c>
    </row>
    <row r="32" spans="1:12" x14ac:dyDescent="0.25">
      <c r="A32" s="30" t="s">
        <v>12</v>
      </c>
      <c r="B32" s="30" t="s">
        <v>13</v>
      </c>
      <c r="C32" s="30" t="s">
        <v>14</v>
      </c>
      <c r="D32" s="36" t="s">
        <v>695</v>
      </c>
      <c r="E32" s="42">
        <v>32868066525</v>
      </c>
      <c r="F32" s="36" t="s">
        <v>697</v>
      </c>
      <c r="G32" s="37">
        <v>5450</v>
      </c>
      <c r="H32" s="33">
        <v>45831</v>
      </c>
      <c r="I32" s="32" t="s">
        <v>902</v>
      </c>
      <c r="J32" s="32" t="s">
        <v>901</v>
      </c>
      <c r="K32" s="50">
        <v>352501726</v>
      </c>
      <c r="L32" s="35" t="s">
        <v>924</v>
      </c>
    </row>
    <row r="33" spans="1:12" x14ac:dyDescent="0.25">
      <c r="A33" s="30" t="s">
        <v>12</v>
      </c>
      <c r="B33" s="30" t="s">
        <v>13</v>
      </c>
      <c r="C33" s="30" t="s">
        <v>14</v>
      </c>
      <c r="D33" s="30" t="s">
        <v>108</v>
      </c>
      <c r="E33" s="30" t="s">
        <v>109</v>
      </c>
      <c r="F33" s="30" t="s">
        <v>110</v>
      </c>
      <c r="G33" s="32">
        <v>5450</v>
      </c>
      <c r="H33" s="33">
        <v>45831</v>
      </c>
      <c r="I33" s="32" t="s">
        <v>898</v>
      </c>
      <c r="J33" s="32" t="s">
        <v>899</v>
      </c>
      <c r="K33" s="50">
        <v>352501758</v>
      </c>
      <c r="L33" s="35" t="s">
        <v>924</v>
      </c>
    </row>
    <row r="34" spans="1:12" x14ac:dyDescent="0.25">
      <c r="A34" s="30" t="s">
        <v>12</v>
      </c>
      <c r="B34" s="30" t="s">
        <v>13</v>
      </c>
      <c r="C34" s="30" t="s">
        <v>14</v>
      </c>
      <c r="D34" s="30" t="s">
        <v>36</v>
      </c>
      <c r="E34" s="30" t="s">
        <v>37</v>
      </c>
      <c r="F34" s="30" t="s">
        <v>38</v>
      </c>
      <c r="G34" s="37">
        <v>5450</v>
      </c>
      <c r="H34" s="33">
        <v>45831</v>
      </c>
      <c r="I34" s="32" t="s">
        <v>741</v>
      </c>
      <c r="J34" s="32" t="s">
        <v>22</v>
      </c>
      <c r="K34" s="50">
        <v>352501759</v>
      </c>
      <c r="L34" s="35" t="s">
        <v>924</v>
      </c>
    </row>
    <row r="35" spans="1:12" x14ac:dyDescent="0.25">
      <c r="A35" s="30" t="s">
        <v>12</v>
      </c>
      <c r="B35" s="30" t="s">
        <v>13</v>
      </c>
      <c r="C35" s="30" t="s">
        <v>14</v>
      </c>
      <c r="D35" s="30" t="s">
        <v>95</v>
      </c>
      <c r="E35" s="30" t="s">
        <v>96</v>
      </c>
      <c r="F35" s="30" t="s">
        <v>33</v>
      </c>
      <c r="G35" s="37">
        <v>5200</v>
      </c>
      <c r="H35" s="33">
        <v>45831</v>
      </c>
      <c r="I35" s="32" t="s">
        <v>571</v>
      </c>
      <c r="J35" s="32" t="s">
        <v>59</v>
      </c>
      <c r="K35" s="50">
        <v>352501756</v>
      </c>
      <c r="L35" s="35" t="s">
        <v>925</v>
      </c>
    </row>
    <row r="36" spans="1:12" x14ac:dyDescent="0.25">
      <c r="A36" s="30" t="s">
        <v>12</v>
      </c>
      <c r="B36" s="30" t="s">
        <v>13</v>
      </c>
      <c r="C36" s="30" t="s">
        <v>14</v>
      </c>
      <c r="D36" s="30" t="s">
        <v>435</v>
      </c>
      <c r="E36" s="39">
        <v>31095925572</v>
      </c>
      <c r="F36" s="36" t="s">
        <v>33</v>
      </c>
      <c r="G36" s="32">
        <v>500</v>
      </c>
      <c r="H36" s="33">
        <v>45832</v>
      </c>
      <c r="I36" s="32" t="s">
        <v>578</v>
      </c>
      <c r="J36" s="32" t="s">
        <v>126</v>
      </c>
      <c r="K36" s="50">
        <v>352501786</v>
      </c>
      <c r="L36" s="35" t="s">
        <v>926</v>
      </c>
    </row>
    <row r="37" spans="1:12" x14ac:dyDescent="0.25">
      <c r="A37" s="30" t="s">
        <v>12</v>
      </c>
      <c r="B37" s="30" t="s">
        <v>13</v>
      </c>
      <c r="C37" s="30" t="s">
        <v>14</v>
      </c>
      <c r="D37" s="30" t="s">
        <v>215</v>
      </c>
      <c r="E37" s="39">
        <v>31617182821</v>
      </c>
      <c r="F37" s="30" t="s">
        <v>33</v>
      </c>
      <c r="G37" s="37">
        <v>5200</v>
      </c>
      <c r="H37" s="33">
        <v>45832</v>
      </c>
      <c r="I37" s="32" t="s">
        <v>895</v>
      </c>
      <c r="J37" s="32" t="s">
        <v>896</v>
      </c>
      <c r="K37" s="50">
        <v>352501768</v>
      </c>
      <c r="L37" s="35" t="s">
        <v>927</v>
      </c>
    </row>
    <row r="38" spans="1:12" x14ac:dyDescent="0.25">
      <c r="A38" s="30" t="s">
        <v>12</v>
      </c>
      <c r="B38" s="30" t="s">
        <v>13</v>
      </c>
      <c r="C38" s="30" t="s">
        <v>14</v>
      </c>
      <c r="D38" s="30" t="s">
        <v>95</v>
      </c>
      <c r="E38" s="30" t="s">
        <v>96</v>
      </c>
      <c r="F38" s="30" t="s">
        <v>33</v>
      </c>
      <c r="G38" s="37">
        <v>5700</v>
      </c>
      <c r="H38" s="33">
        <v>45832</v>
      </c>
      <c r="I38" s="32" t="s">
        <v>571</v>
      </c>
      <c r="J38" s="32" t="s">
        <v>59</v>
      </c>
      <c r="K38" s="50">
        <v>352501777</v>
      </c>
      <c r="L38" s="35" t="s">
        <v>928</v>
      </c>
    </row>
    <row r="39" spans="1:12" x14ac:dyDescent="0.25">
      <c r="A39" s="30" t="s">
        <v>12</v>
      </c>
      <c r="B39" s="30" t="s">
        <v>13</v>
      </c>
      <c r="C39" s="30" t="s">
        <v>14</v>
      </c>
      <c r="D39" s="36" t="s">
        <v>695</v>
      </c>
      <c r="E39" s="42">
        <v>32868066525</v>
      </c>
      <c r="F39" s="36" t="s">
        <v>697</v>
      </c>
      <c r="G39" s="37">
        <v>5450</v>
      </c>
      <c r="H39" s="33">
        <v>45832</v>
      </c>
      <c r="I39" s="32" t="s">
        <v>902</v>
      </c>
      <c r="J39" s="32" t="s">
        <v>901</v>
      </c>
      <c r="K39" s="50">
        <v>352501778</v>
      </c>
      <c r="L39" s="35" t="s">
        <v>929</v>
      </c>
    </row>
    <row r="40" spans="1:12" x14ac:dyDescent="0.25">
      <c r="A40" s="30" t="s">
        <v>12</v>
      </c>
      <c r="B40" s="30" t="s">
        <v>13</v>
      </c>
      <c r="C40" s="30" t="s">
        <v>14</v>
      </c>
      <c r="D40" s="30" t="s">
        <v>152</v>
      </c>
      <c r="E40" s="30" t="s">
        <v>153</v>
      </c>
      <c r="F40" s="30" t="s">
        <v>154</v>
      </c>
      <c r="G40" s="32">
        <v>3500</v>
      </c>
      <c r="H40" s="33">
        <v>45832</v>
      </c>
      <c r="I40" s="32" t="s">
        <v>903</v>
      </c>
      <c r="J40" s="32" t="s">
        <v>904</v>
      </c>
      <c r="K40" s="50">
        <v>352501781</v>
      </c>
      <c r="L40" s="35" t="s">
        <v>929</v>
      </c>
    </row>
    <row r="41" spans="1:12" x14ac:dyDescent="0.25">
      <c r="A41" s="30" t="s">
        <v>12</v>
      </c>
      <c r="B41" s="30" t="s">
        <v>13</v>
      </c>
      <c r="C41" s="30" t="s">
        <v>14</v>
      </c>
      <c r="D41" s="30" t="s">
        <v>36</v>
      </c>
      <c r="E41" s="30" t="s">
        <v>37</v>
      </c>
      <c r="F41" s="30" t="s">
        <v>38</v>
      </c>
      <c r="G41" s="37">
        <v>5450</v>
      </c>
      <c r="H41" s="33">
        <v>45832</v>
      </c>
      <c r="I41" s="32" t="s">
        <v>741</v>
      </c>
      <c r="J41" s="32" t="s">
        <v>22</v>
      </c>
      <c r="K41" s="50">
        <v>352501780</v>
      </c>
      <c r="L41" s="35" t="s">
        <v>929</v>
      </c>
    </row>
    <row r="42" spans="1:12" x14ac:dyDescent="0.25">
      <c r="A42" s="30" t="s">
        <v>12</v>
      </c>
      <c r="B42" s="30" t="s">
        <v>13</v>
      </c>
      <c r="C42" s="30" t="s">
        <v>14</v>
      </c>
      <c r="D42" s="30" t="s">
        <v>108</v>
      </c>
      <c r="E42" s="30" t="s">
        <v>109</v>
      </c>
      <c r="F42" s="30" t="s">
        <v>110</v>
      </c>
      <c r="G42" s="32">
        <v>5200</v>
      </c>
      <c r="H42" s="33">
        <v>45832</v>
      </c>
      <c r="I42" s="32" t="s">
        <v>898</v>
      </c>
      <c r="J42" s="32" t="s">
        <v>899</v>
      </c>
      <c r="K42" s="50">
        <v>352501779</v>
      </c>
      <c r="L42" s="35" t="s">
        <v>930</v>
      </c>
    </row>
    <row r="43" spans="1:12" x14ac:dyDescent="0.25">
      <c r="A43" s="30" t="s">
        <v>12</v>
      </c>
      <c r="B43" s="30" t="s">
        <v>13</v>
      </c>
      <c r="C43" s="30" t="s">
        <v>14</v>
      </c>
      <c r="D43" s="30" t="s">
        <v>435</v>
      </c>
      <c r="E43" s="39">
        <v>31095925572</v>
      </c>
      <c r="F43" s="36" t="s">
        <v>33</v>
      </c>
      <c r="G43" s="32">
        <v>500</v>
      </c>
      <c r="H43" s="33">
        <v>45833</v>
      </c>
      <c r="I43" s="32" t="s">
        <v>578</v>
      </c>
      <c r="J43" s="32" t="s">
        <v>126</v>
      </c>
      <c r="K43" s="50">
        <v>352501799</v>
      </c>
      <c r="L43" s="35" t="s">
        <v>931</v>
      </c>
    </row>
    <row r="44" spans="1:12" x14ac:dyDescent="0.25">
      <c r="A44" s="30" t="s">
        <v>12</v>
      </c>
      <c r="B44" s="30" t="s">
        <v>13</v>
      </c>
      <c r="C44" s="30" t="s">
        <v>14</v>
      </c>
      <c r="D44" s="30" t="s">
        <v>108</v>
      </c>
      <c r="E44" s="30" t="s">
        <v>109</v>
      </c>
      <c r="F44" s="30" t="s">
        <v>110</v>
      </c>
      <c r="G44" s="32">
        <v>5200</v>
      </c>
      <c r="H44" s="33">
        <v>45833</v>
      </c>
      <c r="I44" s="32" t="s">
        <v>898</v>
      </c>
      <c r="J44" s="32" t="s">
        <v>899</v>
      </c>
      <c r="K44" s="50">
        <v>352501805</v>
      </c>
      <c r="L44" s="35" t="s">
        <v>938</v>
      </c>
    </row>
    <row r="45" spans="1:12" x14ac:dyDescent="0.25">
      <c r="A45" s="30" t="s">
        <v>12</v>
      </c>
      <c r="B45" s="30" t="s">
        <v>13</v>
      </c>
      <c r="C45" s="30" t="s">
        <v>14</v>
      </c>
      <c r="D45" s="30" t="s">
        <v>95</v>
      </c>
      <c r="E45" s="30" t="s">
        <v>96</v>
      </c>
      <c r="F45" s="30" t="s">
        <v>33</v>
      </c>
      <c r="G45" s="37">
        <v>7700</v>
      </c>
      <c r="H45" s="33">
        <v>45833</v>
      </c>
      <c r="I45" s="32" t="s">
        <v>571</v>
      </c>
      <c r="J45" s="32" t="s">
        <v>59</v>
      </c>
      <c r="K45" s="50">
        <v>352501792</v>
      </c>
      <c r="L45" s="35" t="s">
        <v>932</v>
      </c>
    </row>
    <row r="46" spans="1:12" x14ac:dyDescent="0.25">
      <c r="A46" s="30" t="s">
        <v>12</v>
      </c>
      <c r="B46" s="30" t="s">
        <v>13</v>
      </c>
      <c r="C46" s="30" t="s">
        <v>14</v>
      </c>
      <c r="D46" s="30" t="s">
        <v>152</v>
      </c>
      <c r="E46" s="30" t="s">
        <v>153</v>
      </c>
      <c r="F46" s="30" t="s">
        <v>154</v>
      </c>
      <c r="G46" s="32">
        <v>5200</v>
      </c>
      <c r="H46" s="33">
        <v>45833</v>
      </c>
      <c r="I46" s="32" t="s">
        <v>903</v>
      </c>
      <c r="J46" s="32" t="s">
        <v>904</v>
      </c>
      <c r="K46" s="50">
        <v>352501807</v>
      </c>
      <c r="L46" s="35" t="s">
        <v>933</v>
      </c>
    </row>
    <row r="47" spans="1:12" x14ac:dyDescent="0.25">
      <c r="A47" s="30" t="s">
        <v>12</v>
      </c>
      <c r="B47" s="30" t="s">
        <v>13</v>
      </c>
      <c r="C47" s="30" t="s">
        <v>14</v>
      </c>
      <c r="D47" s="36" t="s">
        <v>695</v>
      </c>
      <c r="E47" s="42">
        <v>32868066525</v>
      </c>
      <c r="F47" s="36" t="s">
        <v>697</v>
      </c>
      <c r="G47" s="37">
        <v>4050</v>
      </c>
      <c r="H47" s="33">
        <v>45833</v>
      </c>
      <c r="I47" s="32" t="s">
        <v>902</v>
      </c>
      <c r="J47" s="32" t="s">
        <v>901</v>
      </c>
      <c r="K47" s="50">
        <v>352501808</v>
      </c>
      <c r="L47" s="35" t="s">
        <v>934</v>
      </c>
    </row>
    <row r="48" spans="1:12" x14ac:dyDescent="0.25">
      <c r="A48" s="30" t="s">
        <v>12</v>
      </c>
      <c r="B48" s="30" t="s">
        <v>13</v>
      </c>
      <c r="C48" s="30" t="s">
        <v>14</v>
      </c>
      <c r="D48" s="30" t="s">
        <v>936</v>
      </c>
      <c r="E48" s="52">
        <v>29230100027591</v>
      </c>
      <c r="F48" s="30" t="s">
        <v>937</v>
      </c>
      <c r="G48" s="37">
        <v>5450</v>
      </c>
      <c r="H48" s="33">
        <v>45833</v>
      </c>
      <c r="I48" s="32" t="s">
        <v>895</v>
      </c>
      <c r="J48" s="32" t="s">
        <v>896</v>
      </c>
      <c r="K48" s="50">
        <v>352501793</v>
      </c>
      <c r="L48" s="35" t="s">
        <v>935</v>
      </c>
    </row>
    <row r="49" spans="1:12" x14ac:dyDescent="0.25">
      <c r="A49" s="30" t="s">
        <v>12</v>
      </c>
      <c r="B49" s="30" t="s">
        <v>13</v>
      </c>
      <c r="C49" s="30" t="s">
        <v>14</v>
      </c>
      <c r="D49" s="30" t="s">
        <v>36</v>
      </c>
      <c r="E49" s="30" t="s">
        <v>37</v>
      </c>
      <c r="F49" s="30" t="s">
        <v>38</v>
      </c>
      <c r="G49" s="37">
        <v>5450</v>
      </c>
      <c r="H49" s="33">
        <v>45833</v>
      </c>
      <c r="I49" s="32" t="s">
        <v>741</v>
      </c>
      <c r="J49" s="32" t="s">
        <v>22</v>
      </c>
      <c r="K49" s="50">
        <v>352501806</v>
      </c>
      <c r="L49" s="35" t="s">
        <v>935</v>
      </c>
    </row>
    <row r="50" spans="1:12" x14ac:dyDescent="0.25">
      <c r="A50" s="30" t="s">
        <v>12</v>
      </c>
      <c r="B50" s="30" t="s">
        <v>13</v>
      </c>
      <c r="C50" s="30" t="s">
        <v>14</v>
      </c>
      <c r="D50" s="30" t="s">
        <v>936</v>
      </c>
      <c r="E50" s="52">
        <v>29230100027591</v>
      </c>
      <c r="F50" s="30" t="s">
        <v>937</v>
      </c>
      <c r="G50" s="37">
        <v>5450</v>
      </c>
      <c r="H50" s="33">
        <v>45834</v>
      </c>
      <c r="I50" s="32" t="s">
        <v>895</v>
      </c>
      <c r="J50" s="32" t="s">
        <v>896</v>
      </c>
      <c r="K50" s="50">
        <v>352501828</v>
      </c>
      <c r="L50" s="35" t="s">
        <v>939</v>
      </c>
    </row>
    <row r="51" spans="1:12" x14ac:dyDescent="0.25">
      <c r="A51" s="30" t="s">
        <v>12</v>
      </c>
      <c r="B51" s="30" t="s">
        <v>13</v>
      </c>
      <c r="C51" s="30" t="s">
        <v>14</v>
      </c>
      <c r="D51" s="30" t="s">
        <v>31</v>
      </c>
      <c r="E51" s="30" t="s">
        <v>32</v>
      </c>
      <c r="F51" s="30" t="s">
        <v>33</v>
      </c>
      <c r="G51" s="37">
        <v>5450</v>
      </c>
      <c r="H51" s="33">
        <v>45834</v>
      </c>
      <c r="I51" s="32" t="s">
        <v>741</v>
      </c>
      <c r="J51" s="32" t="s">
        <v>22</v>
      </c>
      <c r="K51" s="50">
        <v>352501829</v>
      </c>
      <c r="L51" s="35" t="s">
        <v>939</v>
      </c>
    </row>
    <row r="52" spans="1:12" x14ac:dyDescent="0.25">
      <c r="A52" s="30" t="s">
        <v>12</v>
      </c>
      <c r="B52" s="30" t="s">
        <v>13</v>
      </c>
      <c r="C52" s="30" t="s">
        <v>14</v>
      </c>
      <c r="D52" s="30" t="s">
        <v>108</v>
      </c>
      <c r="E52" s="30" t="s">
        <v>109</v>
      </c>
      <c r="F52" s="30" t="s">
        <v>110</v>
      </c>
      <c r="G52" s="37">
        <v>5450</v>
      </c>
      <c r="H52" s="33">
        <v>45834</v>
      </c>
      <c r="I52" s="32" t="s">
        <v>898</v>
      </c>
      <c r="J52" s="32" t="s">
        <v>899</v>
      </c>
      <c r="K52" s="50">
        <v>352501819</v>
      </c>
      <c r="L52" s="35" t="s">
        <v>939</v>
      </c>
    </row>
    <row r="53" spans="1:12" x14ac:dyDescent="0.25">
      <c r="A53" s="30" t="s">
        <v>12</v>
      </c>
      <c r="B53" s="30" t="s">
        <v>13</v>
      </c>
      <c r="C53" s="30" t="s">
        <v>14</v>
      </c>
      <c r="D53" s="30" t="s">
        <v>95</v>
      </c>
      <c r="E53" s="30" t="s">
        <v>96</v>
      </c>
      <c r="F53" s="30" t="s">
        <v>33</v>
      </c>
      <c r="G53" s="37">
        <v>5200</v>
      </c>
      <c r="H53" s="33">
        <v>45834</v>
      </c>
      <c r="I53" s="32" t="s">
        <v>571</v>
      </c>
      <c r="J53" s="32" t="s">
        <v>59</v>
      </c>
      <c r="K53" s="50">
        <v>352501820</v>
      </c>
      <c r="L53" s="35" t="s">
        <v>940</v>
      </c>
    </row>
    <row r="54" spans="1:12" x14ac:dyDescent="0.25">
      <c r="A54" s="30" t="s">
        <v>12</v>
      </c>
      <c r="B54" s="30" t="s">
        <v>13</v>
      </c>
      <c r="C54" s="30" t="s">
        <v>14</v>
      </c>
      <c r="D54" s="30" t="s">
        <v>152</v>
      </c>
      <c r="E54" s="30" t="s">
        <v>153</v>
      </c>
      <c r="F54" s="30" t="s">
        <v>154</v>
      </c>
      <c r="G54" s="32">
        <v>4000</v>
      </c>
      <c r="H54" s="33">
        <v>45834</v>
      </c>
      <c r="I54" s="32" t="s">
        <v>903</v>
      </c>
      <c r="J54" s="32" t="s">
        <v>904</v>
      </c>
      <c r="K54" s="50">
        <v>352501827</v>
      </c>
      <c r="L54" s="35" t="s">
        <v>941</v>
      </c>
    </row>
    <row r="55" spans="1:12" x14ac:dyDescent="0.25">
      <c r="A55" s="30" t="s">
        <v>12</v>
      </c>
      <c r="B55" s="30" t="s">
        <v>13</v>
      </c>
      <c r="C55" s="30" t="s">
        <v>14</v>
      </c>
      <c r="D55" s="30" t="s">
        <v>95</v>
      </c>
      <c r="E55" s="30" t="s">
        <v>96</v>
      </c>
      <c r="F55" s="30" t="s">
        <v>33</v>
      </c>
      <c r="G55" s="37">
        <v>3950</v>
      </c>
      <c r="H55" s="33">
        <v>45836</v>
      </c>
      <c r="I55" s="32" t="s">
        <v>571</v>
      </c>
      <c r="J55" s="32" t="s">
        <v>59</v>
      </c>
      <c r="K55" s="50">
        <v>352501873</v>
      </c>
      <c r="L55" s="35" t="s">
        <v>942</v>
      </c>
    </row>
    <row r="56" spans="1:12" x14ac:dyDescent="0.25">
      <c r="A56" s="30" t="s">
        <v>12</v>
      </c>
      <c r="B56" s="30" t="s">
        <v>13</v>
      </c>
      <c r="C56" s="30" t="s">
        <v>14</v>
      </c>
      <c r="D56" s="30" t="s">
        <v>31</v>
      </c>
      <c r="E56" s="30" t="s">
        <v>32</v>
      </c>
      <c r="F56" s="30" t="s">
        <v>33</v>
      </c>
      <c r="G56" s="37">
        <v>5200</v>
      </c>
      <c r="H56" s="33">
        <v>45836</v>
      </c>
      <c r="I56" s="32" t="s">
        <v>741</v>
      </c>
      <c r="J56" s="32" t="s">
        <v>22</v>
      </c>
      <c r="K56" s="50">
        <v>352501853</v>
      </c>
      <c r="L56" s="35" t="s">
        <v>943</v>
      </c>
    </row>
    <row r="57" spans="1:12" x14ac:dyDescent="0.25">
      <c r="A57" s="30" t="s">
        <v>12</v>
      </c>
      <c r="B57" s="30" t="s">
        <v>13</v>
      </c>
      <c r="C57" s="30" t="s">
        <v>14</v>
      </c>
      <c r="D57" s="30" t="s">
        <v>435</v>
      </c>
      <c r="E57" s="39">
        <v>31095925572</v>
      </c>
      <c r="F57" s="36" t="s">
        <v>33</v>
      </c>
      <c r="G57" s="32">
        <v>500</v>
      </c>
      <c r="H57" s="33">
        <v>45837</v>
      </c>
      <c r="I57" s="32" t="s">
        <v>578</v>
      </c>
      <c r="J57" s="32" t="s">
        <v>126</v>
      </c>
      <c r="K57" s="50">
        <v>352501856</v>
      </c>
      <c r="L57" s="35" t="s">
        <v>944</v>
      </c>
    </row>
    <row r="58" spans="1:12" x14ac:dyDescent="0.25">
      <c r="A58" s="30" t="s">
        <v>12</v>
      </c>
      <c r="B58" s="30" t="s">
        <v>13</v>
      </c>
      <c r="C58" s="30" t="s">
        <v>14</v>
      </c>
      <c r="D58" s="30" t="s">
        <v>936</v>
      </c>
      <c r="E58" s="52">
        <v>29230100027591</v>
      </c>
      <c r="F58" s="30" t="s">
        <v>937</v>
      </c>
      <c r="G58" s="37">
        <f>800+500</f>
        <v>1300</v>
      </c>
      <c r="H58" s="33">
        <v>45837</v>
      </c>
      <c r="I58" s="32" t="s">
        <v>895</v>
      </c>
      <c r="J58" s="32" t="s">
        <v>896</v>
      </c>
      <c r="K58" s="50">
        <v>352501909</v>
      </c>
      <c r="L58" s="35" t="s">
        <v>946</v>
      </c>
    </row>
    <row r="59" spans="1:12" x14ac:dyDescent="0.25">
      <c r="A59" s="30" t="s">
        <v>12</v>
      </c>
      <c r="B59" s="30" t="s">
        <v>13</v>
      </c>
      <c r="C59" s="30" t="s">
        <v>14</v>
      </c>
      <c r="D59" s="30" t="s">
        <v>936</v>
      </c>
      <c r="E59" s="52">
        <v>29230100027591</v>
      </c>
      <c r="F59" s="30" t="s">
        <v>937</v>
      </c>
      <c r="G59" s="37">
        <v>6400</v>
      </c>
      <c r="H59" s="33">
        <v>45837</v>
      </c>
      <c r="I59" s="32" t="s">
        <v>895</v>
      </c>
      <c r="J59" s="32" t="s">
        <v>896</v>
      </c>
      <c r="K59" s="50">
        <v>352501909</v>
      </c>
      <c r="L59" s="35" t="s">
        <v>945</v>
      </c>
    </row>
    <row r="60" spans="1:12" x14ac:dyDescent="0.25">
      <c r="A60" s="30" t="s">
        <v>12</v>
      </c>
      <c r="B60" s="30" t="s">
        <v>13</v>
      </c>
      <c r="C60" s="30" t="s">
        <v>14</v>
      </c>
      <c r="D60" s="30" t="s">
        <v>95</v>
      </c>
      <c r="E60" s="30" t="s">
        <v>96</v>
      </c>
      <c r="F60" s="30" t="s">
        <v>33</v>
      </c>
      <c r="G60" s="37">
        <v>1500</v>
      </c>
      <c r="H60" s="33">
        <v>45837</v>
      </c>
      <c r="I60" s="32" t="s">
        <v>571</v>
      </c>
      <c r="J60" s="32" t="s">
        <v>59</v>
      </c>
      <c r="K60" s="50">
        <v>352501912</v>
      </c>
      <c r="L60" s="35" t="s">
        <v>942</v>
      </c>
    </row>
    <row r="61" spans="1:12" x14ac:dyDescent="0.25">
      <c r="A61" s="30" t="s">
        <v>12</v>
      </c>
      <c r="B61" s="30" t="s">
        <v>13</v>
      </c>
      <c r="C61" s="30" t="s">
        <v>14</v>
      </c>
      <c r="D61" s="30" t="s">
        <v>435</v>
      </c>
      <c r="E61" s="39">
        <v>31095925572</v>
      </c>
      <c r="F61" s="36" t="s">
        <v>33</v>
      </c>
      <c r="G61" s="32">
        <v>500</v>
      </c>
      <c r="H61" s="33">
        <v>45838</v>
      </c>
      <c r="I61" s="32" t="s">
        <v>578</v>
      </c>
      <c r="J61" s="32" t="s">
        <v>126</v>
      </c>
      <c r="K61" s="50">
        <v>352501856</v>
      </c>
      <c r="L61" s="35" t="s">
        <v>944</v>
      </c>
    </row>
    <row r="62" spans="1:12" x14ac:dyDescent="0.25">
      <c r="A62" s="30" t="s">
        <v>12</v>
      </c>
      <c r="B62" s="30" t="s">
        <v>13</v>
      </c>
      <c r="C62" s="30" t="s">
        <v>14</v>
      </c>
      <c r="D62" s="30" t="s">
        <v>31</v>
      </c>
      <c r="E62" s="30" t="s">
        <v>32</v>
      </c>
      <c r="F62" s="30" t="s">
        <v>33</v>
      </c>
      <c r="G62" s="37">
        <v>5200</v>
      </c>
      <c r="H62" s="33">
        <v>45838</v>
      </c>
      <c r="I62" s="32" t="s">
        <v>741</v>
      </c>
      <c r="J62" s="32" t="s">
        <v>22</v>
      </c>
      <c r="K62" s="50">
        <v>352501913</v>
      </c>
      <c r="L62" s="35" t="s">
        <v>947</v>
      </c>
    </row>
    <row r="63" spans="1:12" x14ac:dyDescent="0.25">
      <c r="A63" s="30" t="s">
        <v>12</v>
      </c>
      <c r="B63" s="30" t="s">
        <v>13</v>
      </c>
      <c r="C63" s="30" t="s">
        <v>14</v>
      </c>
      <c r="D63" s="30" t="s">
        <v>108</v>
      </c>
      <c r="E63" s="30" t="s">
        <v>109</v>
      </c>
      <c r="F63" s="30" t="s">
        <v>110</v>
      </c>
      <c r="G63" s="37">
        <v>3000</v>
      </c>
      <c r="H63" s="33">
        <v>45838</v>
      </c>
      <c r="I63" s="32" t="s">
        <v>898</v>
      </c>
      <c r="J63" s="32" t="s">
        <v>899</v>
      </c>
      <c r="K63" s="50">
        <v>352501911</v>
      </c>
      <c r="L63" s="35" t="s">
        <v>948</v>
      </c>
    </row>
    <row r="64" spans="1:12" x14ac:dyDescent="0.25">
      <c r="A64" s="30" t="s">
        <v>12</v>
      </c>
      <c r="B64" s="30" t="s">
        <v>13</v>
      </c>
      <c r="C64" s="30" t="s">
        <v>14</v>
      </c>
      <c r="D64" s="30" t="s">
        <v>95</v>
      </c>
      <c r="E64" s="30" t="s">
        <v>96</v>
      </c>
      <c r="F64" s="30" t="s">
        <v>33</v>
      </c>
      <c r="G64" s="37">
        <v>3000</v>
      </c>
      <c r="H64" s="33">
        <v>45838</v>
      </c>
      <c r="I64" s="32" t="s">
        <v>571</v>
      </c>
      <c r="J64" s="32" t="s">
        <v>59</v>
      </c>
      <c r="K64" s="50">
        <v>352501912</v>
      </c>
      <c r="L64" s="35" t="s">
        <v>948</v>
      </c>
    </row>
  </sheetData>
  <autoFilter ref="A1:L64"/>
  <pageMargins left="0.7" right="0.7" top="0.75" bottom="0.75" header="0.3" footer="0.3"/>
  <pageSetup orientation="portrait" r:id="rId1"/>
  <ignoredErrors>
    <ignoredError sqref="C2:C6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0"/>
  <sheetViews>
    <sheetView workbookViewId="0">
      <pane ySplit="1" topLeftCell="A2" activePane="bottomLeft" state="frozen"/>
      <selection pane="bottomLeft" activeCell="G1" sqref="G1"/>
    </sheetView>
  </sheetViews>
  <sheetFormatPr defaultRowHeight="12" x14ac:dyDescent="0.25"/>
  <cols>
    <col min="1" max="1" width="18.5546875" style="59" customWidth="1"/>
    <col min="2" max="2" width="9.88671875" style="59" customWidth="1"/>
    <col min="3" max="3" width="13" style="59" customWidth="1"/>
    <col min="4" max="4" width="14" style="59" bestFit="1" customWidth="1"/>
    <col min="5" max="5" width="15.33203125" style="59" bestFit="1" customWidth="1"/>
    <col min="6" max="6" width="12.44140625" style="59" bestFit="1" customWidth="1"/>
    <col min="7" max="7" width="9" style="59" customWidth="1"/>
    <col min="8" max="8" width="13.33203125" style="59" bestFit="1" customWidth="1"/>
    <col min="9" max="9" width="14.21875" style="59" bestFit="1" customWidth="1"/>
    <col min="10" max="10" width="10.77734375" style="59" bestFit="1" customWidth="1"/>
    <col min="11" max="11" width="11.5546875" style="59" bestFit="1" customWidth="1"/>
    <col min="12" max="12" width="13.77734375" style="59" customWidth="1"/>
    <col min="13" max="13" width="43.6640625" style="59" bestFit="1" customWidth="1"/>
    <col min="14" max="16384" width="8.88671875" style="59"/>
  </cols>
  <sheetData>
    <row r="1" spans="1:13" x14ac:dyDescent="0.25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7" t="s">
        <v>7</v>
      </c>
      <c r="I1" s="56" t="s">
        <v>8</v>
      </c>
      <c r="J1" s="56" t="s">
        <v>9</v>
      </c>
      <c r="K1" s="56" t="s">
        <v>10</v>
      </c>
      <c r="L1" s="56" t="s">
        <v>949</v>
      </c>
      <c r="M1" s="58" t="s">
        <v>11</v>
      </c>
    </row>
    <row r="2" spans="1:13" x14ac:dyDescent="0.25">
      <c r="A2" s="53" t="s">
        <v>12</v>
      </c>
      <c r="B2" s="53" t="s">
        <v>13</v>
      </c>
      <c r="C2" s="53" t="s">
        <v>14</v>
      </c>
      <c r="D2" s="53" t="s">
        <v>435</v>
      </c>
      <c r="E2" s="53">
        <v>31095925572</v>
      </c>
      <c r="F2" s="60" t="s">
        <v>33</v>
      </c>
      <c r="G2" s="61">
        <v>500</v>
      </c>
      <c r="H2" s="62">
        <v>45839</v>
      </c>
      <c r="I2" s="61" t="s">
        <v>578</v>
      </c>
      <c r="J2" s="61" t="s">
        <v>126</v>
      </c>
      <c r="K2" s="60">
        <v>352501856</v>
      </c>
      <c r="L2" s="60">
        <v>8084080392</v>
      </c>
      <c r="M2" s="55" t="s">
        <v>952</v>
      </c>
    </row>
    <row r="3" spans="1:13" x14ac:dyDescent="0.25">
      <c r="A3" s="53" t="s">
        <v>12</v>
      </c>
      <c r="B3" s="53" t="s">
        <v>13</v>
      </c>
      <c r="C3" s="53" t="s">
        <v>14</v>
      </c>
      <c r="D3" s="53" t="s">
        <v>95</v>
      </c>
      <c r="E3" s="53" t="s">
        <v>96</v>
      </c>
      <c r="F3" s="53" t="s">
        <v>33</v>
      </c>
      <c r="G3" s="63">
        <v>500</v>
      </c>
      <c r="H3" s="62">
        <v>45839</v>
      </c>
      <c r="I3" s="61" t="s">
        <v>571</v>
      </c>
      <c r="J3" s="61" t="s">
        <v>59</v>
      </c>
      <c r="K3" s="60">
        <v>352501949</v>
      </c>
      <c r="L3" s="53">
        <v>8159025834</v>
      </c>
      <c r="M3" s="55" t="s">
        <v>948</v>
      </c>
    </row>
    <row r="4" spans="1:13" x14ac:dyDescent="0.25">
      <c r="A4" s="53" t="s">
        <v>12</v>
      </c>
      <c r="B4" s="53" t="s">
        <v>13</v>
      </c>
      <c r="C4" s="53" t="s">
        <v>14</v>
      </c>
      <c r="D4" s="53" t="s">
        <v>95</v>
      </c>
      <c r="E4" s="53" t="s">
        <v>96</v>
      </c>
      <c r="F4" s="53" t="s">
        <v>33</v>
      </c>
      <c r="G4" s="63">
        <v>1000</v>
      </c>
      <c r="H4" s="62">
        <v>45839</v>
      </c>
      <c r="I4" s="61" t="s">
        <v>571</v>
      </c>
      <c r="J4" s="61" t="s">
        <v>59</v>
      </c>
      <c r="K4" s="60">
        <v>352501949</v>
      </c>
      <c r="L4" s="53">
        <v>8159025834</v>
      </c>
      <c r="M4" s="55" t="s">
        <v>953</v>
      </c>
    </row>
    <row r="5" spans="1:13" x14ac:dyDescent="0.25">
      <c r="A5" s="53" t="s">
        <v>12</v>
      </c>
      <c r="B5" s="53" t="s">
        <v>13</v>
      </c>
      <c r="C5" s="53" t="s">
        <v>14</v>
      </c>
      <c r="D5" s="53" t="s">
        <v>152</v>
      </c>
      <c r="E5" s="53" t="s">
        <v>153</v>
      </c>
      <c r="F5" s="53" t="s">
        <v>154</v>
      </c>
      <c r="G5" s="61">
        <v>5200</v>
      </c>
      <c r="H5" s="62">
        <v>45839</v>
      </c>
      <c r="I5" s="61" t="s">
        <v>903</v>
      </c>
      <c r="J5" s="61" t="s">
        <v>904</v>
      </c>
      <c r="K5" s="60">
        <v>352501910</v>
      </c>
      <c r="L5" s="60">
        <v>6206444704</v>
      </c>
      <c r="M5" s="55" t="s">
        <v>954</v>
      </c>
    </row>
    <row r="6" spans="1:13" x14ac:dyDescent="0.25">
      <c r="A6" s="53" t="s">
        <v>12</v>
      </c>
      <c r="B6" s="53" t="s">
        <v>13</v>
      </c>
      <c r="C6" s="53" t="s">
        <v>14</v>
      </c>
      <c r="D6" s="53" t="s">
        <v>95</v>
      </c>
      <c r="E6" s="53" t="s">
        <v>96</v>
      </c>
      <c r="F6" s="53" t="s">
        <v>33</v>
      </c>
      <c r="G6" s="63">
        <v>5450</v>
      </c>
      <c r="H6" s="62">
        <v>45840</v>
      </c>
      <c r="I6" s="61" t="s">
        <v>571</v>
      </c>
      <c r="J6" s="61" t="s">
        <v>59</v>
      </c>
      <c r="K6" s="60">
        <v>352501949</v>
      </c>
      <c r="L6" s="53">
        <v>8159025834</v>
      </c>
      <c r="M6" s="55" t="s">
        <v>955</v>
      </c>
    </row>
    <row r="7" spans="1:13" x14ac:dyDescent="0.25">
      <c r="A7" s="53" t="s">
        <v>12</v>
      </c>
      <c r="B7" s="53" t="s">
        <v>13</v>
      </c>
      <c r="C7" s="53" t="s">
        <v>14</v>
      </c>
      <c r="D7" s="53" t="s">
        <v>31</v>
      </c>
      <c r="E7" s="53" t="s">
        <v>32</v>
      </c>
      <c r="F7" s="53" t="s">
        <v>33</v>
      </c>
      <c r="G7" s="63">
        <v>4950</v>
      </c>
      <c r="H7" s="62">
        <v>45840</v>
      </c>
      <c r="I7" s="61" t="s">
        <v>741</v>
      </c>
      <c r="J7" s="61" t="s">
        <v>22</v>
      </c>
      <c r="K7" s="60">
        <v>352501913</v>
      </c>
      <c r="L7" s="53">
        <v>9347726061</v>
      </c>
      <c r="M7" s="55" t="s">
        <v>956</v>
      </c>
    </row>
    <row r="8" spans="1:13" x14ac:dyDescent="0.25">
      <c r="A8" s="53" t="s">
        <v>12</v>
      </c>
      <c r="B8" s="53" t="s">
        <v>13</v>
      </c>
      <c r="C8" s="53" t="s">
        <v>14</v>
      </c>
      <c r="D8" s="53" t="s">
        <v>108</v>
      </c>
      <c r="E8" s="53" t="s">
        <v>109</v>
      </c>
      <c r="F8" s="53" t="s">
        <v>110</v>
      </c>
      <c r="G8" s="63">
        <v>5450</v>
      </c>
      <c r="H8" s="62">
        <v>45840</v>
      </c>
      <c r="I8" s="61" t="s">
        <v>898</v>
      </c>
      <c r="J8" s="61" t="s">
        <v>899</v>
      </c>
      <c r="K8" s="60">
        <v>352501947</v>
      </c>
      <c r="L8" s="53">
        <v>7870570436</v>
      </c>
      <c r="M8" s="55" t="s">
        <v>955</v>
      </c>
    </row>
    <row r="9" spans="1:13" x14ac:dyDescent="0.25">
      <c r="A9" s="53" t="s">
        <v>12</v>
      </c>
      <c r="B9" s="53" t="s">
        <v>13</v>
      </c>
      <c r="C9" s="53" t="s">
        <v>14</v>
      </c>
      <c r="D9" s="53" t="s">
        <v>95</v>
      </c>
      <c r="E9" s="53" t="s">
        <v>96</v>
      </c>
      <c r="F9" s="53" t="s">
        <v>33</v>
      </c>
      <c r="G9" s="63">
        <v>5000</v>
      </c>
      <c r="H9" s="62">
        <v>45840</v>
      </c>
      <c r="I9" s="61" t="s">
        <v>571</v>
      </c>
      <c r="J9" s="61" t="s">
        <v>59</v>
      </c>
      <c r="K9" s="60">
        <v>352501949</v>
      </c>
      <c r="L9" s="53">
        <v>8159025834</v>
      </c>
      <c r="M9" s="55" t="s">
        <v>690</v>
      </c>
    </row>
    <row r="10" spans="1:13" x14ac:dyDescent="0.25">
      <c r="A10" s="53" t="s">
        <v>12</v>
      </c>
      <c r="B10" s="53" t="s">
        <v>13</v>
      </c>
      <c r="C10" s="53" t="s">
        <v>14</v>
      </c>
      <c r="D10" s="53" t="s">
        <v>936</v>
      </c>
      <c r="E10" s="54">
        <v>29230100027591</v>
      </c>
      <c r="F10" s="53" t="s">
        <v>937</v>
      </c>
      <c r="G10" s="63">
        <v>6400</v>
      </c>
      <c r="H10" s="62">
        <v>45840</v>
      </c>
      <c r="I10" s="61" t="s">
        <v>895</v>
      </c>
      <c r="J10" s="61" t="s">
        <v>896</v>
      </c>
      <c r="K10" s="60">
        <v>352501918</v>
      </c>
      <c r="L10" s="53">
        <v>6202164591</v>
      </c>
      <c r="M10" s="55" t="s">
        <v>957</v>
      </c>
    </row>
    <row r="11" spans="1:13" x14ac:dyDescent="0.25">
      <c r="A11" s="53" t="s">
        <v>12</v>
      </c>
      <c r="B11" s="53" t="s">
        <v>13</v>
      </c>
      <c r="C11" s="53" t="s">
        <v>14</v>
      </c>
      <c r="D11" s="53" t="s">
        <v>95</v>
      </c>
      <c r="E11" s="53" t="s">
        <v>96</v>
      </c>
      <c r="F11" s="53" t="s">
        <v>33</v>
      </c>
      <c r="G11" s="63">
        <v>5450</v>
      </c>
      <c r="H11" s="62">
        <v>45841</v>
      </c>
      <c r="I11" s="61" t="s">
        <v>571</v>
      </c>
      <c r="J11" s="61" t="s">
        <v>59</v>
      </c>
      <c r="K11" s="60">
        <v>352501989</v>
      </c>
      <c r="L11" s="53">
        <v>8159025834</v>
      </c>
      <c r="M11" s="55" t="s">
        <v>958</v>
      </c>
    </row>
    <row r="12" spans="1:13" x14ac:dyDescent="0.25">
      <c r="A12" s="53" t="s">
        <v>12</v>
      </c>
      <c r="B12" s="53" t="s">
        <v>13</v>
      </c>
      <c r="C12" s="53" t="s">
        <v>14</v>
      </c>
      <c r="D12" s="53" t="s">
        <v>936</v>
      </c>
      <c r="E12" s="54">
        <v>29230100027591</v>
      </c>
      <c r="F12" s="53" t="s">
        <v>937</v>
      </c>
      <c r="G12" s="63">
        <v>6400</v>
      </c>
      <c r="H12" s="62">
        <v>45841</v>
      </c>
      <c r="I12" s="61" t="s">
        <v>895</v>
      </c>
      <c r="J12" s="61" t="s">
        <v>896</v>
      </c>
      <c r="K12" s="60">
        <v>352501979</v>
      </c>
      <c r="L12" s="53">
        <v>6202164591</v>
      </c>
      <c r="M12" s="55" t="s">
        <v>959</v>
      </c>
    </row>
    <row r="13" spans="1:13" x14ac:dyDescent="0.25">
      <c r="A13" s="53" t="s">
        <v>12</v>
      </c>
      <c r="B13" s="53" t="s">
        <v>13</v>
      </c>
      <c r="C13" s="53" t="s">
        <v>14</v>
      </c>
      <c r="D13" s="53" t="s">
        <v>152</v>
      </c>
      <c r="E13" s="53" t="s">
        <v>153</v>
      </c>
      <c r="F13" s="53" t="s">
        <v>154</v>
      </c>
      <c r="G13" s="61">
        <v>5200</v>
      </c>
      <c r="H13" s="62">
        <v>45841</v>
      </c>
      <c r="I13" s="61" t="s">
        <v>903</v>
      </c>
      <c r="J13" s="61" t="s">
        <v>904</v>
      </c>
      <c r="K13" s="60">
        <v>352501986</v>
      </c>
      <c r="L13" s="60">
        <v>6206444704</v>
      </c>
      <c r="M13" s="55" t="s">
        <v>959</v>
      </c>
    </row>
    <row r="14" spans="1:13" x14ac:dyDescent="0.25">
      <c r="A14" s="53" t="s">
        <v>12</v>
      </c>
      <c r="B14" s="53" t="s">
        <v>13</v>
      </c>
      <c r="C14" s="53" t="s">
        <v>14</v>
      </c>
      <c r="D14" s="53" t="s">
        <v>31</v>
      </c>
      <c r="E14" s="53" t="s">
        <v>32</v>
      </c>
      <c r="F14" s="53" t="s">
        <v>33</v>
      </c>
      <c r="G14" s="61">
        <v>6400</v>
      </c>
      <c r="H14" s="62">
        <v>45841</v>
      </c>
      <c r="I14" s="61" t="s">
        <v>741</v>
      </c>
      <c r="J14" s="61" t="s">
        <v>22</v>
      </c>
      <c r="K14" s="60">
        <v>352501991</v>
      </c>
      <c r="L14" s="53">
        <v>9347726061</v>
      </c>
      <c r="M14" s="55" t="s">
        <v>959</v>
      </c>
    </row>
    <row r="15" spans="1:13" x14ac:dyDescent="0.25">
      <c r="A15" s="53" t="s">
        <v>12</v>
      </c>
      <c r="B15" s="53" t="s">
        <v>13</v>
      </c>
      <c r="C15" s="53" t="s">
        <v>14</v>
      </c>
      <c r="D15" s="53" t="s">
        <v>95</v>
      </c>
      <c r="E15" s="53" t="s">
        <v>96</v>
      </c>
      <c r="F15" s="53" t="s">
        <v>33</v>
      </c>
      <c r="G15" s="63">
        <v>5200</v>
      </c>
      <c r="H15" s="62">
        <v>45842</v>
      </c>
      <c r="I15" s="61" t="s">
        <v>571</v>
      </c>
      <c r="J15" s="61" t="s">
        <v>59</v>
      </c>
      <c r="K15" s="60">
        <v>352502007</v>
      </c>
      <c r="L15" s="53">
        <v>8159025834</v>
      </c>
      <c r="M15" s="55" t="s">
        <v>960</v>
      </c>
    </row>
    <row r="16" spans="1:13" x14ac:dyDescent="0.25">
      <c r="A16" s="53" t="s">
        <v>12</v>
      </c>
      <c r="B16" s="53" t="s">
        <v>13</v>
      </c>
      <c r="C16" s="53" t="s">
        <v>14</v>
      </c>
      <c r="D16" s="53" t="s">
        <v>936</v>
      </c>
      <c r="E16" s="54">
        <v>29230100027591</v>
      </c>
      <c r="F16" s="53" t="s">
        <v>937</v>
      </c>
      <c r="G16" s="63">
        <v>6400</v>
      </c>
      <c r="H16" s="62">
        <v>45842</v>
      </c>
      <c r="I16" s="61" t="s">
        <v>895</v>
      </c>
      <c r="J16" s="61" t="s">
        <v>896</v>
      </c>
      <c r="K16" s="60">
        <v>352502003</v>
      </c>
      <c r="L16" s="53">
        <v>6202164591</v>
      </c>
      <c r="M16" s="55" t="s">
        <v>961</v>
      </c>
    </row>
    <row r="17" spans="1:13" x14ac:dyDescent="0.25">
      <c r="A17" s="53" t="s">
        <v>12</v>
      </c>
      <c r="B17" s="53" t="s">
        <v>13</v>
      </c>
      <c r="C17" s="53" t="s">
        <v>14</v>
      </c>
      <c r="D17" s="53" t="s">
        <v>152</v>
      </c>
      <c r="E17" s="53" t="s">
        <v>153</v>
      </c>
      <c r="F17" s="53" t="s">
        <v>154</v>
      </c>
      <c r="G17" s="63">
        <v>6400</v>
      </c>
      <c r="H17" s="62">
        <v>45842</v>
      </c>
      <c r="I17" s="61" t="s">
        <v>903</v>
      </c>
      <c r="J17" s="61" t="s">
        <v>904</v>
      </c>
      <c r="K17" s="60">
        <v>352502015</v>
      </c>
      <c r="L17" s="60">
        <v>6206444704</v>
      </c>
      <c r="M17" s="55" t="s">
        <v>961</v>
      </c>
    </row>
    <row r="18" spans="1:13" x14ac:dyDescent="0.25">
      <c r="A18" s="53" t="s">
        <v>12</v>
      </c>
      <c r="B18" s="53" t="s">
        <v>13</v>
      </c>
      <c r="C18" s="53" t="s">
        <v>14</v>
      </c>
      <c r="D18" s="53" t="s">
        <v>31</v>
      </c>
      <c r="E18" s="53" t="s">
        <v>32</v>
      </c>
      <c r="F18" s="53" t="s">
        <v>33</v>
      </c>
      <c r="G18" s="63">
        <v>6400</v>
      </c>
      <c r="H18" s="62">
        <v>45842</v>
      </c>
      <c r="I18" s="61" t="s">
        <v>741</v>
      </c>
      <c r="J18" s="61" t="s">
        <v>22</v>
      </c>
      <c r="K18" s="60">
        <v>352501991</v>
      </c>
      <c r="L18" s="53">
        <v>9347726061</v>
      </c>
      <c r="M18" s="55" t="s">
        <v>961</v>
      </c>
    </row>
    <row r="19" spans="1:13" x14ac:dyDescent="0.25">
      <c r="A19" s="53" t="s">
        <v>12</v>
      </c>
      <c r="B19" s="53" t="s">
        <v>13</v>
      </c>
      <c r="C19" s="53" t="s">
        <v>14</v>
      </c>
      <c r="D19" s="53" t="s">
        <v>108</v>
      </c>
      <c r="E19" s="53" t="s">
        <v>109</v>
      </c>
      <c r="F19" s="53" t="s">
        <v>110</v>
      </c>
      <c r="G19" s="63">
        <v>7700</v>
      </c>
      <c r="H19" s="62">
        <v>45842</v>
      </c>
      <c r="I19" s="61" t="s">
        <v>898</v>
      </c>
      <c r="J19" s="61" t="s">
        <v>899</v>
      </c>
      <c r="K19" s="60">
        <v>352501990</v>
      </c>
      <c r="L19" s="53">
        <v>7870570436</v>
      </c>
      <c r="M19" s="55" t="s">
        <v>962</v>
      </c>
    </row>
    <row r="20" spans="1:13" x14ac:dyDescent="0.25">
      <c r="A20" s="53" t="s">
        <v>12</v>
      </c>
      <c r="B20" s="53" t="s">
        <v>13</v>
      </c>
      <c r="C20" s="53" t="s">
        <v>14</v>
      </c>
      <c r="D20" s="53" t="s">
        <v>936</v>
      </c>
      <c r="E20" s="54">
        <v>29230100027591</v>
      </c>
      <c r="F20" s="53" t="s">
        <v>937</v>
      </c>
      <c r="G20" s="63">
        <v>5200</v>
      </c>
      <c r="H20" s="62">
        <v>45843</v>
      </c>
      <c r="I20" s="61" t="s">
        <v>895</v>
      </c>
      <c r="J20" s="61" t="s">
        <v>896</v>
      </c>
      <c r="K20" s="60">
        <v>352502039</v>
      </c>
      <c r="L20" s="53">
        <v>6202164591</v>
      </c>
      <c r="M20" s="55" t="s">
        <v>963</v>
      </c>
    </row>
    <row r="21" spans="1:13" x14ac:dyDescent="0.25">
      <c r="A21" s="53" t="s">
        <v>12</v>
      </c>
      <c r="B21" s="53" t="s">
        <v>13</v>
      </c>
      <c r="C21" s="53" t="s">
        <v>14</v>
      </c>
      <c r="D21" s="53" t="s">
        <v>95</v>
      </c>
      <c r="E21" s="53" t="s">
        <v>96</v>
      </c>
      <c r="F21" s="53" t="s">
        <v>33</v>
      </c>
      <c r="G21" s="63">
        <v>3950</v>
      </c>
      <c r="H21" s="62">
        <v>45843</v>
      </c>
      <c r="I21" s="61" t="s">
        <v>571</v>
      </c>
      <c r="J21" s="61" t="s">
        <v>59</v>
      </c>
      <c r="K21" s="60">
        <v>352502036</v>
      </c>
      <c r="L21" s="53">
        <v>8159025834</v>
      </c>
      <c r="M21" s="55" t="s">
        <v>964</v>
      </c>
    </row>
    <row r="22" spans="1:13" x14ac:dyDescent="0.25">
      <c r="A22" s="53" t="s">
        <v>12</v>
      </c>
      <c r="B22" s="53" t="s">
        <v>13</v>
      </c>
      <c r="C22" s="53" t="s">
        <v>14</v>
      </c>
      <c r="D22" s="53" t="s">
        <v>31</v>
      </c>
      <c r="E22" s="53" t="s">
        <v>32</v>
      </c>
      <c r="F22" s="53" t="s">
        <v>33</v>
      </c>
      <c r="G22" s="63">
        <v>5450</v>
      </c>
      <c r="H22" s="62">
        <v>45843</v>
      </c>
      <c r="I22" s="61" t="s">
        <v>741</v>
      </c>
      <c r="J22" s="61" t="s">
        <v>22</v>
      </c>
      <c r="K22" s="60">
        <v>352502030</v>
      </c>
      <c r="L22" s="53">
        <v>9347726061</v>
      </c>
      <c r="M22" s="55" t="s">
        <v>964</v>
      </c>
    </row>
    <row r="23" spans="1:13" x14ac:dyDescent="0.25">
      <c r="A23" s="53" t="s">
        <v>12</v>
      </c>
      <c r="B23" s="53" t="s">
        <v>13</v>
      </c>
      <c r="C23" s="53" t="s">
        <v>14</v>
      </c>
      <c r="D23" s="53" t="s">
        <v>152</v>
      </c>
      <c r="E23" s="53" t="s">
        <v>153</v>
      </c>
      <c r="F23" s="53" t="s">
        <v>154</v>
      </c>
      <c r="G23" s="63">
        <v>5450</v>
      </c>
      <c r="H23" s="62">
        <v>45843</v>
      </c>
      <c r="I23" s="61" t="s">
        <v>903</v>
      </c>
      <c r="J23" s="61" t="s">
        <v>904</v>
      </c>
      <c r="K23" s="60">
        <v>352502028</v>
      </c>
      <c r="L23" s="60">
        <v>6206444704</v>
      </c>
      <c r="M23" s="55" t="s">
        <v>964</v>
      </c>
    </row>
    <row r="24" spans="1:13" x14ac:dyDescent="0.25">
      <c r="A24" s="53" t="s">
        <v>12</v>
      </c>
      <c r="B24" s="53" t="s">
        <v>13</v>
      </c>
      <c r="C24" s="53" t="s">
        <v>14</v>
      </c>
      <c r="D24" s="53" t="s">
        <v>435</v>
      </c>
      <c r="E24" s="53">
        <v>31095925572</v>
      </c>
      <c r="F24" s="60" t="s">
        <v>33</v>
      </c>
      <c r="G24" s="61">
        <v>500</v>
      </c>
      <c r="H24" s="62">
        <v>45843</v>
      </c>
      <c r="I24" s="61" t="s">
        <v>578</v>
      </c>
      <c r="J24" s="61" t="s">
        <v>126</v>
      </c>
      <c r="K24" s="60">
        <v>352502029</v>
      </c>
      <c r="L24" s="60">
        <v>8084080392</v>
      </c>
      <c r="M24" s="55" t="s">
        <v>965</v>
      </c>
    </row>
    <row r="25" spans="1:13" x14ac:dyDescent="0.25">
      <c r="A25" s="53" t="s">
        <v>12</v>
      </c>
      <c r="B25" s="53" t="s">
        <v>13</v>
      </c>
      <c r="C25" s="53" t="s">
        <v>14</v>
      </c>
      <c r="D25" s="53" t="s">
        <v>152</v>
      </c>
      <c r="E25" s="53" t="s">
        <v>153</v>
      </c>
      <c r="F25" s="53" t="s">
        <v>154</v>
      </c>
      <c r="G25" s="63">
        <v>5450</v>
      </c>
      <c r="H25" s="62">
        <v>45845</v>
      </c>
      <c r="I25" s="61" t="s">
        <v>903</v>
      </c>
      <c r="J25" s="61" t="s">
        <v>904</v>
      </c>
      <c r="K25" s="60">
        <v>352502055</v>
      </c>
      <c r="L25" s="60">
        <v>6206444704</v>
      </c>
      <c r="M25" s="55" t="s">
        <v>950</v>
      </c>
    </row>
    <row r="26" spans="1:13" x14ac:dyDescent="0.25">
      <c r="A26" s="53" t="s">
        <v>12</v>
      </c>
      <c r="B26" s="53" t="s">
        <v>13</v>
      </c>
      <c r="C26" s="53" t="s">
        <v>14</v>
      </c>
      <c r="D26" s="53" t="s">
        <v>435</v>
      </c>
      <c r="E26" s="53">
        <v>31095925572</v>
      </c>
      <c r="F26" s="60" t="s">
        <v>33</v>
      </c>
      <c r="G26" s="61">
        <v>500</v>
      </c>
      <c r="H26" s="62">
        <v>45845</v>
      </c>
      <c r="I26" s="61" t="s">
        <v>578</v>
      </c>
      <c r="J26" s="61" t="s">
        <v>126</v>
      </c>
      <c r="K26" s="60">
        <v>352502046</v>
      </c>
      <c r="L26" s="60">
        <v>8084080392</v>
      </c>
      <c r="M26" s="55" t="s">
        <v>951</v>
      </c>
    </row>
    <row r="27" spans="1:13" x14ac:dyDescent="0.25">
      <c r="A27" s="53" t="s">
        <v>12</v>
      </c>
      <c r="B27" s="53" t="s">
        <v>13</v>
      </c>
      <c r="C27" s="53" t="s">
        <v>14</v>
      </c>
      <c r="D27" s="53" t="s">
        <v>435</v>
      </c>
      <c r="E27" s="53">
        <v>31095925572</v>
      </c>
      <c r="F27" s="60" t="s">
        <v>33</v>
      </c>
      <c r="G27" s="61">
        <v>6400</v>
      </c>
      <c r="H27" s="62">
        <v>45846</v>
      </c>
      <c r="I27" s="61" t="s">
        <v>966</v>
      </c>
      <c r="J27" s="61" t="s">
        <v>967</v>
      </c>
      <c r="K27" s="60">
        <v>342500751</v>
      </c>
      <c r="L27" s="60">
        <v>8084080392</v>
      </c>
      <c r="M27" s="55" t="s">
        <v>968</v>
      </c>
    </row>
    <row r="28" spans="1:13" x14ac:dyDescent="0.25">
      <c r="A28" s="53" t="s">
        <v>12</v>
      </c>
      <c r="B28" s="53" t="s">
        <v>13</v>
      </c>
      <c r="C28" s="53" t="s">
        <v>14</v>
      </c>
      <c r="D28" s="53" t="s">
        <v>95</v>
      </c>
      <c r="E28" s="53" t="s">
        <v>96</v>
      </c>
      <c r="F28" s="53" t="s">
        <v>33</v>
      </c>
      <c r="G28" s="63">
        <v>7700</v>
      </c>
      <c r="H28" s="62">
        <v>45846</v>
      </c>
      <c r="I28" s="61" t="s">
        <v>571</v>
      </c>
      <c r="J28" s="61" t="s">
        <v>59</v>
      </c>
      <c r="K28" s="60">
        <v>352502053</v>
      </c>
      <c r="L28" s="53">
        <v>8159025834</v>
      </c>
      <c r="M28" s="55" t="s">
        <v>969</v>
      </c>
    </row>
    <row r="29" spans="1:13" x14ac:dyDescent="0.25">
      <c r="A29" s="53" t="s">
        <v>12</v>
      </c>
      <c r="B29" s="53" t="s">
        <v>13</v>
      </c>
      <c r="C29" s="53" t="s">
        <v>14</v>
      </c>
      <c r="D29" s="53" t="s">
        <v>108</v>
      </c>
      <c r="E29" s="53" t="s">
        <v>109</v>
      </c>
      <c r="F29" s="53" t="s">
        <v>110</v>
      </c>
      <c r="G29" s="63">
        <v>7700</v>
      </c>
      <c r="H29" s="62">
        <v>45846</v>
      </c>
      <c r="I29" s="61" t="s">
        <v>898</v>
      </c>
      <c r="J29" s="61" t="s">
        <v>899</v>
      </c>
      <c r="K29" s="60">
        <v>352502056</v>
      </c>
      <c r="L29" s="53">
        <v>7870570436</v>
      </c>
      <c r="M29" s="55" t="s">
        <v>969</v>
      </c>
    </row>
    <row r="30" spans="1:13" x14ac:dyDescent="0.25">
      <c r="A30" s="53" t="s">
        <v>12</v>
      </c>
      <c r="B30" s="53" t="s">
        <v>13</v>
      </c>
      <c r="C30" s="53" t="s">
        <v>14</v>
      </c>
      <c r="D30" s="53" t="s">
        <v>31</v>
      </c>
      <c r="E30" s="53" t="s">
        <v>32</v>
      </c>
      <c r="F30" s="53" t="s">
        <v>33</v>
      </c>
      <c r="G30" s="63">
        <v>7700</v>
      </c>
      <c r="H30" s="62">
        <v>45846</v>
      </c>
      <c r="I30" s="61" t="s">
        <v>741</v>
      </c>
      <c r="J30" s="61" t="s">
        <v>22</v>
      </c>
      <c r="K30" s="60">
        <v>352502054</v>
      </c>
      <c r="L30" s="53">
        <v>9347726061</v>
      </c>
      <c r="M30" s="55" t="s">
        <v>969</v>
      </c>
    </row>
    <row r="31" spans="1:13" x14ac:dyDescent="0.25">
      <c r="A31" s="53" t="s">
        <v>12</v>
      </c>
      <c r="B31" s="53" t="s">
        <v>13</v>
      </c>
      <c r="C31" s="53" t="s">
        <v>14</v>
      </c>
      <c r="D31" s="53" t="s">
        <v>936</v>
      </c>
      <c r="E31" s="54">
        <v>29230100027591</v>
      </c>
      <c r="F31" s="53" t="s">
        <v>937</v>
      </c>
      <c r="G31" s="63">
        <v>6400</v>
      </c>
      <c r="H31" s="62">
        <v>45846</v>
      </c>
      <c r="I31" s="61" t="s">
        <v>895</v>
      </c>
      <c r="J31" s="61" t="s">
        <v>896</v>
      </c>
      <c r="K31" s="60">
        <v>352502052</v>
      </c>
      <c r="L31" s="53">
        <v>6202164591</v>
      </c>
      <c r="M31" s="55" t="s">
        <v>968</v>
      </c>
    </row>
    <row r="32" spans="1:13" x14ac:dyDescent="0.25">
      <c r="A32" s="53" t="s">
        <v>12</v>
      </c>
      <c r="B32" s="53" t="s">
        <v>13</v>
      </c>
      <c r="C32" s="53" t="s">
        <v>14</v>
      </c>
      <c r="D32" s="53" t="s">
        <v>435</v>
      </c>
      <c r="E32" s="53">
        <v>31095925572</v>
      </c>
      <c r="F32" s="60" t="s">
        <v>33</v>
      </c>
      <c r="G32" s="61">
        <v>6400</v>
      </c>
      <c r="H32" s="62">
        <v>45847</v>
      </c>
      <c r="I32" s="61" t="s">
        <v>966</v>
      </c>
      <c r="J32" s="61" t="s">
        <v>967</v>
      </c>
      <c r="K32" s="60">
        <v>352502088</v>
      </c>
      <c r="L32" s="60">
        <v>8084080392</v>
      </c>
      <c r="M32" s="55" t="s">
        <v>972</v>
      </c>
    </row>
    <row r="33" spans="1:13" x14ac:dyDescent="0.25">
      <c r="A33" s="53" t="s">
        <v>12</v>
      </c>
      <c r="B33" s="53" t="s">
        <v>13</v>
      </c>
      <c r="C33" s="53" t="s">
        <v>14</v>
      </c>
      <c r="D33" s="53" t="s">
        <v>95</v>
      </c>
      <c r="E33" s="53" t="s">
        <v>96</v>
      </c>
      <c r="F33" s="53" t="s">
        <v>33</v>
      </c>
      <c r="G33" s="61">
        <v>6400</v>
      </c>
      <c r="H33" s="62">
        <v>45847</v>
      </c>
      <c r="I33" s="61" t="s">
        <v>571</v>
      </c>
      <c r="J33" s="61" t="s">
        <v>59</v>
      </c>
      <c r="K33" s="60">
        <v>352502100</v>
      </c>
      <c r="L33" s="53">
        <v>8159025834</v>
      </c>
      <c r="M33" s="55" t="s">
        <v>972</v>
      </c>
    </row>
    <row r="34" spans="1:13" x14ac:dyDescent="0.25">
      <c r="A34" s="53" t="s">
        <v>12</v>
      </c>
      <c r="B34" s="53" t="s">
        <v>13</v>
      </c>
      <c r="C34" s="53" t="s">
        <v>14</v>
      </c>
      <c r="D34" s="53" t="s">
        <v>108</v>
      </c>
      <c r="E34" s="53" t="s">
        <v>109</v>
      </c>
      <c r="F34" s="53" t="s">
        <v>110</v>
      </c>
      <c r="G34" s="61">
        <v>6400</v>
      </c>
      <c r="H34" s="62">
        <v>45847</v>
      </c>
      <c r="I34" s="61" t="s">
        <v>898</v>
      </c>
      <c r="J34" s="61" t="s">
        <v>899</v>
      </c>
      <c r="K34" s="60">
        <v>352502087</v>
      </c>
      <c r="L34" s="53">
        <v>7870570436</v>
      </c>
      <c r="M34" s="55" t="s">
        <v>972</v>
      </c>
    </row>
    <row r="35" spans="1:13" x14ac:dyDescent="0.25">
      <c r="A35" s="53" t="s">
        <v>12</v>
      </c>
      <c r="B35" s="53" t="s">
        <v>13</v>
      </c>
      <c r="C35" s="53" t="s">
        <v>14</v>
      </c>
      <c r="D35" s="53" t="s">
        <v>31</v>
      </c>
      <c r="E35" s="53" t="s">
        <v>32</v>
      </c>
      <c r="F35" s="53" t="s">
        <v>33</v>
      </c>
      <c r="G35" s="61">
        <v>6400</v>
      </c>
      <c r="H35" s="62">
        <v>45847</v>
      </c>
      <c r="I35" s="61" t="s">
        <v>741</v>
      </c>
      <c r="J35" s="61" t="s">
        <v>22</v>
      </c>
      <c r="K35" s="60">
        <v>352502086</v>
      </c>
      <c r="L35" s="53">
        <v>9347726061</v>
      </c>
      <c r="M35" s="55" t="s">
        <v>972</v>
      </c>
    </row>
    <row r="36" spans="1:13" x14ac:dyDescent="0.25">
      <c r="A36" s="53" t="s">
        <v>12</v>
      </c>
      <c r="B36" s="53" t="s">
        <v>13</v>
      </c>
      <c r="C36" s="53" t="s">
        <v>14</v>
      </c>
      <c r="D36" s="53" t="s">
        <v>936</v>
      </c>
      <c r="E36" s="54">
        <v>29230100027591</v>
      </c>
      <c r="F36" s="53" t="s">
        <v>937</v>
      </c>
      <c r="G36" s="63">
        <v>6400</v>
      </c>
      <c r="H36" s="62">
        <v>45847</v>
      </c>
      <c r="I36" s="61" t="s">
        <v>895</v>
      </c>
      <c r="J36" s="61" t="s">
        <v>896</v>
      </c>
      <c r="K36" s="60">
        <v>352502099</v>
      </c>
      <c r="L36" s="53">
        <v>6202164591</v>
      </c>
      <c r="M36" s="55" t="s">
        <v>972</v>
      </c>
    </row>
    <row r="37" spans="1:13" x14ac:dyDescent="0.25">
      <c r="A37" s="53" t="s">
        <v>12</v>
      </c>
      <c r="B37" s="53" t="s">
        <v>13</v>
      </c>
      <c r="C37" s="53" t="s">
        <v>14</v>
      </c>
      <c r="D37" s="53" t="s">
        <v>152</v>
      </c>
      <c r="E37" s="53" t="s">
        <v>153</v>
      </c>
      <c r="F37" s="53" t="s">
        <v>154</v>
      </c>
      <c r="G37" s="63">
        <v>7700</v>
      </c>
      <c r="H37" s="62">
        <v>45847</v>
      </c>
      <c r="I37" s="61" t="s">
        <v>903</v>
      </c>
      <c r="J37" s="61" t="s">
        <v>904</v>
      </c>
      <c r="K37" s="60">
        <v>352502073</v>
      </c>
      <c r="L37" s="60">
        <v>6206444704</v>
      </c>
      <c r="M37" s="55" t="s">
        <v>970</v>
      </c>
    </row>
    <row r="38" spans="1:13" x14ac:dyDescent="0.25">
      <c r="A38" s="53" t="s">
        <v>12</v>
      </c>
      <c r="B38" s="53" t="s">
        <v>13</v>
      </c>
      <c r="C38" s="53" t="s">
        <v>14</v>
      </c>
      <c r="D38" s="53" t="s">
        <v>936</v>
      </c>
      <c r="E38" s="54">
        <v>29230100027591</v>
      </c>
      <c r="F38" s="53" t="s">
        <v>937</v>
      </c>
      <c r="G38" s="63">
        <v>7500</v>
      </c>
      <c r="H38" s="62">
        <v>45848</v>
      </c>
      <c r="I38" s="61" t="s">
        <v>895</v>
      </c>
      <c r="J38" s="61" t="s">
        <v>896</v>
      </c>
      <c r="K38" s="60">
        <v>352502105</v>
      </c>
      <c r="L38" s="53">
        <v>6202164591</v>
      </c>
      <c r="M38" s="55" t="s">
        <v>971</v>
      </c>
    </row>
    <row r="39" spans="1:13" x14ac:dyDescent="0.25">
      <c r="A39" s="53" t="s">
        <v>12</v>
      </c>
      <c r="B39" s="53" t="s">
        <v>13</v>
      </c>
      <c r="C39" s="53" t="s">
        <v>14</v>
      </c>
      <c r="D39" s="53" t="s">
        <v>95</v>
      </c>
      <c r="E39" s="53" t="s">
        <v>96</v>
      </c>
      <c r="F39" s="53" t="s">
        <v>33</v>
      </c>
      <c r="G39" s="63">
        <v>7500</v>
      </c>
      <c r="H39" s="62">
        <v>45848</v>
      </c>
      <c r="I39" s="61" t="s">
        <v>571</v>
      </c>
      <c r="J39" s="61" t="s">
        <v>59</v>
      </c>
      <c r="K39" s="60">
        <v>352502106</v>
      </c>
      <c r="L39" s="53">
        <v>8159025834</v>
      </c>
      <c r="M39" s="55" t="s">
        <v>971</v>
      </c>
    </row>
    <row r="40" spans="1:13" x14ac:dyDescent="0.25">
      <c r="A40" s="53" t="s">
        <v>12</v>
      </c>
      <c r="B40" s="53" t="s">
        <v>13</v>
      </c>
      <c r="C40" s="53" t="s">
        <v>14</v>
      </c>
      <c r="D40" s="53" t="s">
        <v>435</v>
      </c>
      <c r="E40" s="53">
        <v>31095925572</v>
      </c>
      <c r="F40" s="60" t="s">
        <v>33</v>
      </c>
      <c r="G40" s="61">
        <v>6400</v>
      </c>
      <c r="H40" s="62">
        <v>45848</v>
      </c>
      <c r="I40" s="61" t="s">
        <v>966</v>
      </c>
      <c r="J40" s="61" t="s">
        <v>967</v>
      </c>
      <c r="K40" s="60">
        <v>352502108</v>
      </c>
      <c r="L40" s="60">
        <v>8084080392</v>
      </c>
      <c r="M40" s="55" t="s">
        <v>973</v>
      </c>
    </row>
    <row r="41" spans="1:13" x14ac:dyDescent="0.25">
      <c r="A41" s="53" t="s">
        <v>12</v>
      </c>
      <c r="B41" s="53" t="s">
        <v>13</v>
      </c>
      <c r="C41" s="53" t="s">
        <v>14</v>
      </c>
      <c r="D41" s="53" t="s">
        <v>108</v>
      </c>
      <c r="E41" s="53" t="s">
        <v>109</v>
      </c>
      <c r="F41" s="53" t="s">
        <v>110</v>
      </c>
      <c r="G41" s="61">
        <v>6400</v>
      </c>
      <c r="H41" s="62">
        <v>45848</v>
      </c>
      <c r="I41" s="61" t="s">
        <v>898</v>
      </c>
      <c r="J41" s="61" t="s">
        <v>899</v>
      </c>
      <c r="K41" s="60">
        <v>352502109</v>
      </c>
      <c r="L41" s="53">
        <v>7870570436</v>
      </c>
      <c r="M41" s="55" t="s">
        <v>973</v>
      </c>
    </row>
    <row r="42" spans="1:13" x14ac:dyDescent="0.25">
      <c r="A42" s="53" t="s">
        <v>12</v>
      </c>
      <c r="B42" s="53" t="s">
        <v>13</v>
      </c>
      <c r="C42" s="53" t="s">
        <v>14</v>
      </c>
      <c r="D42" s="53" t="s">
        <v>31</v>
      </c>
      <c r="E42" s="53" t="s">
        <v>32</v>
      </c>
      <c r="F42" s="53" t="s">
        <v>33</v>
      </c>
      <c r="G42" s="61">
        <v>6400</v>
      </c>
      <c r="H42" s="62">
        <v>45848</v>
      </c>
      <c r="I42" s="61" t="s">
        <v>741</v>
      </c>
      <c r="J42" s="61" t="s">
        <v>22</v>
      </c>
      <c r="K42" s="60">
        <v>352502107</v>
      </c>
      <c r="L42" s="53">
        <v>9347726061</v>
      </c>
      <c r="M42" s="55" t="s">
        <v>973</v>
      </c>
    </row>
    <row r="43" spans="1:13" x14ac:dyDescent="0.25">
      <c r="A43" s="53" t="s">
        <v>12</v>
      </c>
      <c r="B43" s="53" t="s">
        <v>13</v>
      </c>
      <c r="C43" s="53" t="s">
        <v>14</v>
      </c>
      <c r="D43" s="53" t="s">
        <v>152</v>
      </c>
      <c r="E43" s="53" t="s">
        <v>153</v>
      </c>
      <c r="F43" s="53" t="s">
        <v>154</v>
      </c>
      <c r="G43" s="61">
        <v>6400</v>
      </c>
      <c r="H43" s="62">
        <v>45848</v>
      </c>
      <c r="I43" s="61" t="s">
        <v>903</v>
      </c>
      <c r="J43" s="61" t="s">
        <v>904</v>
      </c>
      <c r="K43" s="60">
        <v>352502110</v>
      </c>
      <c r="L43" s="60">
        <v>6206444704</v>
      </c>
      <c r="M43" s="55" t="s">
        <v>973</v>
      </c>
    </row>
    <row r="44" spans="1:13" x14ac:dyDescent="0.25">
      <c r="A44" s="53" t="s">
        <v>12</v>
      </c>
      <c r="B44" s="53" t="s">
        <v>13</v>
      </c>
      <c r="C44" s="53" t="s">
        <v>14</v>
      </c>
      <c r="D44" s="53" t="s">
        <v>108</v>
      </c>
      <c r="E44" s="53" t="s">
        <v>109</v>
      </c>
      <c r="F44" s="53" t="s">
        <v>110</v>
      </c>
      <c r="G44" s="61">
        <v>7500</v>
      </c>
      <c r="H44" s="62">
        <v>45849</v>
      </c>
      <c r="I44" s="61" t="s">
        <v>898</v>
      </c>
      <c r="J44" s="61" t="s">
        <v>899</v>
      </c>
      <c r="K44" s="60">
        <v>352502125</v>
      </c>
      <c r="L44" s="53">
        <v>7870570436</v>
      </c>
      <c r="M44" s="55" t="s">
        <v>974</v>
      </c>
    </row>
    <row r="45" spans="1:13" x14ac:dyDescent="0.25">
      <c r="A45" s="64" t="s">
        <v>12</v>
      </c>
      <c r="B45" s="64" t="s">
        <v>13</v>
      </c>
      <c r="C45" s="64" t="s">
        <v>14</v>
      </c>
      <c r="D45" s="64" t="s">
        <v>152</v>
      </c>
      <c r="E45" s="64" t="s">
        <v>153</v>
      </c>
      <c r="F45" s="64" t="s">
        <v>154</v>
      </c>
      <c r="G45" s="64">
        <v>7500</v>
      </c>
      <c r="H45" s="65">
        <v>45849</v>
      </c>
      <c r="I45" s="64" t="s">
        <v>903</v>
      </c>
      <c r="J45" s="64" t="s">
        <v>904</v>
      </c>
      <c r="K45" s="66">
        <v>352502123</v>
      </c>
      <c r="L45" s="66">
        <v>6206444704</v>
      </c>
      <c r="M45" s="64" t="s">
        <v>974</v>
      </c>
    </row>
    <row r="46" spans="1:13" x14ac:dyDescent="0.25">
      <c r="A46" s="64" t="s">
        <v>12</v>
      </c>
      <c r="B46" s="64" t="s">
        <v>13</v>
      </c>
      <c r="C46" s="64" t="s">
        <v>14</v>
      </c>
      <c r="D46" s="64" t="s">
        <v>31</v>
      </c>
      <c r="E46" s="64" t="s">
        <v>32</v>
      </c>
      <c r="F46" s="64" t="s">
        <v>33</v>
      </c>
      <c r="G46" s="64">
        <v>6400</v>
      </c>
      <c r="H46" s="65">
        <v>45849</v>
      </c>
      <c r="I46" s="64" t="s">
        <v>741</v>
      </c>
      <c r="J46" s="64" t="s">
        <v>22</v>
      </c>
      <c r="K46" s="66">
        <v>352502126</v>
      </c>
      <c r="L46" s="64">
        <v>9347726061</v>
      </c>
      <c r="M46" s="64" t="s">
        <v>975</v>
      </c>
    </row>
    <row r="47" spans="1:13" x14ac:dyDescent="0.25">
      <c r="A47" s="64" t="s">
        <v>12</v>
      </c>
      <c r="B47" s="64" t="s">
        <v>13</v>
      </c>
      <c r="C47" s="64" t="s">
        <v>14</v>
      </c>
      <c r="D47" s="64" t="s">
        <v>95</v>
      </c>
      <c r="E47" s="64" t="s">
        <v>96</v>
      </c>
      <c r="F47" s="64" t="s">
        <v>33</v>
      </c>
      <c r="G47" s="64">
        <v>6400</v>
      </c>
      <c r="H47" s="65">
        <v>45849</v>
      </c>
      <c r="I47" s="64" t="s">
        <v>571</v>
      </c>
      <c r="J47" s="64" t="s">
        <v>59</v>
      </c>
      <c r="K47" s="66">
        <v>352502131</v>
      </c>
      <c r="L47" s="64">
        <v>8159025834</v>
      </c>
      <c r="M47" s="64" t="s">
        <v>975</v>
      </c>
    </row>
    <row r="48" spans="1:13" x14ac:dyDescent="0.25">
      <c r="A48" s="53" t="s">
        <v>12</v>
      </c>
      <c r="B48" s="53" t="s">
        <v>13</v>
      </c>
      <c r="C48" s="53" t="s">
        <v>14</v>
      </c>
      <c r="D48" s="53" t="s">
        <v>435</v>
      </c>
      <c r="E48" s="53">
        <v>31095925572</v>
      </c>
      <c r="F48" s="60" t="s">
        <v>33</v>
      </c>
      <c r="G48" s="61">
        <v>6400</v>
      </c>
      <c r="H48" s="62">
        <v>45849</v>
      </c>
      <c r="I48" s="61" t="s">
        <v>966</v>
      </c>
      <c r="J48" s="61" t="s">
        <v>967</v>
      </c>
      <c r="K48" s="60">
        <v>352502122</v>
      </c>
      <c r="L48" s="60">
        <v>8084080392</v>
      </c>
      <c r="M48" s="55" t="s">
        <v>975</v>
      </c>
    </row>
    <row r="49" spans="1:13" x14ac:dyDescent="0.25">
      <c r="A49" s="64" t="s">
        <v>12</v>
      </c>
      <c r="B49" s="64" t="s">
        <v>13</v>
      </c>
      <c r="C49" s="64" t="s">
        <v>14</v>
      </c>
      <c r="D49" s="64" t="s">
        <v>936</v>
      </c>
      <c r="E49" s="67">
        <v>29230100027591</v>
      </c>
      <c r="F49" s="64" t="s">
        <v>937</v>
      </c>
      <c r="G49" s="64">
        <v>6400</v>
      </c>
      <c r="H49" s="65">
        <v>45849</v>
      </c>
      <c r="I49" s="64" t="s">
        <v>895</v>
      </c>
      <c r="J49" s="64" t="s">
        <v>896</v>
      </c>
      <c r="K49" s="66">
        <v>352502132</v>
      </c>
      <c r="L49" s="64">
        <v>6202164591</v>
      </c>
      <c r="M49" s="64" t="s">
        <v>975</v>
      </c>
    </row>
    <row r="50" spans="1:13" x14ac:dyDescent="0.25">
      <c r="A50" s="53" t="s">
        <v>12</v>
      </c>
      <c r="B50" s="53" t="s">
        <v>13</v>
      </c>
      <c r="C50" s="53" t="s">
        <v>14</v>
      </c>
      <c r="D50" s="53" t="s">
        <v>95</v>
      </c>
      <c r="E50" s="53" t="s">
        <v>96</v>
      </c>
      <c r="F50" s="53" t="s">
        <v>33</v>
      </c>
      <c r="G50" s="61">
        <v>500</v>
      </c>
      <c r="H50" s="62">
        <v>45849</v>
      </c>
      <c r="I50" s="61" t="s">
        <v>571</v>
      </c>
      <c r="J50" s="61" t="s">
        <v>59</v>
      </c>
      <c r="K50" s="60">
        <v>352502131</v>
      </c>
      <c r="L50" s="53">
        <v>8159025834</v>
      </c>
      <c r="M50" s="55" t="s">
        <v>976</v>
      </c>
    </row>
    <row r="51" spans="1:13" x14ac:dyDescent="0.25">
      <c r="A51" s="53" t="s">
        <v>12</v>
      </c>
      <c r="B51" s="53" t="s">
        <v>13</v>
      </c>
      <c r="C51" s="53" t="s">
        <v>14</v>
      </c>
      <c r="D51" s="53" t="s">
        <v>936</v>
      </c>
      <c r="E51" s="54">
        <v>29230100027591</v>
      </c>
      <c r="F51" s="53" t="s">
        <v>937</v>
      </c>
      <c r="G51" s="61">
        <v>500</v>
      </c>
      <c r="H51" s="62">
        <v>45849</v>
      </c>
      <c r="I51" s="61" t="s">
        <v>895</v>
      </c>
      <c r="J51" s="61" t="s">
        <v>896</v>
      </c>
      <c r="K51" s="60">
        <v>352502132</v>
      </c>
      <c r="L51" s="53">
        <v>6202164591</v>
      </c>
      <c r="M51" s="55" t="s">
        <v>976</v>
      </c>
    </row>
    <row r="52" spans="1:13" x14ac:dyDescent="0.25">
      <c r="A52" s="53" t="s">
        <v>12</v>
      </c>
      <c r="B52" s="53" t="s">
        <v>13</v>
      </c>
      <c r="C52" s="53" t="s">
        <v>14</v>
      </c>
      <c r="D52" s="53" t="s">
        <v>435</v>
      </c>
      <c r="E52" s="53">
        <v>31095925572</v>
      </c>
      <c r="F52" s="60" t="s">
        <v>33</v>
      </c>
      <c r="G52" s="61">
        <v>5700</v>
      </c>
      <c r="H52" s="62">
        <v>45850</v>
      </c>
      <c r="I52" s="61" t="s">
        <v>966</v>
      </c>
      <c r="J52" s="61" t="s">
        <v>967</v>
      </c>
      <c r="K52" s="60">
        <v>352502151</v>
      </c>
      <c r="L52" s="60">
        <v>8084080392</v>
      </c>
      <c r="M52" s="55" t="s">
        <v>977</v>
      </c>
    </row>
    <row r="53" spans="1:13" x14ac:dyDescent="0.25">
      <c r="A53" s="53" t="s">
        <v>12</v>
      </c>
      <c r="B53" s="53" t="s">
        <v>13</v>
      </c>
      <c r="C53" s="53" t="s">
        <v>14</v>
      </c>
      <c r="D53" s="53" t="s">
        <v>95</v>
      </c>
      <c r="E53" s="53" t="s">
        <v>96</v>
      </c>
      <c r="F53" s="53" t="s">
        <v>33</v>
      </c>
      <c r="G53" s="61">
        <v>500</v>
      </c>
      <c r="H53" s="62">
        <v>45850</v>
      </c>
      <c r="I53" s="61" t="s">
        <v>571</v>
      </c>
      <c r="J53" s="61" t="s">
        <v>59</v>
      </c>
      <c r="K53" s="60">
        <v>352502131</v>
      </c>
      <c r="L53" s="53">
        <v>8159025834</v>
      </c>
      <c r="M53" s="55" t="s">
        <v>976</v>
      </c>
    </row>
    <row r="54" spans="1:13" x14ac:dyDescent="0.25">
      <c r="A54" s="53" t="s">
        <v>12</v>
      </c>
      <c r="B54" s="53" t="s">
        <v>13</v>
      </c>
      <c r="C54" s="53" t="s">
        <v>14</v>
      </c>
      <c r="D54" s="53" t="s">
        <v>936</v>
      </c>
      <c r="E54" s="54">
        <v>29230100027591</v>
      </c>
      <c r="F54" s="53" t="s">
        <v>937</v>
      </c>
      <c r="G54" s="61">
        <v>500</v>
      </c>
      <c r="H54" s="62">
        <v>45850</v>
      </c>
      <c r="I54" s="61" t="s">
        <v>895</v>
      </c>
      <c r="J54" s="61" t="s">
        <v>896</v>
      </c>
      <c r="K54" s="60">
        <v>352502132</v>
      </c>
      <c r="L54" s="53">
        <v>6202164591</v>
      </c>
      <c r="M54" s="55" t="s">
        <v>976</v>
      </c>
    </row>
    <row r="55" spans="1:13" x14ac:dyDescent="0.25">
      <c r="A55" s="53" t="s">
        <v>12</v>
      </c>
      <c r="B55" s="53" t="s">
        <v>13</v>
      </c>
      <c r="C55" s="53" t="s">
        <v>14</v>
      </c>
      <c r="D55" s="53" t="s">
        <v>978</v>
      </c>
      <c r="E55" s="69">
        <v>922010007032459</v>
      </c>
      <c r="F55" s="53" t="s">
        <v>979</v>
      </c>
      <c r="G55" s="53">
        <v>4000</v>
      </c>
      <c r="H55" s="62">
        <v>45850</v>
      </c>
      <c r="I55" s="61" t="s">
        <v>667</v>
      </c>
      <c r="J55" s="53" t="s">
        <v>98</v>
      </c>
      <c r="K55" s="53">
        <v>352502139</v>
      </c>
      <c r="L55" s="53">
        <v>9002149111</v>
      </c>
      <c r="M55" s="55" t="s">
        <v>980</v>
      </c>
    </row>
    <row r="56" spans="1:13" s="68" customFormat="1" x14ac:dyDescent="0.25">
      <c r="A56" s="61" t="s">
        <v>12</v>
      </c>
      <c r="B56" s="61" t="s">
        <v>13</v>
      </c>
      <c r="C56" s="61" t="s">
        <v>14</v>
      </c>
      <c r="D56" s="61" t="s">
        <v>31</v>
      </c>
      <c r="E56" s="61" t="s">
        <v>32</v>
      </c>
      <c r="F56" s="61" t="s">
        <v>33</v>
      </c>
      <c r="G56" s="53">
        <v>4000</v>
      </c>
      <c r="H56" s="62">
        <v>45850</v>
      </c>
      <c r="I56" s="61" t="s">
        <v>741</v>
      </c>
      <c r="J56" s="61" t="s">
        <v>22</v>
      </c>
      <c r="K56" s="53">
        <v>352502126</v>
      </c>
      <c r="L56" s="61">
        <v>9347726061</v>
      </c>
      <c r="M56" s="55" t="s">
        <v>980</v>
      </c>
    </row>
    <row r="57" spans="1:13" x14ac:dyDescent="0.25">
      <c r="A57" s="53" t="s">
        <v>12</v>
      </c>
      <c r="B57" s="53" t="s">
        <v>13</v>
      </c>
      <c r="C57" s="53" t="s">
        <v>14</v>
      </c>
      <c r="D57" s="53" t="s">
        <v>108</v>
      </c>
      <c r="E57" s="53" t="s">
        <v>109</v>
      </c>
      <c r="F57" s="53" t="s">
        <v>110</v>
      </c>
      <c r="G57" s="61">
        <v>1000</v>
      </c>
      <c r="H57" s="62">
        <v>45852</v>
      </c>
      <c r="I57" s="61" t="s">
        <v>898</v>
      </c>
      <c r="J57" s="61" t="s">
        <v>899</v>
      </c>
      <c r="K57" s="60">
        <v>352502176</v>
      </c>
      <c r="L57" s="53">
        <v>7870570436</v>
      </c>
      <c r="M57" s="55" t="s">
        <v>981</v>
      </c>
    </row>
    <row r="58" spans="1:13" x14ac:dyDescent="0.25">
      <c r="A58" s="53" t="s">
        <v>12</v>
      </c>
      <c r="B58" s="53" t="s">
        <v>13</v>
      </c>
      <c r="C58" s="53" t="s">
        <v>14</v>
      </c>
      <c r="D58" s="53" t="s">
        <v>108</v>
      </c>
      <c r="E58" s="53" t="s">
        <v>109</v>
      </c>
      <c r="F58" s="53" t="s">
        <v>110</v>
      </c>
      <c r="G58" s="61">
        <v>6400</v>
      </c>
      <c r="H58" s="62">
        <v>45852</v>
      </c>
      <c r="I58" s="61" t="s">
        <v>898</v>
      </c>
      <c r="J58" s="61" t="s">
        <v>899</v>
      </c>
      <c r="K58" s="60">
        <v>352502176</v>
      </c>
      <c r="L58" s="53">
        <v>7870570436</v>
      </c>
      <c r="M58" s="55" t="s">
        <v>982</v>
      </c>
    </row>
    <row r="59" spans="1:13" x14ac:dyDescent="0.25">
      <c r="A59" s="53" t="s">
        <v>12</v>
      </c>
      <c r="B59" s="53" t="s">
        <v>13</v>
      </c>
      <c r="C59" s="53" t="s">
        <v>14</v>
      </c>
      <c r="D59" s="53" t="s">
        <v>978</v>
      </c>
      <c r="E59" s="69">
        <v>922010007032459</v>
      </c>
      <c r="F59" s="53" t="s">
        <v>979</v>
      </c>
      <c r="G59" s="53">
        <v>6400</v>
      </c>
      <c r="H59" s="62">
        <v>45852</v>
      </c>
      <c r="I59" s="61" t="s">
        <v>667</v>
      </c>
      <c r="J59" s="53" t="s">
        <v>98</v>
      </c>
      <c r="K59" s="53">
        <v>352502172</v>
      </c>
      <c r="L59" s="53">
        <v>9002149111</v>
      </c>
      <c r="M59" s="55" t="s">
        <v>982</v>
      </c>
    </row>
    <row r="60" spans="1:13" s="68" customFormat="1" x14ac:dyDescent="0.25">
      <c r="A60" s="61" t="s">
        <v>12</v>
      </c>
      <c r="B60" s="61" t="s">
        <v>13</v>
      </c>
      <c r="C60" s="61" t="s">
        <v>14</v>
      </c>
      <c r="D60" s="61" t="s">
        <v>31</v>
      </c>
      <c r="E60" s="61" t="s">
        <v>32</v>
      </c>
      <c r="F60" s="61" t="s">
        <v>33</v>
      </c>
      <c r="G60" s="53">
        <v>6400</v>
      </c>
      <c r="H60" s="62">
        <v>45852</v>
      </c>
      <c r="I60" s="61" t="s">
        <v>741</v>
      </c>
      <c r="J60" s="61" t="s">
        <v>22</v>
      </c>
      <c r="K60" s="53">
        <v>352502173</v>
      </c>
      <c r="L60" s="61">
        <v>9347726061</v>
      </c>
      <c r="M60" s="55" t="s">
        <v>982</v>
      </c>
    </row>
    <row r="61" spans="1:13" x14ac:dyDescent="0.25">
      <c r="A61" s="53" t="s">
        <v>12</v>
      </c>
      <c r="B61" s="53" t="s">
        <v>13</v>
      </c>
      <c r="C61" s="53" t="s">
        <v>14</v>
      </c>
      <c r="D61" s="53" t="s">
        <v>152</v>
      </c>
      <c r="E61" s="53" t="s">
        <v>153</v>
      </c>
      <c r="F61" s="53" t="s">
        <v>154</v>
      </c>
      <c r="G61" s="61">
        <v>5900</v>
      </c>
      <c r="H61" s="62">
        <v>45852</v>
      </c>
      <c r="I61" s="61" t="s">
        <v>903</v>
      </c>
      <c r="J61" s="61" t="s">
        <v>904</v>
      </c>
      <c r="K61" s="53">
        <v>352502174</v>
      </c>
      <c r="L61" s="60">
        <v>6206444704</v>
      </c>
      <c r="M61" s="55" t="s">
        <v>982</v>
      </c>
    </row>
    <row r="62" spans="1:13" x14ac:dyDescent="0.25">
      <c r="A62" s="53" t="s">
        <v>12</v>
      </c>
      <c r="B62" s="53" t="s">
        <v>13</v>
      </c>
      <c r="C62" s="53" t="s">
        <v>14</v>
      </c>
      <c r="D62" s="53" t="s">
        <v>435</v>
      </c>
      <c r="E62" s="53">
        <v>31095925572</v>
      </c>
      <c r="F62" s="60" t="s">
        <v>33</v>
      </c>
      <c r="G62" s="61">
        <v>6400</v>
      </c>
      <c r="H62" s="62">
        <v>45852</v>
      </c>
      <c r="I62" s="61" t="s">
        <v>966</v>
      </c>
      <c r="J62" s="61" t="s">
        <v>967</v>
      </c>
      <c r="K62" s="53">
        <v>352502180</v>
      </c>
      <c r="L62" s="60">
        <v>8084080392</v>
      </c>
      <c r="M62" s="55" t="s">
        <v>982</v>
      </c>
    </row>
    <row r="63" spans="1:13" x14ac:dyDescent="0.25">
      <c r="A63" s="53" t="s">
        <v>12</v>
      </c>
      <c r="B63" s="53" t="s">
        <v>13</v>
      </c>
      <c r="C63" s="53" t="s">
        <v>14</v>
      </c>
      <c r="D63" s="53" t="s">
        <v>95</v>
      </c>
      <c r="E63" s="53" t="s">
        <v>96</v>
      </c>
      <c r="F63" s="53" t="s">
        <v>33</v>
      </c>
      <c r="G63" s="61">
        <v>3350</v>
      </c>
      <c r="H63" s="62">
        <v>45852</v>
      </c>
      <c r="I63" s="61" t="s">
        <v>571</v>
      </c>
      <c r="J63" s="61" t="s">
        <v>59</v>
      </c>
      <c r="K63" s="60">
        <v>352502181</v>
      </c>
      <c r="L63" s="53">
        <v>8159025834</v>
      </c>
      <c r="M63" s="55" t="s">
        <v>983</v>
      </c>
    </row>
    <row r="64" spans="1:13" x14ac:dyDescent="0.25">
      <c r="A64" s="53" t="s">
        <v>12</v>
      </c>
      <c r="B64" s="53" t="s">
        <v>13</v>
      </c>
      <c r="C64" s="53" t="s">
        <v>14</v>
      </c>
      <c r="D64" s="53" t="s">
        <v>936</v>
      </c>
      <c r="E64" s="54">
        <v>29230100027591</v>
      </c>
      <c r="F64" s="53" t="s">
        <v>937</v>
      </c>
      <c r="G64" s="61">
        <v>6400</v>
      </c>
      <c r="H64" s="62">
        <v>45852</v>
      </c>
      <c r="I64" s="61" t="s">
        <v>895</v>
      </c>
      <c r="J64" s="61" t="s">
        <v>896</v>
      </c>
      <c r="K64" s="60">
        <v>352502192</v>
      </c>
      <c r="L64" s="53">
        <v>6202164591</v>
      </c>
      <c r="M64" s="55" t="s">
        <v>982</v>
      </c>
    </row>
    <row r="65" spans="1:13" x14ac:dyDescent="0.25">
      <c r="A65" s="53" t="s">
        <v>12</v>
      </c>
      <c r="B65" s="53" t="s">
        <v>13</v>
      </c>
      <c r="C65" s="53" t="s">
        <v>14</v>
      </c>
      <c r="D65" s="53" t="s">
        <v>95</v>
      </c>
      <c r="E65" s="53" t="s">
        <v>96</v>
      </c>
      <c r="F65" s="53" t="s">
        <v>33</v>
      </c>
      <c r="G65" s="61">
        <v>6100</v>
      </c>
      <c r="H65" s="62">
        <v>45853</v>
      </c>
      <c r="I65" s="61" t="s">
        <v>571</v>
      </c>
      <c r="J65" s="61" t="s">
        <v>59</v>
      </c>
      <c r="K65" s="60">
        <v>352502202</v>
      </c>
      <c r="L65" s="53">
        <v>8159025834</v>
      </c>
      <c r="M65" s="55" t="s">
        <v>984</v>
      </c>
    </row>
    <row r="66" spans="1:13" x14ac:dyDescent="0.25">
      <c r="A66" s="53" t="s">
        <v>12</v>
      </c>
      <c r="B66" s="53" t="s">
        <v>13</v>
      </c>
      <c r="C66" s="53" t="s">
        <v>14</v>
      </c>
      <c r="D66" s="53" t="s">
        <v>144</v>
      </c>
      <c r="E66" s="53">
        <v>42542201947</v>
      </c>
      <c r="F66" s="53" t="s">
        <v>145</v>
      </c>
      <c r="G66" s="53">
        <v>3000</v>
      </c>
      <c r="H66" s="62">
        <v>45853</v>
      </c>
      <c r="I66" s="53" t="s">
        <v>652</v>
      </c>
      <c r="J66" s="53" t="s">
        <v>147</v>
      </c>
      <c r="K66" s="53">
        <v>352502204</v>
      </c>
      <c r="L66" s="53">
        <v>7765824237</v>
      </c>
      <c r="M66" s="55" t="s">
        <v>984</v>
      </c>
    </row>
    <row r="67" spans="1:13" x14ac:dyDescent="0.25">
      <c r="A67" s="53" t="s">
        <v>12</v>
      </c>
      <c r="B67" s="53" t="s">
        <v>13</v>
      </c>
      <c r="C67" s="53" t="s">
        <v>14</v>
      </c>
      <c r="D67" s="53" t="s">
        <v>435</v>
      </c>
      <c r="E67" s="53">
        <v>31095925572</v>
      </c>
      <c r="F67" s="60" t="s">
        <v>33</v>
      </c>
      <c r="G67" s="61">
        <v>6400</v>
      </c>
      <c r="H67" s="62">
        <v>45854</v>
      </c>
      <c r="I67" s="61" t="s">
        <v>966</v>
      </c>
      <c r="J67" s="61" t="s">
        <v>967</v>
      </c>
      <c r="K67" s="53">
        <v>352502194</v>
      </c>
      <c r="L67" s="60">
        <v>8084080392</v>
      </c>
      <c r="M67" s="55" t="s">
        <v>985</v>
      </c>
    </row>
    <row r="68" spans="1:13" s="68" customFormat="1" x14ac:dyDescent="0.25">
      <c r="A68" s="61" t="s">
        <v>12</v>
      </c>
      <c r="B68" s="61" t="s">
        <v>13</v>
      </c>
      <c r="C68" s="61" t="s">
        <v>14</v>
      </c>
      <c r="D68" s="61" t="s">
        <v>31</v>
      </c>
      <c r="E68" s="61" t="s">
        <v>32</v>
      </c>
      <c r="F68" s="61" t="s">
        <v>33</v>
      </c>
      <c r="G68" s="53">
        <v>6400</v>
      </c>
      <c r="H68" s="62">
        <v>45854</v>
      </c>
      <c r="I68" s="61" t="s">
        <v>741</v>
      </c>
      <c r="J68" s="61" t="s">
        <v>22</v>
      </c>
      <c r="K68" s="53">
        <v>352502185</v>
      </c>
      <c r="L68" s="61">
        <v>9347726061</v>
      </c>
      <c r="M68" s="55" t="s">
        <v>985</v>
      </c>
    </row>
    <row r="69" spans="1:13" x14ac:dyDescent="0.25">
      <c r="A69" s="53" t="s">
        <v>12</v>
      </c>
      <c r="B69" s="53" t="s">
        <v>13</v>
      </c>
      <c r="C69" s="53" t="s">
        <v>14</v>
      </c>
      <c r="D69" s="53" t="s">
        <v>152</v>
      </c>
      <c r="E69" s="53" t="s">
        <v>153</v>
      </c>
      <c r="F69" s="53" t="s">
        <v>154</v>
      </c>
      <c r="G69" s="53">
        <v>6400</v>
      </c>
      <c r="H69" s="62">
        <v>45854</v>
      </c>
      <c r="I69" s="61" t="s">
        <v>903</v>
      </c>
      <c r="J69" s="61" t="s">
        <v>904</v>
      </c>
      <c r="K69" s="53">
        <v>352502195</v>
      </c>
      <c r="L69" s="60">
        <v>6206444704</v>
      </c>
      <c r="M69" s="55" t="s">
        <v>985</v>
      </c>
    </row>
    <row r="70" spans="1:13" x14ac:dyDescent="0.25">
      <c r="A70" s="53" t="s">
        <v>12</v>
      </c>
      <c r="B70" s="53" t="s">
        <v>13</v>
      </c>
      <c r="C70" s="53" t="s">
        <v>14</v>
      </c>
      <c r="D70" s="53" t="s">
        <v>936</v>
      </c>
      <c r="E70" s="54">
        <v>29230100027591</v>
      </c>
      <c r="F70" s="53" t="s">
        <v>937</v>
      </c>
      <c r="G70" s="61">
        <v>7500</v>
      </c>
      <c r="H70" s="62">
        <v>45854</v>
      </c>
      <c r="I70" s="61" t="s">
        <v>895</v>
      </c>
      <c r="J70" s="61" t="s">
        <v>896</v>
      </c>
      <c r="K70" s="60">
        <v>352502196</v>
      </c>
      <c r="L70" s="53">
        <v>6202164591</v>
      </c>
      <c r="M70" s="55" t="s">
        <v>986</v>
      </c>
    </row>
    <row r="71" spans="1:13" x14ac:dyDescent="0.25">
      <c r="A71" s="53" t="s">
        <v>12</v>
      </c>
      <c r="B71" s="53" t="s">
        <v>13</v>
      </c>
      <c r="C71" s="53" t="s">
        <v>14</v>
      </c>
      <c r="D71" s="53" t="s">
        <v>36</v>
      </c>
      <c r="E71" s="53" t="s">
        <v>37</v>
      </c>
      <c r="F71" s="53" t="s">
        <v>38</v>
      </c>
      <c r="G71" s="61">
        <v>7500</v>
      </c>
      <c r="H71" s="62">
        <v>45854</v>
      </c>
      <c r="I71" s="53" t="s">
        <v>902</v>
      </c>
      <c r="J71" s="53" t="s">
        <v>901</v>
      </c>
      <c r="K71" s="53" t="s">
        <v>862</v>
      </c>
      <c r="L71" s="53">
        <v>9358936441</v>
      </c>
      <c r="M71" s="55" t="s">
        <v>986</v>
      </c>
    </row>
    <row r="72" spans="1:13" s="68" customFormat="1" x14ac:dyDescent="0.25">
      <c r="A72" s="61" t="s">
        <v>12</v>
      </c>
      <c r="B72" s="61" t="s">
        <v>13</v>
      </c>
      <c r="C72" s="61" t="s">
        <v>14</v>
      </c>
      <c r="D72" s="61" t="s">
        <v>31</v>
      </c>
      <c r="E72" s="61" t="s">
        <v>32</v>
      </c>
      <c r="F72" s="61" t="s">
        <v>33</v>
      </c>
      <c r="G72" s="53">
        <v>6000</v>
      </c>
      <c r="H72" s="62">
        <v>45855</v>
      </c>
      <c r="I72" s="61" t="s">
        <v>741</v>
      </c>
      <c r="J72" s="61" t="s">
        <v>22</v>
      </c>
      <c r="K72" s="53">
        <v>352502218</v>
      </c>
      <c r="L72" s="61">
        <v>9347726061</v>
      </c>
      <c r="M72" s="55" t="s">
        <v>987</v>
      </c>
    </row>
    <row r="73" spans="1:13" x14ac:dyDescent="0.25">
      <c r="A73" s="53" t="s">
        <v>12</v>
      </c>
      <c r="B73" s="53" t="s">
        <v>13</v>
      </c>
      <c r="C73" s="53" t="s">
        <v>14</v>
      </c>
      <c r="D73" s="53" t="s">
        <v>978</v>
      </c>
      <c r="E73" s="69">
        <v>922010007032459</v>
      </c>
      <c r="F73" s="53" t="s">
        <v>979</v>
      </c>
      <c r="G73" s="53">
        <v>5200</v>
      </c>
      <c r="H73" s="62">
        <v>45855</v>
      </c>
      <c r="I73" s="61" t="s">
        <v>667</v>
      </c>
      <c r="J73" s="53" t="s">
        <v>98</v>
      </c>
      <c r="K73" s="53">
        <v>352502199</v>
      </c>
      <c r="L73" s="53">
        <v>9002149111</v>
      </c>
      <c r="M73" s="55" t="s">
        <v>988</v>
      </c>
    </row>
    <row r="74" spans="1:13" x14ac:dyDescent="0.25">
      <c r="A74" s="53" t="s">
        <v>12</v>
      </c>
      <c r="B74" s="53" t="s">
        <v>13</v>
      </c>
      <c r="C74" s="53" t="s">
        <v>14</v>
      </c>
      <c r="D74" s="53" t="s">
        <v>95</v>
      </c>
      <c r="E74" s="53" t="s">
        <v>96</v>
      </c>
      <c r="F74" s="53" t="s">
        <v>33</v>
      </c>
      <c r="G74" s="61">
        <v>6400</v>
      </c>
      <c r="H74" s="62">
        <v>45856</v>
      </c>
      <c r="I74" s="61" t="s">
        <v>571</v>
      </c>
      <c r="J74" s="61" t="s">
        <v>59</v>
      </c>
      <c r="K74" s="60">
        <v>352502206</v>
      </c>
      <c r="L74" s="53">
        <v>8159025834</v>
      </c>
      <c r="M74" s="55" t="s">
        <v>989</v>
      </c>
    </row>
    <row r="75" spans="1:13" x14ac:dyDescent="0.25">
      <c r="A75" s="53" t="s">
        <v>12</v>
      </c>
      <c r="B75" s="53" t="s">
        <v>13</v>
      </c>
      <c r="C75" s="53" t="s">
        <v>14</v>
      </c>
      <c r="D75" s="53" t="s">
        <v>144</v>
      </c>
      <c r="E75" s="53">
        <v>42542201947</v>
      </c>
      <c r="F75" s="53" t="s">
        <v>145</v>
      </c>
      <c r="G75" s="61">
        <v>6400</v>
      </c>
      <c r="H75" s="62">
        <v>45856</v>
      </c>
      <c r="I75" s="53" t="s">
        <v>652</v>
      </c>
      <c r="J75" s="53" t="s">
        <v>147</v>
      </c>
      <c r="K75" s="53">
        <v>352502209</v>
      </c>
      <c r="L75" s="53">
        <v>7765824237</v>
      </c>
      <c r="M75" s="55" t="s">
        <v>989</v>
      </c>
    </row>
    <row r="76" spans="1:13" x14ac:dyDescent="0.25">
      <c r="A76" s="53" t="s">
        <v>12</v>
      </c>
      <c r="B76" s="53" t="s">
        <v>13</v>
      </c>
      <c r="C76" s="53" t="s">
        <v>14</v>
      </c>
      <c r="D76" s="53" t="s">
        <v>978</v>
      </c>
      <c r="E76" s="69">
        <v>922010007032459</v>
      </c>
      <c r="F76" s="53" t="s">
        <v>979</v>
      </c>
      <c r="G76" s="53">
        <v>5200</v>
      </c>
      <c r="H76" s="62">
        <v>45856</v>
      </c>
      <c r="I76" s="61" t="s">
        <v>667</v>
      </c>
      <c r="J76" s="53" t="s">
        <v>98</v>
      </c>
      <c r="K76" s="53">
        <v>352502238</v>
      </c>
      <c r="L76" s="53">
        <v>9002149111</v>
      </c>
      <c r="M76" s="55" t="s">
        <v>990</v>
      </c>
    </row>
    <row r="77" spans="1:13" x14ac:dyDescent="0.25">
      <c r="A77" s="53" t="s">
        <v>12</v>
      </c>
      <c r="B77" s="53" t="s">
        <v>13</v>
      </c>
      <c r="C77" s="53" t="s">
        <v>14</v>
      </c>
      <c r="D77" s="53" t="s">
        <v>36</v>
      </c>
      <c r="E77" s="53" t="s">
        <v>37</v>
      </c>
      <c r="F77" s="53" t="s">
        <v>38</v>
      </c>
      <c r="G77" s="61">
        <v>500</v>
      </c>
      <c r="H77" s="62">
        <v>45857</v>
      </c>
      <c r="I77" s="53" t="s">
        <v>902</v>
      </c>
      <c r="J77" s="53" t="s">
        <v>901</v>
      </c>
      <c r="K77" s="53">
        <v>352502270</v>
      </c>
      <c r="L77" s="53">
        <v>9358936441</v>
      </c>
      <c r="M77" s="55" t="s">
        <v>991</v>
      </c>
    </row>
    <row r="78" spans="1:13" x14ac:dyDescent="0.25">
      <c r="A78" s="53" t="s">
        <v>12</v>
      </c>
      <c r="B78" s="53" t="s">
        <v>13</v>
      </c>
      <c r="C78" s="53" t="s">
        <v>14</v>
      </c>
      <c r="D78" s="53" t="s">
        <v>95</v>
      </c>
      <c r="E78" s="53" t="s">
        <v>96</v>
      </c>
      <c r="F78" s="53" t="s">
        <v>33</v>
      </c>
      <c r="G78" s="61">
        <v>6400</v>
      </c>
      <c r="H78" s="62">
        <v>45857</v>
      </c>
      <c r="I78" s="61" t="s">
        <v>571</v>
      </c>
      <c r="J78" s="61" t="s">
        <v>59</v>
      </c>
      <c r="K78" s="53">
        <v>352502265</v>
      </c>
      <c r="L78" s="53">
        <v>8159025834</v>
      </c>
      <c r="M78" s="55" t="s">
        <v>992</v>
      </c>
    </row>
    <row r="79" spans="1:13" x14ac:dyDescent="0.25">
      <c r="A79" s="53" t="s">
        <v>12</v>
      </c>
      <c r="B79" s="53" t="s">
        <v>13</v>
      </c>
      <c r="C79" s="53" t="s">
        <v>14</v>
      </c>
      <c r="D79" s="53" t="s">
        <v>993</v>
      </c>
      <c r="E79" s="69">
        <v>50100683547664</v>
      </c>
      <c r="F79" s="60" t="s">
        <v>994</v>
      </c>
      <c r="G79" s="61">
        <v>6400</v>
      </c>
      <c r="H79" s="62">
        <v>45857</v>
      </c>
      <c r="I79" s="61" t="s">
        <v>593</v>
      </c>
      <c r="J79" s="61" t="s">
        <v>76</v>
      </c>
      <c r="K79" s="53">
        <v>352502243</v>
      </c>
      <c r="L79" s="60">
        <v>8093441726</v>
      </c>
      <c r="M79" s="55" t="s">
        <v>992</v>
      </c>
    </row>
    <row r="80" spans="1:13" x14ac:dyDescent="0.25">
      <c r="A80" s="53" t="s">
        <v>12</v>
      </c>
      <c r="B80" s="53" t="s">
        <v>13</v>
      </c>
      <c r="C80" s="53" t="s">
        <v>14</v>
      </c>
      <c r="D80" s="53" t="s">
        <v>152</v>
      </c>
      <c r="E80" s="53" t="s">
        <v>153</v>
      </c>
      <c r="F80" s="53" t="s">
        <v>154</v>
      </c>
      <c r="G80" s="53">
        <v>5250</v>
      </c>
      <c r="H80" s="62">
        <v>45857</v>
      </c>
      <c r="I80" s="61" t="s">
        <v>903</v>
      </c>
      <c r="J80" s="61" t="s">
        <v>904</v>
      </c>
      <c r="K80" s="53">
        <v>352502274</v>
      </c>
      <c r="L80" s="60">
        <v>6206444704</v>
      </c>
      <c r="M80" s="55" t="s">
        <v>995</v>
      </c>
    </row>
    <row r="81" spans="1:13" x14ac:dyDescent="0.25">
      <c r="A81" s="53" t="s">
        <v>12</v>
      </c>
      <c r="B81" s="53" t="s">
        <v>13</v>
      </c>
      <c r="C81" s="53" t="s">
        <v>14</v>
      </c>
      <c r="D81" s="53" t="s">
        <v>108</v>
      </c>
      <c r="E81" s="53" t="s">
        <v>109</v>
      </c>
      <c r="F81" s="53" t="s">
        <v>110</v>
      </c>
      <c r="G81" s="53">
        <v>5250</v>
      </c>
      <c r="H81" s="62">
        <v>45857</v>
      </c>
      <c r="I81" s="61" t="s">
        <v>898</v>
      </c>
      <c r="J81" s="61" t="s">
        <v>899</v>
      </c>
      <c r="K81" s="53">
        <v>352502271</v>
      </c>
      <c r="L81" s="53">
        <v>7870570436</v>
      </c>
      <c r="M81" s="55" t="s">
        <v>995</v>
      </c>
    </row>
    <row r="82" spans="1:13" x14ac:dyDescent="0.25">
      <c r="A82" s="53" t="s">
        <v>12</v>
      </c>
      <c r="B82" s="53" t="s">
        <v>13</v>
      </c>
      <c r="C82" s="53" t="s">
        <v>14</v>
      </c>
      <c r="D82" s="53" t="s">
        <v>936</v>
      </c>
      <c r="E82" s="54">
        <v>29230100027591</v>
      </c>
      <c r="F82" s="53" t="s">
        <v>937</v>
      </c>
      <c r="G82" s="61">
        <v>2100</v>
      </c>
      <c r="H82" s="62">
        <v>45857</v>
      </c>
      <c r="I82" s="61" t="s">
        <v>895</v>
      </c>
      <c r="J82" s="61" t="s">
        <v>896</v>
      </c>
      <c r="K82" s="53">
        <v>352502245</v>
      </c>
      <c r="L82" s="53">
        <v>6202164591</v>
      </c>
      <c r="M82" s="55" t="s">
        <v>995</v>
      </c>
    </row>
    <row r="83" spans="1:13" x14ac:dyDescent="0.25">
      <c r="A83" s="53" t="s">
        <v>12</v>
      </c>
      <c r="B83" s="53" t="s">
        <v>13</v>
      </c>
      <c r="C83" s="53" t="s">
        <v>14</v>
      </c>
      <c r="D83" s="53" t="s">
        <v>978</v>
      </c>
      <c r="E83" s="69">
        <v>922010007032459</v>
      </c>
      <c r="F83" s="53" t="s">
        <v>979</v>
      </c>
      <c r="G83" s="53">
        <v>5200</v>
      </c>
      <c r="H83" s="62">
        <v>45857</v>
      </c>
      <c r="I83" s="61" t="s">
        <v>667</v>
      </c>
      <c r="J83" s="53" t="s">
        <v>98</v>
      </c>
      <c r="K83" s="53">
        <v>352502269</v>
      </c>
      <c r="L83" s="53">
        <v>9002149111</v>
      </c>
      <c r="M83" s="55" t="s">
        <v>996</v>
      </c>
    </row>
    <row r="84" spans="1:13" x14ac:dyDescent="0.25">
      <c r="A84" s="53" t="s">
        <v>12</v>
      </c>
      <c r="B84" s="53" t="s">
        <v>13</v>
      </c>
      <c r="C84" s="53" t="s">
        <v>14</v>
      </c>
      <c r="D84" s="53" t="s">
        <v>936</v>
      </c>
      <c r="E84" s="54">
        <v>29230100027591</v>
      </c>
      <c r="F84" s="53" t="s">
        <v>937</v>
      </c>
      <c r="G84" s="61">
        <v>5200</v>
      </c>
      <c r="H84" s="62">
        <v>45859</v>
      </c>
      <c r="I84" s="61" t="s">
        <v>895</v>
      </c>
      <c r="J84" s="61" t="s">
        <v>896</v>
      </c>
      <c r="K84" s="53">
        <v>352502299</v>
      </c>
      <c r="L84" s="53">
        <v>6202164591</v>
      </c>
      <c r="M84" s="55" t="s">
        <v>997</v>
      </c>
    </row>
    <row r="85" spans="1:13" s="68" customFormat="1" x14ac:dyDescent="0.25">
      <c r="A85" s="61" t="s">
        <v>12</v>
      </c>
      <c r="B85" s="61" t="s">
        <v>13</v>
      </c>
      <c r="C85" s="61" t="s">
        <v>14</v>
      </c>
      <c r="D85" s="61" t="s">
        <v>31</v>
      </c>
      <c r="E85" s="61" t="s">
        <v>32</v>
      </c>
      <c r="F85" s="61" t="s">
        <v>33</v>
      </c>
      <c r="G85" s="53">
        <v>5450</v>
      </c>
      <c r="H85" s="62">
        <v>45859</v>
      </c>
      <c r="I85" s="61" t="s">
        <v>741</v>
      </c>
      <c r="J85" s="61" t="s">
        <v>22</v>
      </c>
      <c r="K85" s="53">
        <v>352502272</v>
      </c>
      <c r="L85" s="61">
        <v>9347726061</v>
      </c>
      <c r="M85" s="55" t="s">
        <v>998</v>
      </c>
    </row>
    <row r="86" spans="1:13" x14ac:dyDescent="0.25">
      <c r="A86" s="53" t="s">
        <v>12</v>
      </c>
      <c r="B86" s="53" t="s">
        <v>13</v>
      </c>
      <c r="C86" s="53" t="s">
        <v>14</v>
      </c>
      <c r="D86" s="53" t="s">
        <v>152</v>
      </c>
      <c r="E86" s="53" t="s">
        <v>153</v>
      </c>
      <c r="F86" s="53" t="s">
        <v>154</v>
      </c>
      <c r="G86" s="53">
        <v>5450</v>
      </c>
      <c r="H86" s="62">
        <v>45859</v>
      </c>
      <c r="I86" s="61" t="s">
        <v>903</v>
      </c>
      <c r="J86" s="61" t="s">
        <v>904</v>
      </c>
      <c r="K86" s="53">
        <v>352502298</v>
      </c>
      <c r="L86" s="60">
        <v>6206444704</v>
      </c>
      <c r="M86" s="55" t="s">
        <v>998</v>
      </c>
    </row>
    <row r="87" spans="1:13" x14ac:dyDescent="0.25">
      <c r="A87" s="53" t="s">
        <v>12</v>
      </c>
      <c r="B87" s="53" t="s">
        <v>13</v>
      </c>
      <c r="C87" s="53" t="s">
        <v>14</v>
      </c>
      <c r="D87" s="53" t="s">
        <v>108</v>
      </c>
      <c r="E87" s="53" t="s">
        <v>109</v>
      </c>
      <c r="F87" s="53" t="s">
        <v>110</v>
      </c>
      <c r="G87" s="53">
        <v>5450</v>
      </c>
      <c r="H87" s="62">
        <v>45859</v>
      </c>
      <c r="I87" s="61" t="s">
        <v>898</v>
      </c>
      <c r="J87" s="61" t="s">
        <v>899</v>
      </c>
      <c r="K87" s="53">
        <v>352502297</v>
      </c>
      <c r="L87" s="53">
        <v>7870570436</v>
      </c>
      <c r="M87" s="55" t="s">
        <v>998</v>
      </c>
    </row>
    <row r="88" spans="1:13" x14ac:dyDescent="0.25">
      <c r="A88" s="53" t="s">
        <v>12</v>
      </c>
      <c r="B88" s="53" t="s">
        <v>13</v>
      </c>
      <c r="C88" s="53" t="s">
        <v>14</v>
      </c>
      <c r="D88" s="53" t="s">
        <v>144</v>
      </c>
      <c r="E88" s="53">
        <v>42542201947</v>
      </c>
      <c r="F88" s="53" t="s">
        <v>145</v>
      </c>
      <c r="G88" s="53">
        <v>2500</v>
      </c>
      <c r="H88" s="62">
        <v>45859</v>
      </c>
      <c r="I88" s="53" t="s">
        <v>652</v>
      </c>
      <c r="J88" s="53" t="s">
        <v>147</v>
      </c>
      <c r="K88" s="53">
        <v>352502266</v>
      </c>
      <c r="L88" s="53">
        <v>7765824237</v>
      </c>
      <c r="M88" s="55" t="s">
        <v>999</v>
      </c>
    </row>
    <row r="89" spans="1:13" x14ac:dyDescent="0.25">
      <c r="A89" s="53" t="s">
        <v>12</v>
      </c>
      <c r="B89" s="53" t="s">
        <v>13</v>
      </c>
      <c r="C89" s="53" t="s">
        <v>14</v>
      </c>
      <c r="D89" s="53" t="s">
        <v>48</v>
      </c>
      <c r="E89" s="53" t="s">
        <v>49</v>
      </c>
      <c r="F89" s="53" t="s">
        <v>50</v>
      </c>
      <c r="G89" s="53">
        <v>2500</v>
      </c>
      <c r="H89" s="62">
        <v>45859</v>
      </c>
      <c r="I89" s="53" t="s">
        <v>572</v>
      </c>
      <c r="J89" s="53" t="s">
        <v>34</v>
      </c>
      <c r="K89" s="53">
        <v>352502264</v>
      </c>
      <c r="L89" s="53">
        <v>8520078561</v>
      </c>
      <c r="M89" s="55" t="s">
        <v>999</v>
      </c>
    </row>
    <row r="90" spans="1:13" s="68" customFormat="1" x14ac:dyDescent="0.25">
      <c r="A90" s="61" t="s">
        <v>12</v>
      </c>
      <c r="B90" s="61" t="s">
        <v>13</v>
      </c>
      <c r="C90" s="61" t="s">
        <v>14</v>
      </c>
      <c r="D90" s="61" t="s">
        <v>31</v>
      </c>
      <c r="E90" s="61" t="s">
        <v>32</v>
      </c>
      <c r="F90" s="61" t="s">
        <v>33</v>
      </c>
      <c r="G90" s="53">
        <v>5450</v>
      </c>
      <c r="H90" s="62">
        <v>45860</v>
      </c>
      <c r="I90" s="61" t="s">
        <v>741</v>
      </c>
      <c r="J90" s="61" t="s">
        <v>22</v>
      </c>
      <c r="K90" s="53">
        <v>352502318</v>
      </c>
      <c r="L90" s="61">
        <v>9347726061</v>
      </c>
      <c r="M90" s="55" t="s">
        <v>1000</v>
      </c>
    </row>
    <row r="91" spans="1:13" x14ac:dyDescent="0.25">
      <c r="A91" s="53" t="s">
        <v>12</v>
      </c>
      <c r="B91" s="53" t="s">
        <v>13</v>
      </c>
      <c r="C91" s="53" t="s">
        <v>14</v>
      </c>
      <c r="D91" s="53" t="s">
        <v>152</v>
      </c>
      <c r="E91" s="53" t="s">
        <v>153</v>
      </c>
      <c r="F91" s="53" t="s">
        <v>154</v>
      </c>
      <c r="G91" s="53">
        <v>5450</v>
      </c>
      <c r="H91" s="62">
        <v>45860</v>
      </c>
      <c r="I91" s="61" t="s">
        <v>903</v>
      </c>
      <c r="J91" s="61" t="s">
        <v>904</v>
      </c>
      <c r="K91" s="53">
        <v>352502317</v>
      </c>
      <c r="L91" s="60">
        <v>6206444704</v>
      </c>
      <c r="M91" s="55" t="s">
        <v>1000</v>
      </c>
    </row>
    <row r="92" spans="1:13" x14ac:dyDescent="0.25">
      <c r="A92" s="53" t="s">
        <v>12</v>
      </c>
      <c r="B92" s="53" t="s">
        <v>13</v>
      </c>
      <c r="C92" s="53" t="s">
        <v>14</v>
      </c>
      <c r="D92" s="53" t="s">
        <v>108</v>
      </c>
      <c r="E92" s="53" t="s">
        <v>109</v>
      </c>
      <c r="F92" s="53" t="s">
        <v>110</v>
      </c>
      <c r="G92" s="53">
        <v>5450</v>
      </c>
      <c r="H92" s="62">
        <v>45860</v>
      </c>
      <c r="I92" s="61" t="s">
        <v>898</v>
      </c>
      <c r="J92" s="61" t="s">
        <v>899</v>
      </c>
      <c r="K92" s="53">
        <v>352502316</v>
      </c>
      <c r="L92" s="53">
        <v>7870570436</v>
      </c>
      <c r="M92" s="55" t="s">
        <v>1000</v>
      </c>
    </row>
    <row r="93" spans="1:13" x14ac:dyDescent="0.25">
      <c r="A93" s="53" t="s">
        <v>12</v>
      </c>
      <c r="B93" s="53" t="s">
        <v>13</v>
      </c>
      <c r="C93" s="53" t="s">
        <v>14</v>
      </c>
      <c r="D93" s="53" t="s">
        <v>36</v>
      </c>
      <c r="E93" s="53" t="s">
        <v>37</v>
      </c>
      <c r="F93" s="53" t="s">
        <v>38</v>
      </c>
      <c r="G93" s="53">
        <v>5450</v>
      </c>
      <c r="H93" s="62">
        <v>45860</v>
      </c>
      <c r="I93" s="53" t="s">
        <v>902</v>
      </c>
      <c r="J93" s="53" t="s">
        <v>901</v>
      </c>
      <c r="K93" s="53">
        <v>352502270</v>
      </c>
      <c r="L93" s="53">
        <v>9358936441</v>
      </c>
      <c r="M93" s="55" t="s">
        <v>1000</v>
      </c>
    </row>
    <row r="94" spans="1:13" x14ac:dyDescent="0.25">
      <c r="A94" s="53" t="s">
        <v>12</v>
      </c>
      <c r="B94" s="53" t="s">
        <v>13</v>
      </c>
      <c r="C94" s="53" t="s">
        <v>14</v>
      </c>
      <c r="D94" s="53" t="s">
        <v>978</v>
      </c>
      <c r="E94" s="69">
        <v>922010007032459</v>
      </c>
      <c r="F94" s="53" t="s">
        <v>979</v>
      </c>
      <c r="G94" s="53">
        <v>5200</v>
      </c>
      <c r="H94" s="62">
        <v>45860</v>
      </c>
      <c r="I94" s="61" t="s">
        <v>667</v>
      </c>
      <c r="J94" s="53" t="s">
        <v>98</v>
      </c>
      <c r="K94" s="53">
        <v>352502307</v>
      </c>
      <c r="L94" s="53">
        <v>9002149111</v>
      </c>
      <c r="M94" s="55" t="s">
        <v>1001</v>
      </c>
    </row>
    <row r="95" spans="1:13" x14ac:dyDescent="0.25">
      <c r="A95" s="53" t="s">
        <v>12</v>
      </c>
      <c r="B95" s="53" t="s">
        <v>13</v>
      </c>
      <c r="C95" s="53" t="s">
        <v>14</v>
      </c>
      <c r="D95" s="53" t="s">
        <v>435</v>
      </c>
      <c r="E95" s="53">
        <v>31095925572</v>
      </c>
      <c r="F95" s="60" t="s">
        <v>33</v>
      </c>
      <c r="G95" s="61">
        <v>6400</v>
      </c>
      <c r="H95" s="62">
        <v>45860</v>
      </c>
      <c r="I95" s="61" t="s">
        <v>966</v>
      </c>
      <c r="J95" s="61" t="s">
        <v>967</v>
      </c>
      <c r="K95" s="53">
        <v>352502263</v>
      </c>
      <c r="L95" s="60">
        <v>8084080392</v>
      </c>
      <c r="M95" s="55" t="s">
        <v>1002</v>
      </c>
    </row>
    <row r="96" spans="1:13" x14ac:dyDescent="0.25">
      <c r="A96" s="53" t="s">
        <v>12</v>
      </c>
      <c r="B96" s="53" t="s">
        <v>13</v>
      </c>
      <c r="C96" s="53" t="s">
        <v>14</v>
      </c>
      <c r="D96" s="53" t="s">
        <v>993</v>
      </c>
      <c r="E96" s="69">
        <v>50100683547664</v>
      </c>
      <c r="F96" s="60" t="s">
        <v>994</v>
      </c>
      <c r="G96" s="61">
        <v>6400</v>
      </c>
      <c r="H96" s="62">
        <v>45860</v>
      </c>
      <c r="I96" s="61" t="s">
        <v>593</v>
      </c>
      <c r="J96" s="61" t="s">
        <v>76</v>
      </c>
      <c r="K96" s="53">
        <v>352502290</v>
      </c>
      <c r="L96" s="60">
        <v>8093441726</v>
      </c>
      <c r="M96" s="55" t="s">
        <v>1002</v>
      </c>
    </row>
    <row r="97" spans="1:13" x14ac:dyDescent="0.25">
      <c r="A97" s="53" t="s">
        <v>12</v>
      </c>
      <c r="B97" s="53" t="s">
        <v>13</v>
      </c>
      <c r="C97" s="53" t="s">
        <v>14</v>
      </c>
      <c r="D97" s="53" t="s">
        <v>936</v>
      </c>
      <c r="E97" s="54">
        <v>29230100027591</v>
      </c>
      <c r="F97" s="53" t="s">
        <v>937</v>
      </c>
      <c r="G97" s="61">
        <v>5200</v>
      </c>
      <c r="H97" s="62">
        <v>45860</v>
      </c>
      <c r="I97" s="61" t="s">
        <v>895</v>
      </c>
      <c r="J97" s="61" t="s">
        <v>896</v>
      </c>
      <c r="K97" s="53">
        <v>352502319</v>
      </c>
      <c r="L97" s="53">
        <v>6202164591</v>
      </c>
      <c r="M97" s="55" t="s">
        <v>1002</v>
      </c>
    </row>
    <row r="98" spans="1:13" x14ac:dyDescent="0.25">
      <c r="A98" s="53" t="s">
        <v>12</v>
      </c>
      <c r="B98" s="53" t="s">
        <v>13</v>
      </c>
      <c r="C98" s="53" t="s">
        <v>14</v>
      </c>
      <c r="D98" s="53" t="s">
        <v>95</v>
      </c>
      <c r="E98" s="53" t="s">
        <v>96</v>
      </c>
      <c r="F98" s="53" t="s">
        <v>33</v>
      </c>
      <c r="G98" s="61">
        <v>7500</v>
      </c>
      <c r="H98" s="62">
        <v>45860</v>
      </c>
      <c r="I98" s="61" t="s">
        <v>571</v>
      </c>
      <c r="J98" s="61" t="s">
        <v>59</v>
      </c>
      <c r="K98" s="53">
        <v>352502291</v>
      </c>
      <c r="L98" s="53">
        <v>8159025834</v>
      </c>
      <c r="M98" s="55" t="s">
        <v>1003</v>
      </c>
    </row>
    <row r="99" spans="1:13" x14ac:dyDescent="0.25">
      <c r="A99" s="53" t="s">
        <v>12</v>
      </c>
      <c r="B99" s="53" t="s">
        <v>13</v>
      </c>
      <c r="C99" s="53" t="s">
        <v>14</v>
      </c>
      <c r="D99" s="53" t="s">
        <v>144</v>
      </c>
      <c r="E99" s="53">
        <v>42542201947</v>
      </c>
      <c r="F99" s="53" t="s">
        <v>145</v>
      </c>
      <c r="G99" s="53">
        <v>2500</v>
      </c>
      <c r="H99" s="62">
        <v>45860</v>
      </c>
      <c r="I99" s="53" t="s">
        <v>652</v>
      </c>
      <c r="J99" s="53" t="s">
        <v>147</v>
      </c>
      <c r="K99" s="53">
        <v>352502266</v>
      </c>
      <c r="L99" s="53">
        <v>7765824237</v>
      </c>
      <c r="M99" s="55" t="s">
        <v>1004</v>
      </c>
    </row>
    <row r="100" spans="1:13" x14ac:dyDescent="0.25">
      <c r="A100" s="53" t="s">
        <v>12</v>
      </c>
      <c r="B100" s="53" t="s">
        <v>13</v>
      </c>
      <c r="C100" s="53" t="s">
        <v>14</v>
      </c>
      <c r="D100" s="53" t="s">
        <v>48</v>
      </c>
      <c r="E100" s="53" t="s">
        <v>49</v>
      </c>
      <c r="F100" s="53" t="s">
        <v>50</v>
      </c>
      <c r="G100" s="53">
        <v>2500</v>
      </c>
      <c r="H100" s="62">
        <v>45860</v>
      </c>
      <c r="I100" s="53" t="s">
        <v>572</v>
      </c>
      <c r="J100" s="53" t="s">
        <v>34</v>
      </c>
      <c r="K100" s="53">
        <v>352502264</v>
      </c>
      <c r="L100" s="53">
        <v>8520078561</v>
      </c>
      <c r="M100" s="55" t="s">
        <v>1004</v>
      </c>
    </row>
    <row r="101" spans="1:13" x14ac:dyDescent="0.25">
      <c r="A101" s="53" t="s">
        <v>12</v>
      </c>
      <c r="B101" s="53" t="s">
        <v>13</v>
      </c>
      <c r="C101" s="53" t="s">
        <v>14</v>
      </c>
      <c r="D101" s="53" t="s">
        <v>435</v>
      </c>
      <c r="E101" s="53">
        <v>31095925572</v>
      </c>
      <c r="F101" s="60" t="s">
        <v>33</v>
      </c>
      <c r="G101" s="61">
        <v>5450</v>
      </c>
      <c r="H101" s="62">
        <v>45861</v>
      </c>
      <c r="I101" s="61" t="s">
        <v>966</v>
      </c>
      <c r="J101" s="61" t="s">
        <v>967</v>
      </c>
      <c r="K101" s="53">
        <v>352502348</v>
      </c>
      <c r="L101" s="60">
        <v>8084080392</v>
      </c>
      <c r="M101" s="55" t="s">
        <v>1005</v>
      </c>
    </row>
    <row r="102" spans="1:13" x14ac:dyDescent="0.25">
      <c r="A102" s="53" t="s">
        <v>12</v>
      </c>
      <c r="B102" s="53" t="s">
        <v>13</v>
      </c>
      <c r="C102" s="53" t="s">
        <v>14</v>
      </c>
      <c r="D102" s="53" t="s">
        <v>936</v>
      </c>
      <c r="E102" s="54">
        <v>29230100027591</v>
      </c>
      <c r="F102" s="53" t="s">
        <v>937</v>
      </c>
      <c r="G102" s="61">
        <v>5450</v>
      </c>
      <c r="H102" s="62">
        <v>45861</v>
      </c>
      <c r="I102" s="61" t="s">
        <v>895</v>
      </c>
      <c r="J102" s="61" t="s">
        <v>896</v>
      </c>
      <c r="K102" s="53">
        <v>352502330</v>
      </c>
      <c r="L102" s="53">
        <v>6202164591</v>
      </c>
      <c r="M102" s="55" t="s">
        <v>1005</v>
      </c>
    </row>
    <row r="103" spans="1:13" x14ac:dyDescent="0.25">
      <c r="A103" s="53" t="s">
        <v>12</v>
      </c>
      <c r="B103" s="53" t="s">
        <v>13</v>
      </c>
      <c r="C103" s="53" t="s">
        <v>14</v>
      </c>
      <c r="D103" s="53" t="s">
        <v>152</v>
      </c>
      <c r="E103" s="53" t="s">
        <v>153</v>
      </c>
      <c r="F103" s="53" t="s">
        <v>154</v>
      </c>
      <c r="G103" s="53">
        <v>5450</v>
      </c>
      <c r="H103" s="62">
        <v>45861</v>
      </c>
      <c r="I103" s="61" t="s">
        <v>903</v>
      </c>
      <c r="J103" s="61" t="s">
        <v>904</v>
      </c>
      <c r="K103" s="53">
        <v>352502317</v>
      </c>
      <c r="L103" s="60">
        <v>6206444704</v>
      </c>
      <c r="M103" s="55" t="s">
        <v>1005</v>
      </c>
    </row>
    <row r="104" spans="1:13" x14ac:dyDescent="0.25">
      <c r="A104" s="53" t="s">
        <v>12</v>
      </c>
      <c r="B104" s="53" t="s">
        <v>13</v>
      </c>
      <c r="C104" s="53" t="s">
        <v>14</v>
      </c>
      <c r="D104" s="53" t="s">
        <v>108</v>
      </c>
      <c r="E104" s="53" t="s">
        <v>109</v>
      </c>
      <c r="F104" s="53" t="s">
        <v>110</v>
      </c>
      <c r="G104" s="53">
        <v>4000</v>
      </c>
      <c r="H104" s="62">
        <v>45861</v>
      </c>
      <c r="I104" s="61" t="s">
        <v>898</v>
      </c>
      <c r="J104" s="61" t="s">
        <v>899</v>
      </c>
      <c r="K104" s="53">
        <v>352502333</v>
      </c>
      <c r="L104" s="53">
        <v>7870570436</v>
      </c>
      <c r="M104" s="55" t="s">
        <v>1006</v>
      </c>
    </row>
    <row r="105" spans="1:13" x14ac:dyDescent="0.25">
      <c r="A105" s="53" t="s">
        <v>12</v>
      </c>
      <c r="B105" s="53" t="s">
        <v>13</v>
      </c>
      <c r="C105" s="53" t="s">
        <v>14</v>
      </c>
      <c r="D105" s="53" t="s">
        <v>36</v>
      </c>
      <c r="E105" s="53" t="s">
        <v>37</v>
      </c>
      <c r="F105" s="53" t="s">
        <v>38</v>
      </c>
      <c r="G105" s="53">
        <v>4000</v>
      </c>
      <c r="H105" s="62">
        <v>45861</v>
      </c>
      <c r="I105" s="53" t="s">
        <v>902</v>
      </c>
      <c r="J105" s="53" t="s">
        <v>901</v>
      </c>
      <c r="K105" s="53">
        <v>352502331</v>
      </c>
      <c r="L105" s="53">
        <v>9358936441</v>
      </c>
      <c r="M105" s="55" t="s">
        <v>1006</v>
      </c>
    </row>
    <row r="106" spans="1:13" s="68" customFormat="1" x14ac:dyDescent="0.25">
      <c r="A106" s="61" t="s">
        <v>12</v>
      </c>
      <c r="B106" s="61" t="s">
        <v>13</v>
      </c>
      <c r="C106" s="61" t="s">
        <v>14</v>
      </c>
      <c r="D106" s="61" t="s">
        <v>31</v>
      </c>
      <c r="E106" s="61" t="s">
        <v>32</v>
      </c>
      <c r="F106" s="61" t="s">
        <v>33</v>
      </c>
      <c r="G106" s="53">
        <v>4000</v>
      </c>
      <c r="H106" s="62">
        <v>45861</v>
      </c>
      <c r="I106" s="61" t="s">
        <v>741</v>
      </c>
      <c r="J106" s="61" t="s">
        <v>22</v>
      </c>
      <c r="K106" s="53">
        <v>352502332</v>
      </c>
      <c r="L106" s="61">
        <v>9347726061</v>
      </c>
      <c r="M106" s="55" t="s">
        <v>1006</v>
      </c>
    </row>
    <row r="107" spans="1:13" x14ac:dyDescent="0.25">
      <c r="A107" s="53" t="s">
        <v>12</v>
      </c>
      <c r="B107" s="53" t="s">
        <v>13</v>
      </c>
      <c r="C107" s="53" t="s">
        <v>14</v>
      </c>
      <c r="D107" s="53" t="s">
        <v>993</v>
      </c>
      <c r="E107" s="69">
        <v>50100683547664</v>
      </c>
      <c r="F107" s="60" t="s">
        <v>994</v>
      </c>
      <c r="G107" s="61">
        <v>6500</v>
      </c>
      <c r="H107" s="62">
        <v>45861</v>
      </c>
      <c r="I107" s="61" t="s">
        <v>593</v>
      </c>
      <c r="J107" s="61" t="s">
        <v>76</v>
      </c>
      <c r="K107" s="53">
        <v>352502345</v>
      </c>
      <c r="L107" s="60">
        <v>8093441726</v>
      </c>
      <c r="M107" s="55" t="s">
        <v>1007</v>
      </c>
    </row>
    <row r="108" spans="1:13" x14ac:dyDescent="0.25">
      <c r="A108" s="53" t="s">
        <v>12</v>
      </c>
      <c r="B108" s="53" t="s">
        <v>13</v>
      </c>
      <c r="C108" s="53" t="s">
        <v>14</v>
      </c>
      <c r="D108" s="53" t="s">
        <v>144</v>
      </c>
      <c r="E108" s="53">
        <v>42542201947</v>
      </c>
      <c r="F108" s="53" t="s">
        <v>145</v>
      </c>
      <c r="G108" s="53">
        <v>2500</v>
      </c>
      <c r="H108" s="62">
        <v>45861</v>
      </c>
      <c r="I108" s="53" t="s">
        <v>652</v>
      </c>
      <c r="J108" s="53" t="s">
        <v>147</v>
      </c>
      <c r="K108" s="53">
        <v>352502350</v>
      </c>
      <c r="L108" s="53">
        <v>7765824237</v>
      </c>
      <c r="M108" s="55" t="s">
        <v>1008</v>
      </c>
    </row>
    <row r="109" spans="1:13" x14ac:dyDescent="0.25">
      <c r="A109" s="53" t="s">
        <v>12</v>
      </c>
      <c r="B109" s="53" t="s">
        <v>13</v>
      </c>
      <c r="C109" s="53" t="s">
        <v>14</v>
      </c>
      <c r="D109" s="53" t="s">
        <v>48</v>
      </c>
      <c r="E109" s="53" t="s">
        <v>49</v>
      </c>
      <c r="F109" s="53" t="s">
        <v>50</v>
      </c>
      <c r="G109" s="53">
        <v>2500</v>
      </c>
      <c r="H109" s="62">
        <v>45861</v>
      </c>
      <c r="I109" s="53" t="s">
        <v>572</v>
      </c>
      <c r="J109" s="53" t="s">
        <v>34</v>
      </c>
      <c r="K109" s="53">
        <v>352502349</v>
      </c>
      <c r="L109" s="53">
        <v>8520078561</v>
      </c>
      <c r="M109" s="55" t="s">
        <v>1008</v>
      </c>
    </row>
    <row r="110" spans="1:13" x14ac:dyDescent="0.25">
      <c r="A110" s="53" t="s">
        <v>12</v>
      </c>
      <c r="B110" s="53" t="s">
        <v>13</v>
      </c>
      <c r="C110" s="53" t="s">
        <v>14</v>
      </c>
      <c r="D110" s="53" t="s">
        <v>993</v>
      </c>
      <c r="E110" s="69">
        <v>50100683547664</v>
      </c>
      <c r="F110" s="60" t="s">
        <v>994</v>
      </c>
      <c r="G110" s="61">
        <v>6400</v>
      </c>
      <c r="H110" s="62">
        <v>45862</v>
      </c>
      <c r="I110" s="61" t="s">
        <v>593</v>
      </c>
      <c r="J110" s="61" t="s">
        <v>76</v>
      </c>
      <c r="K110" s="53">
        <v>352502379</v>
      </c>
      <c r="L110" s="60">
        <v>8093441726</v>
      </c>
      <c r="M110" s="55" t="s">
        <v>1009</v>
      </c>
    </row>
    <row r="111" spans="1:13" x14ac:dyDescent="0.25">
      <c r="A111" s="53" t="s">
        <v>12</v>
      </c>
      <c r="B111" s="53" t="s">
        <v>13</v>
      </c>
      <c r="C111" s="53" t="s">
        <v>14</v>
      </c>
      <c r="D111" s="53" t="s">
        <v>435</v>
      </c>
      <c r="E111" s="53">
        <v>31095925572</v>
      </c>
      <c r="F111" s="60" t="s">
        <v>33</v>
      </c>
      <c r="G111" s="61">
        <v>7700</v>
      </c>
      <c r="H111" s="62">
        <v>45862</v>
      </c>
      <c r="I111" s="61" t="s">
        <v>966</v>
      </c>
      <c r="J111" s="61" t="s">
        <v>967</v>
      </c>
      <c r="K111" s="53">
        <v>352502380</v>
      </c>
      <c r="L111" s="60">
        <v>8084080392</v>
      </c>
      <c r="M111" s="55" t="s">
        <v>1010</v>
      </c>
    </row>
    <row r="112" spans="1:13" x14ac:dyDescent="0.25">
      <c r="A112" s="53" t="s">
        <v>12</v>
      </c>
      <c r="B112" s="53" t="s">
        <v>13</v>
      </c>
      <c r="C112" s="53" t="s">
        <v>14</v>
      </c>
      <c r="D112" s="53" t="s">
        <v>36</v>
      </c>
      <c r="E112" s="53" t="s">
        <v>37</v>
      </c>
      <c r="F112" s="53" t="s">
        <v>38</v>
      </c>
      <c r="G112" s="53">
        <v>4000</v>
      </c>
      <c r="H112" s="62">
        <v>45862</v>
      </c>
      <c r="I112" s="53" t="s">
        <v>902</v>
      </c>
      <c r="J112" s="53" t="s">
        <v>901</v>
      </c>
      <c r="K112" s="53">
        <v>352502378</v>
      </c>
      <c r="L112" s="53">
        <v>9358936441</v>
      </c>
      <c r="M112" s="55" t="s">
        <v>1011</v>
      </c>
    </row>
    <row r="113" spans="1:13" x14ac:dyDescent="0.25">
      <c r="A113" s="53" t="s">
        <v>12</v>
      </c>
      <c r="B113" s="53" t="s">
        <v>13</v>
      </c>
      <c r="C113" s="53" t="s">
        <v>14</v>
      </c>
      <c r="D113" s="53" t="s">
        <v>152</v>
      </c>
      <c r="E113" s="53" t="s">
        <v>153</v>
      </c>
      <c r="F113" s="53" t="s">
        <v>154</v>
      </c>
      <c r="G113" s="53">
        <v>5450</v>
      </c>
      <c r="H113" s="62">
        <v>45862</v>
      </c>
      <c r="I113" s="61" t="s">
        <v>903</v>
      </c>
      <c r="J113" s="61" t="s">
        <v>904</v>
      </c>
      <c r="K113" s="53">
        <v>352502382</v>
      </c>
      <c r="L113" s="60">
        <v>6206444704</v>
      </c>
      <c r="M113" s="55" t="s">
        <v>1011</v>
      </c>
    </row>
    <row r="114" spans="1:13" x14ac:dyDescent="0.25">
      <c r="A114" s="53" t="s">
        <v>12</v>
      </c>
      <c r="B114" s="53" t="s">
        <v>13</v>
      </c>
      <c r="C114" s="53" t="s">
        <v>14</v>
      </c>
      <c r="D114" s="53" t="s">
        <v>936</v>
      </c>
      <c r="E114" s="54">
        <v>29230100027591</v>
      </c>
      <c r="F114" s="53" t="s">
        <v>937</v>
      </c>
      <c r="G114" s="61">
        <v>8200</v>
      </c>
      <c r="H114" s="62">
        <v>45862</v>
      </c>
      <c r="I114" s="61" t="s">
        <v>895</v>
      </c>
      <c r="J114" s="61" t="s">
        <v>896</v>
      </c>
      <c r="K114" s="53">
        <v>352502381</v>
      </c>
      <c r="L114" s="53">
        <v>6202164591</v>
      </c>
      <c r="M114" s="55" t="s">
        <v>1012</v>
      </c>
    </row>
    <row r="115" spans="1:13" x14ac:dyDescent="0.25">
      <c r="A115" s="53" t="s">
        <v>12</v>
      </c>
      <c r="B115" s="53" t="s">
        <v>13</v>
      </c>
      <c r="C115" s="53" t="s">
        <v>14</v>
      </c>
      <c r="D115" s="53" t="s">
        <v>144</v>
      </c>
      <c r="E115" s="53">
        <v>42542201947</v>
      </c>
      <c r="F115" s="53" t="s">
        <v>145</v>
      </c>
      <c r="G115" s="61">
        <v>8200</v>
      </c>
      <c r="H115" s="62">
        <v>45862</v>
      </c>
      <c r="I115" s="53" t="s">
        <v>652</v>
      </c>
      <c r="J115" s="53" t="s">
        <v>147</v>
      </c>
      <c r="K115" s="53">
        <v>352502375</v>
      </c>
      <c r="L115" s="53">
        <v>7765824237</v>
      </c>
      <c r="M115" s="55" t="s">
        <v>1013</v>
      </c>
    </row>
    <row r="116" spans="1:13" x14ac:dyDescent="0.25">
      <c r="A116" s="53" t="s">
        <v>12</v>
      </c>
      <c r="B116" s="53" t="s">
        <v>13</v>
      </c>
      <c r="C116" s="53" t="s">
        <v>14</v>
      </c>
      <c r="D116" s="53" t="s">
        <v>48</v>
      </c>
      <c r="E116" s="53" t="s">
        <v>49</v>
      </c>
      <c r="F116" s="53" t="s">
        <v>50</v>
      </c>
      <c r="G116" s="61">
        <v>8200</v>
      </c>
      <c r="H116" s="62">
        <v>45862</v>
      </c>
      <c r="I116" s="53" t="s">
        <v>572</v>
      </c>
      <c r="J116" s="53" t="s">
        <v>34</v>
      </c>
      <c r="K116" s="53">
        <v>352502364</v>
      </c>
      <c r="L116" s="53">
        <v>8520078561</v>
      </c>
      <c r="M116" s="55" t="s">
        <v>1013</v>
      </c>
    </row>
    <row r="117" spans="1:13" x14ac:dyDescent="0.25">
      <c r="A117" s="53" t="s">
        <v>12</v>
      </c>
      <c r="B117" s="53" t="s">
        <v>13</v>
      </c>
      <c r="C117" s="53" t="s">
        <v>14</v>
      </c>
      <c r="D117" s="53" t="s">
        <v>95</v>
      </c>
      <c r="E117" s="53" t="s">
        <v>96</v>
      </c>
      <c r="F117" s="53" t="s">
        <v>33</v>
      </c>
      <c r="G117" s="61">
        <v>1000</v>
      </c>
      <c r="H117" s="62">
        <v>45862</v>
      </c>
      <c r="I117" s="61" t="s">
        <v>571</v>
      </c>
      <c r="J117" s="61" t="s">
        <v>59</v>
      </c>
      <c r="K117" s="53">
        <v>352502355</v>
      </c>
      <c r="L117" s="53">
        <v>8159025834</v>
      </c>
      <c r="M117" s="55" t="s">
        <v>1014</v>
      </c>
    </row>
    <row r="118" spans="1:13" x14ac:dyDescent="0.25">
      <c r="A118" s="53" t="s">
        <v>12</v>
      </c>
      <c r="B118" s="53" t="s">
        <v>13</v>
      </c>
      <c r="C118" s="53" t="s">
        <v>14</v>
      </c>
      <c r="D118" s="53" t="s">
        <v>95</v>
      </c>
      <c r="E118" s="53" t="s">
        <v>96</v>
      </c>
      <c r="F118" s="53" t="s">
        <v>33</v>
      </c>
      <c r="G118" s="61">
        <v>3700</v>
      </c>
      <c r="H118" s="62">
        <v>45862</v>
      </c>
      <c r="I118" s="61" t="s">
        <v>571</v>
      </c>
      <c r="J118" s="61" t="s">
        <v>59</v>
      </c>
      <c r="K118" s="53">
        <v>352502355</v>
      </c>
      <c r="L118" s="53">
        <v>8159025834</v>
      </c>
      <c r="M118" s="55" t="s">
        <v>1015</v>
      </c>
    </row>
    <row r="119" spans="1:13" x14ac:dyDescent="0.25">
      <c r="A119" s="53" t="s">
        <v>12</v>
      </c>
      <c r="B119" s="53" t="s">
        <v>13</v>
      </c>
      <c r="C119" s="53" t="s">
        <v>14</v>
      </c>
      <c r="D119" s="53" t="s">
        <v>108</v>
      </c>
      <c r="E119" s="53" t="s">
        <v>109</v>
      </c>
      <c r="F119" s="53" t="s">
        <v>110</v>
      </c>
      <c r="G119" s="53">
        <v>5550</v>
      </c>
      <c r="H119" s="62">
        <v>45862</v>
      </c>
      <c r="I119" s="61" t="s">
        <v>898</v>
      </c>
      <c r="J119" s="61" t="s">
        <v>899</v>
      </c>
      <c r="K119" s="53">
        <v>352502376</v>
      </c>
      <c r="L119" s="53">
        <v>7870570436</v>
      </c>
      <c r="M119" s="55" t="s">
        <v>1016</v>
      </c>
    </row>
    <row r="120" spans="1:13" s="68" customFormat="1" x14ac:dyDescent="0.25">
      <c r="A120" s="61" t="s">
        <v>12</v>
      </c>
      <c r="B120" s="61" t="s">
        <v>13</v>
      </c>
      <c r="C120" s="61" t="s">
        <v>14</v>
      </c>
      <c r="D120" s="61" t="s">
        <v>31</v>
      </c>
      <c r="E120" s="61" t="s">
        <v>32</v>
      </c>
      <c r="F120" s="61" t="s">
        <v>33</v>
      </c>
      <c r="G120" s="53">
        <v>5550</v>
      </c>
      <c r="H120" s="62">
        <v>45862</v>
      </c>
      <c r="I120" s="61" t="s">
        <v>741</v>
      </c>
      <c r="J120" s="61" t="s">
        <v>22</v>
      </c>
      <c r="K120" s="53">
        <v>352502377</v>
      </c>
      <c r="L120" s="61">
        <v>9347726061</v>
      </c>
      <c r="M120" s="55" t="s">
        <v>1016</v>
      </c>
    </row>
    <row r="121" spans="1:13" x14ac:dyDescent="0.25">
      <c r="A121" s="53" t="s">
        <v>12</v>
      </c>
      <c r="B121" s="53" t="s">
        <v>13</v>
      </c>
      <c r="C121" s="53" t="s">
        <v>14</v>
      </c>
      <c r="D121" s="53" t="s">
        <v>435</v>
      </c>
      <c r="E121" s="53">
        <v>31095925572</v>
      </c>
      <c r="F121" s="60" t="s">
        <v>33</v>
      </c>
      <c r="G121" s="61">
        <v>6400</v>
      </c>
      <c r="H121" s="62">
        <v>45863</v>
      </c>
      <c r="I121" s="61" t="s">
        <v>966</v>
      </c>
      <c r="J121" s="61" t="s">
        <v>967</v>
      </c>
      <c r="K121" s="53">
        <v>352502405</v>
      </c>
      <c r="L121" s="60">
        <v>8084080392</v>
      </c>
      <c r="M121" s="55" t="s">
        <v>1017</v>
      </c>
    </row>
    <row r="122" spans="1:13" x14ac:dyDescent="0.25">
      <c r="A122" s="53" t="s">
        <v>12</v>
      </c>
      <c r="B122" s="53" t="s">
        <v>13</v>
      </c>
      <c r="C122" s="53" t="s">
        <v>14</v>
      </c>
      <c r="D122" s="53" t="s">
        <v>978</v>
      </c>
      <c r="E122" s="69">
        <v>922010007032459</v>
      </c>
      <c r="F122" s="53" t="s">
        <v>979</v>
      </c>
      <c r="G122" s="61">
        <v>6400</v>
      </c>
      <c r="H122" s="62">
        <v>45863</v>
      </c>
      <c r="I122" s="61" t="s">
        <v>667</v>
      </c>
      <c r="J122" s="53" t="s">
        <v>98</v>
      </c>
      <c r="K122" s="53">
        <v>352502410</v>
      </c>
      <c r="L122" s="53">
        <v>9002149111</v>
      </c>
      <c r="M122" s="55" t="s">
        <v>1017</v>
      </c>
    </row>
    <row r="123" spans="1:13" x14ac:dyDescent="0.25">
      <c r="A123" s="53" t="s">
        <v>12</v>
      </c>
      <c r="B123" s="53" t="s">
        <v>13</v>
      </c>
      <c r="C123" s="53" t="s">
        <v>14</v>
      </c>
      <c r="D123" s="53" t="s">
        <v>95</v>
      </c>
      <c r="E123" s="53" t="s">
        <v>96</v>
      </c>
      <c r="F123" s="53" t="s">
        <v>33</v>
      </c>
      <c r="G123" s="61">
        <v>7700</v>
      </c>
      <c r="H123" s="62">
        <v>45863</v>
      </c>
      <c r="I123" s="61" t="s">
        <v>571</v>
      </c>
      <c r="J123" s="61" t="s">
        <v>59</v>
      </c>
      <c r="K123" s="53">
        <v>352502419</v>
      </c>
      <c r="L123" s="53">
        <v>8159025834</v>
      </c>
      <c r="M123" s="55" t="s">
        <v>1018</v>
      </c>
    </row>
    <row r="124" spans="1:13" x14ac:dyDescent="0.25">
      <c r="A124" s="53" t="s">
        <v>12</v>
      </c>
      <c r="B124" s="53" t="s">
        <v>13</v>
      </c>
      <c r="C124" s="53" t="s">
        <v>14</v>
      </c>
      <c r="D124" s="53" t="s">
        <v>36</v>
      </c>
      <c r="E124" s="53" t="s">
        <v>37</v>
      </c>
      <c r="F124" s="53" t="s">
        <v>38</v>
      </c>
      <c r="G124" s="61">
        <v>7700</v>
      </c>
      <c r="H124" s="62">
        <v>45863</v>
      </c>
      <c r="I124" s="53" t="s">
        <v>902</v>
      </c>
      <c r="J124" s="53" t="s">
        <v>901</v>
      </c>
      <c r="K124" s="53">
        <v>352502411</v>
      </c>
      <c r="L124" s="53">
        <v>9358936441</v>
      </c>
      <c r="M124" s="55" t="s">
        <v>1018</v>
      </c>
    </row>
    <row r="125" spans="1:13" x14ac:dyDescent="0.25">
      <c r="A125" s="53" t="s">
        <v>12</v>
      </c>
      <c r="B125" s="53" t="s">
        <v>13</v>
      </c>
      <c r="C125" s="53" t="s">
        <v>14</v>
      </c>
      <c r="D125" s="53" t="s">
        <v>152</v>
      </c>
      <c r="E125" s="53" t="s">
        <v>153</v>
      </c>
      <c r="F125" s="53" t="s">
        <v>154</v>
      </c>
      <c r="G125" s="53">
        <v>7500</v>
      </c>
      <c r="H125" s="62">
        <v>45864</v>
      </c>
      <c r="I125" s="61" t="s">
        <v>903</v>
      </c>
      <c r="J125" s="61" t="s">
        <v>904</v>
      </c>
      <c r="K125" s="53">
        <v>352502412</v>
      </c>
      <c r="L125" s="60">
        <v>6206444704</v>
      </c>
      <c r="M125" s="55" t="s">
        <v>1019</v>
      </c>
    </row>
    <row r="126" spans="1:13" x14ac:dyDescent="0.25">
      <c r="A126" s="53" t="s">
        <v>12</v>
      </c>
      <c r="B126" s="53" t="s">
        <v>13</v>
      </c>
      <c r="C126" s="53" t="s">
        <v>14</v>
      </c>
      <c r="D126" s="53" t="s">
        <v>993</v>
      </c>
      <c r="E126" s="69">
        <v>50100683547664</v>
      </c>
      <c r="F126" s="60" t="s">
        <v>994</v>
      </c>
      <c r="G126" s="53">
        <v>7500</v>
      </c>
      <c r="H126" s="62">
        <v>45864</v>
      </c>
      <c r="I126" s="61" t="s">
        <v>593</v>
      </c>
      <c r="J126" s="61" t="s">
        <v>76</v>
      </c>
      <c r="K126" s="53">
        <v>352502404</v>
      </c>
      <c r="L126" s="60">
        <v>8093441726</v>
      </c>
      <c r="M126" s="55" t="s">
        <v>1019</v>
      </c>
    </row>
    <row r="127" spans="1:13" x14ac:dyDescent="0.25">
      <c r="A127" s="53" t="s">
        <v>12</v>
      </c>
      <c r="B127" s="53" t="s">
        <v>13</v>
      </c>
      <c r="C127" s="53" t="s">
        <v>14</v>
      </c>
      <c r="D127" s="53" t="s">
        <v>978</v>
      </c>
      <c r="E127" s="69">
        <v>922010007032459</v>
      </c>
      <c r="F127" s="53" t="s">
        <v>979</v>
      </c>
      <c r="G127" s="53">
        <v>7500</v>
      </c>
      <c r="H127" s="62">
        <v>45864</v>
      </c>
      <c r="I127" s="61" t="s">
        <v>667</v>
      </c>
      <c r="J127" s="53" t="s">
        <v>98</v>
      </c>
      <c r="K127" s="53">
        <v>352502429</v>
      </c>
      <c r="L127" s="53">
        <v>9002149111</v>
      </c>
      <c r="M127" s="55" t="s">
        <v>1019</v>
      </c>
    </row>
    <row r="128" spans="1:13" x14ac:dyDescent="0.25">
      <c r="A128" s="53" t="s">
        <v>12</v>
      </c>
      <c r="B128" s="53" t="s">
        <v>13</v>
      </c>
      <c r="C128" s="53" t="s">
        <v>14</v>
      </c>
      <c r="D128" s="53" t="s">
        <v>144</v>
      </c>
      <c r="E128" s="53">
        <v>42542201947</v>
      </c>
      <c r="F128" s="53" t="s">
        <v>145</v>
      </c>
      <c r="G128" s="61">
        <v>7700</v>
      </c>
      <c r="H128" s="62">
        <v>45864</v>
      </c>
      <c r="I128" s="53" t="s">
        <v>652</v>
      </c>
      <c r="J128" s="53" t="s">
        <v>147</v>
      </c>
      <c r="K128" s="53">
        <v>352502427</v>
      </c>
      <c r="L128" s="53">
        <v>7765824237</v>
      </c>
      <c r="M128" s="55" t="s">
        <v>1020</v>
      </c>
    </row>
    <row r="129" spans="1:13" x14ac:dyDescent="0.25">
      <c r="A129" s="53" t="s">
        <v>12</v>
      </c>
      <c r="B129" s="53" t="s">
        <v>13</v>
      </c>
      <c r="C129" s="53" t="s">
        <v>14</v>
      </c>
      <c r="D129" s="53" t="s">
        <v>48</v>
      </c>
      <c r="E129" s="53" t="s">
        <v>49</v>
      </c>
      <c r="F129" s="53" t="s">
        <v>50</v>
      </c>
      <c r="G129" s="61">
        <v>7700</v>
      </c>
      <c r="H129" s="62">
        <v>45864</v>
      </c>
      <c r="I129" s="53" t="s">
        <v>572</v>
      </c>
      <c r="J129" s="53" t="s">
        <v>34</v>
      </c>
      <c r="K129" s="53">
        <v>352502425</v>
      </c>
      <c r="L129" s="53">
        <v>8520078561</v>
      </c>
      <c r="M129" s="55" t="s">
        <v>1020</v>
      </c>
    </row>
    <row r="130" spans="1:13" x14ac:dyDescent="0.25">
      <c r="A130" s="53" t="s">
        <v>12</v>
      </c>
      <c r="B130" s="53" t="s">
        <v>13</v>
      </c>
      <c r="C130" s="53" t="s">
        <v>14</v>
      </c>
      <c r="D130" s="53" t="s">
        <v>108</v>
      </c>
      <c r="E130" s="53" t="s">
        <v>109</v>
      </c>
      <c r="F130" s="53" t="s">
        <v>110</v>
      </c>
      <c r="G130" s="53">
        <v>5450</v>
      </c>
      <c r="H130" s="62">
        <v>45864</v>
      </c>
      <c r="I130" s="61" t="s">
        <v>898</v>
      </c>
      <c r="J130" s="61" t="s">
        <v>899</v>
      </c>
      <c r="K130" s="53">
        <v>352502431</v>
      </c>
      <c r="L130" s="53">
        <v>7870570436</v>
      </c>
      <c r="M130" s="55" t="s">
        <v>1021</v>
      </c>
    </row>
    <row r="131" spans="1:13" s="68" customFormat="1" x14ac:dyDescent="0.25">
      <c r="A131" s="61" t="s">
        <v>12</v>
      </c>
      <c r="B131" s="61" t="s">
        <v>13</v>
      </c>
      <c r="C131" s="61" t="s">
        <v>14</v>
      </c>
      <c r="D131" s="61" t="s">
        <v>31</v>
      </c>
      <c r="E131" s="61" t="s">
        <v>32</v>
      </c>
      <c r="F131" s="61" t="s">
        <v>33</v>
      </c>
      <c r="G131" s="53">
        <v>5450</v>
      </c>
      <c r="H131" s="62">
        <v>45864</v>
      </c>
      <c r="I131" s="61" t="s">
        <v>741</v>
      </c>
      <c r="J131" s="61" t="s">
        <v>22</v>
      </c>
      <c r="K131" s="53">
        <v>352502432</v>
      </c>
      <c r="L131" s="61">
        <v>9347726061</v>
      </c>
      <c r="M131" s="55" t="s">
        <v>1021</v>
      </c>
    </row>
    <row r="132" spans="1:13" x14ac:dyDescent="0.25">
      <c r="A132" s="53" t="s">
        <v>12</v>
      </c>
      <c r="B132" s="53" t="s">
        <v>13</v>
      </c>
      <c r="C132" s="53" t="s">
        <v>14</v>
      </c>
      <c r="D132" s="53" t="s">
        <v>936</v>
      </c>
      <c r="E132" s="54">
        <v>29230100027591</v>
      </c>
      <c r="F132" s="53" t="s">
        <v>937</v>
      </c>
      <c r="G132" s="61">
        <v>5200</v>
      </c>
      <c r="H132" s="62">
        <v>45864</v>
      </c>
      <c r="I132" s="61" t="s">
        <v>895</v>
      </c>
      <c r="J132" s="61" t="s">
        <v>896</v>
      </c>
      <c r="K132" s="53">
        <v>352502448</v>
      </c>
      <c r="L132" s="53">
        <v>6202164591</v>
      </c>
      <c r="M132" s="55" t="s">
        <v>1022</v>
      </c>
    </row>
    <row r="133" spans="1:13" x14ac:dyDescent="0.25">
      <c r="A133" s="53" t="s">
        <v>12</v>
      </c>
      <c r="B133" s="53" t="s">
        <v>13</v>
      </c>
      <c r="C133" s="53" t="s">
        <v>14</v>
      </c>
      <c r="D133" s="53" t="s">
        <v>95</v>
      </c>
      <c r="E133" s="53" t="s">
        <v>96</v>
      </c>
      <c r="F133" s="53" t="s">
        <v>33</v>
      </c>
      <c r="G133" s="61">
        <v>6400</v>
      </c>
      <c r="H133" s="62">
        <v>45864</v>
      </c>
      <c r="I133" s="61" t="s">
        <v>571</v>
      </c>
      <c r="J133" s="61" t="s">
        <v>59</v>
      </c>
      <c r="K133" s="53">
        <v>352502454</v>
      </c>
      <c r="L133" s="53">
        <v>8159025834</v>
      </c>
      <c r="M133" s="55" t="s">
        <v>1023</v>
      </c>
    </row>
    <row r="134" spans="1:13" x14ac:dyDescent="0.25">
      <c r="A134" s="53" t="s">
        <v>12</v>
      </c>
      <c r="B134" s="53" t="s">
        <v>13</v>
      </c>
      <c r="C134" s="53" t="s">
        <v>14</v>
      </c>
      <c r="D134" s="53" t="s">
        <v>36</v>
      </c>
      <c r="E134" s="53" t="s">
        <v>37</v>
      </c>
      <c r="F134" s="53" t="s">
        <v>38</v>
      </c>
      <c r="G134" s="61">
        <v>6400</v>
      </c>
      <c r="H134" s="62">
        <v>45864</v>
      </c>
      <c r="I134" s="53" t="s">
        <v>902</v>
      </c>
      <c r="J134" s="53" t="s">
        <v>901</v>
      </c>
      <c r="K134" s="53">
        <v>352502453</v>
      </c>
      <c r="L134" s="53">
        <v>9358936441</v>
      </c>
      <c r="M134" s="55" t="s">
        <v>1023</v>
      </c>
    </row>
    <row r="135" spans="1:13" x14ac:dyDescent="0.25">
      <c r="A135" s="53" t="s">
        <v>12</v>
      </c>
      <c r="B135" s="53" t="s">
        <v>13</v>
      </c>
      <c r="C135" s="53" t="s">
        <v>14</v>
      </c>
      <c r="D135" s="53" t="s">
        <v>152</v>
      </c>
      <c r="E135" s="53" t="s">
        <v>153</v>
      </c>
      <c r="F135" s="53" t="s">
        <v>154</v>
      </c>
      <c r="G135" s="53">
        <v>1000</v>
      </c>
      <c r="H135" s="62">
        <v>45866</v>
      </c>
      <c r="I135" s="61" t="s">
        <v>903</v>
      </c>
      <c r="J135" s="61" t="s">
        <v>904</v>
      </c>
      <c r="K135" s="53">
        <v>352502463</v>
      </c>
      <c r="L135" s="60">
        <v>6206444704</v>
      </c>
      <c r="M135" s="55" t="s">
        <v>1025</v>
      </c>
    </row>
    <row r="136" spans="1:13" x14ac:dyDescent="0.25">
      <c r="A136" s="53" t="s">
        <v>12</v>
      </c>
      <c r="B136" s="53" t="s">
        <v>13</v>
      </c>
      <c r="C136" s="53" t="s">
        <v>14</v>
      </c>
      <c r="D136" s="53" t="s">
        <v>993</v>
      </c>
      <c r="E136" s="69">
        <v>50100683547664</v>
      </c>
      <c r="F136" s="60" t="s">
        <v>994</v>
      </c>
      <c r="G136" s="53">
        <v>1000</v>
      </c>
      <c r="H136" s="62">
        <v>45866</v>
      </c>
      <c r="I136" s="61" t="s">
        <v>593</v>
      </c>
      <c r="J136" s="61" t="s">
        <v>76</v>
      </c>
      <c r="K136" s="53">
        <v>352502462</v>
      </c>
      <c r="L136" s="60">
        <v>8093441726</v>
      </c>
      <c r="M136" s="55" t="s">
        <v>1024</v>
      </c>
    </row>
    <row r="137" spans="1:13" x14ac:dyDescent="0.25">
      <c r="A137" s="53" t="s">
        <v>12</v>
      </c>
      <c r="B137" s="53" t="s">
        <v>13</v>
      </c>
      <c r="C137" s="53" t="s">
        <v>14</v>
      </c>
      <c r="D137" s="53" t="s">
        <v>978</v>
      </c>
      <c r="E137" s="69">
        <v>922010007032459</v>
      </c>
      <c r="F137" s="53" t="s">
        <v>979</v>
      </c>
      <c r="G137" s="53">
        <v>1000</v>
      </c>
      <c r="H137" s="62">
        <v>45866</v>
      </c>
      <c r="I137" s="61" t="s">
        <v>667</v>
      </c>
      <c r="J137" s="53" t="s">
        <v>98</v>
      </c>
      <c r="K137" s="53">
        <v>352502464</v>
      </c>
      <c r="L137" s="53">
        <v>9002149111</v>
      </c>
      <c r="M137" s="55" t="s">
        <v>1024</v>
      </c>
    </row>
    <row r="138" spans="1:13" x14ac:dyDescent="0.25">
      <c r="A138" s="53" t="s">
        <v>12</v>
      </c>
      <c r="B138" s="53" t="s">
        <v>13</v>
      </c>
      <c r="C138" s="53" t="s">
        <v>14</v>
      </c>
      <c r="D138" s="53" t="s">
        <v>435</v>
      </c>
      <c r="E138" s="53">
        <v>31095925572</v>
      </c>
      <c r="F138" s="60" t="s">
        <v>33</v>
      </c>
      <c r="G138" s="61">
        <v>1000</v>
      </c>
      <c r="H138" s="62">
        <v>45866</v>
      </c>
      <c r="I138" s="61" t="s">
        <v>966</v>
      </c>
      <c r="J138" s="61" t="s">
        <v>967</v>
      </c>
      <c r="K138" s="53">
        <v>352502465</v>
      </c>
      <c r="L138" s="60">
        <v>8084080392</v>
      </c>
      <c r="M138" s="55" t="s">
        <v>1024</v>
      </c>
    </row>
    <row r="139" spans="1:13" x14ac:dyDescent="0.25">
      <c r="A139" s="53" t="s">
        <v>12</v>
      </c>
      <c r="B139" s="53" t="s">
        <v>13</v>
      </c>
      <c r="C139" s="53" t="s">
        <v>14</v>
      </c>
      <c r="D139" s="53" t="s">
        <v>36</v>
      </c>
      <c r="E139" s="53" t="s">
        <v>37</v>
      </c>
      <c r="F139" s="53" t="s">
        <v>38</v>
      </c>
      <c r="G139" s="61">
        <v>5450</v>
      </c>
      <c r="H139" s="62">
        <v>45866</v>
      </c>
      <c r="I139" s="53" t="s">
        <v>902</v>
      </c>
      <c r="J139" s="53" t="s">
        <v>901</v>
      </c>
      <c r="K139" s="53">
        <v>352502485</v>
      </c>
      <c r="L139" s="53">
        <v>9358936441</v>
      </c>
      <c r="M139" s="55" t="s">
        <v>1026</v>
      </c>
    </row>
    <row r="140" spans="1:13" x14ac:dyDescent="0.25">
      <c r="A140" s="53" t="s">
        <v>12</v>
      </c>
      <c r="B140" s="53" t="s">
        <v>13</v>
      </c>
      <c r="C140" s="53" t="s">
        <v>14</v>
      </c>
      <c r="D140" s="53" t="s">
        <v>936</v>
      </c>
      <c r="E140" s="54">
        <v>29230100027591</v>
      </c>
      <c r="F140" s="53" t="s">
        <v>937</v>
      </c>
      <c r="G140" s="61">
        <v>3950</v>
      </c>
      <c r="H140" s="62">
        <v>45866</v>
      </c>
      <c r="I140" s="61" t="s">
        <v>895</v>
      </c>
      <c r="J140" s="61" t="s">
        <v>896</v>
      </c>
      <c r="K140" s="53">
        <v>352502484</v>
      </c>
      <c r="L140" s="53">
        <v>6202164591</v>
      </c>
      <c r="M140" s="55" t="s">
        <v>1026</v>
      </c>
    </row>
    <row r="141" spans="1:13" x14ac:dyDescent="0.25">
      <c r="A141" s="53" t="s">
        <v>12</v>
      </c>
      <c r="B141" s="53" t="s">
        <v>13</v>
      </c>
      <c r="C141" s="53" t="s">
        <v>14</v>
      </c>
      <c r="D141" s="53" t="s">
        <v>95</v>
      </c>
      <c r="E141" s="53" t="s">
        <v>96</v>
      </c>
      <c r="F141" s="53" t="s">
        <v>33</v>
      </c>
      <c r="G141" s="61">
        <v>3700</v>
      </c>
      <c r="H141" s="62">
        <v>45866</v>
      </c>
      <c r="I141" s="61" t="s">
        <v>571</v>
      </c>
      <c r="J141" s="61" t="s">
        <v>59</v>
      </c>
      <c r="K141" s="53">
        <v>352502486</v>
      </c>
      <c r="L141" s="53">
        <v>8159025834</v>
      </c>
      <c r="M141" s="55" t="s">
        <v>1027</v>
      </c>
    </row>
    <row r="142" spans="1:13" x14ac:dyDescent="0.25">
      <c r="A142" s="53" t="s">
        <v>12</v>
      </c>
      <c r="B142" s="53" t="s">
        <v>13</v>
      </c>
      <c r="C142" s="53" t="s">
        <v>14</v>
      </c>
      <c r="D142" s="53" t="s">
        <v>108</v>
      </c>
      <c r="E142" s="53" t="s">
        <v>109</v>
      </c>
      <c r="F142" s="53" t="s">
        <v>110</v>
      </c>
      <c r="G142" s="53">
        <v>7500</v>
      </c>
      <c r="H142" s="62">
        <v>45866</v>
      </c>
      <c r="I142" s="61" t="s">
        <v>898</v>
      </c>
      <c r="J142" s="61" t="s">
        <v>899</v>
      </c>
      <c r="K142" s="53">
        <v>352502483</v>
      </c>
      <c r="L142" s="53">
        <v>7870570436</v>
      </c>
      <c r="M142" s="55" t="s">
        <v>1028</v>
      </c>
    </row>
    <row r="143" spans="1:13" s="68" customFormat="1" x14ac:dyDescent="0.25">
      <c r="A143" s="61" t="s">
        <v>12</v>
      </c>
      <c r="B143" s="61" t="s">
        <v>13</v>
      </c>
      <c r="C143" s="61" t="s">
        <v>14</v>
      </c>
      <c r="D143" s="61" t="s">
        <v>31</v>
      </c>
      <c r="E143" s="61" t="s">
        <v>32</v>
      </c>
      <c r="F143" s="61" t="s">
        <v>33</v>
      </c>
      <c r="G143" s="53">
        <v>7500</v>
      </c>
      <c r="H143" s="62">
        <v>45866</v>
      </c>
      <c r="I143" s="61" t="s">
        <v>741</v>
      </c>
      <c r="J143" s="61" t="s">
        <v>22</v>
      </c>
      <c r="K143" s="53">
        <v>352502482</v>
      </c>
      <c r="L143" s="61">
        <v>9347726061</v>
      </c>
      <c r="M143" s="55" t="s">
        <v>1028</v>
      </c>
    </row>
    <row r="144" spans="1:13" x14ac:dyDescent="0.25">
      <c r="A144" s="53" t="s">
        <v>12</v>
      </c>
      <c r="B144" s="53" t="s">
        <v>13</v>
      </c>
      <c r="C144" s="53" t="s">
        <v>14</v>
      </c>
      <c r="D144" s="53" t="s">
        <v>36</v>
      </c>
      <c r="E144" s="53" t="s">
        <v>37</v>
      </c>
      <c r="F144" s="53" t="s">
        <v>38</v>
      </c>
      <c r="G144" s="61">
        <v>5450</v>
      </c>
      <c r="H144" s="62">
        <v>45867</v>
      </c>
      <c r="I144" s="53" t="s">
        <v>902</v>
      </c>
      <c r="J144" s="53" t="s">
        <v>901</v>
      </c>
      <c r="K144" s="53">
        <v>352502498</v>
      </c>
      <c r="L144" s="53">
        <v>9358936441</v>
      </c>
      <c r="M144" s="55" t="s">
        <v>1029</v>
      </c>
    </row>
    <row r="145" spans="1:13" x14ac:dyDescent="0.25">
      <c r="A145" s="53" t="s">
        <v>12</v>
      </c>
      <c r="B145" s="53" t="s">
        <v>13</v>
      </c>
      <c r="C145" s="53" t="s">
        <v>14</v>
      </c>
      <c r="D145" s="53" t="s">
        <v>936</v>
      </c>
      <c r="E145" s="54">
        <v>29230100027591</v>
      </c>
      <c r="F145" s="53" t="s">
        <v>937</v>
      </c>
      <c r="G145" s="61">
        <v>5450</v>
      </c>
      <c r="H145" s="62">
        <v>45867</v>
      </c>
      <c r="I145" s="61" t="s">
        <v>895</v>
      </c>
      <c r="J145" s="61" t="s">
        <v>896</v>
      </c>
      <c r="K145" s="53">
        <v>352502499</v>
      </c>
      <c r="L145" s="53">
        <v>6202164591</v>
      </c>
      <c r="M145" s="55" t="s">
        <v>1029</v>
      </c>
    </row>
    <row r="146" spans="1:13" x14ac:dyDescent="0.25">
      <c r="A146" s="53" t="s">
        <v>12</v>
      </c>
      <c r="B146" s="53" t="s">
        <v>13</v>
      </c>
      <c r="C146" s="53" t="s">
        <v>14</v>
      </c>
      <c r="D146" s="53" t="s">
        <v>108</v>
      </c>
      <c r="E146" s="53" t="s">
        <v>109</v>
      </c>
      <c r="F146" s="53" t="s">
        <v>110</v>
      </c>
      <c r="G146" s="53">
        <v>1000</v>
      </c>
      <c r="H146" s="62">
        <v>45867</v>
      </c>
      <c r="I146" s="61" t="s">
        <v>898</v>
      </c>
      <c r="J146" s="61" t="s">
        <v>899</v>
      </c>
      <c r="K146" s="53">
        <v>352502502</v>
      </c>
      <c r="L146" s="53">
        <v>7870570436</v>
      </c>
      <c r="M146" s="55" t="s">
        <v>1030</v>
      </c>
    </row>
    <row r="147" spans="1:13" s="68" customFormat="1" x14ac:dyDescent="0.25">
      <c r="A147" s="61" t="s">
        <v>12</v>
      </c>
      <c r="B147" s="61" t="s">
        <v>13</v>
      </c>
      <c r="C147" s="61" t="s">
        <v>14</v>
      </c>
      <c r="D147" s="61" t="s">
        <v>31</v>
      </c>
      <c r="E147" s="61" t="s">
        <v>32</v>
      </c>
      <c r="F147" s="61" t="s">
        <v>33</v>
      </c>
      <c r="G147" s="53">
        <v>1000</v>
      </c>
      <c r="H147" s="62">
        <v>45867</v>
      </c>
      <c r="I147" s="61" t="s">
        <v>741</v>
      </c>
      <c r="J147" s="61" t="s">
        <v>22</v>
      </c>
      <c r="K147" s="53">
        <v>352502503</v>
      </c>
      <c r="L147" s="61">
        <v>9347726061</v>
      </c>
      <c r="M147" s="55" t="s">
        <v>1030</v>
      </c>
    </row>
    <row r="148" spans="1:13" x14ac:dyDescent="0.25">
      <c r="A148" s="53" t="s">
        <v>12</v>
      </c>
      <c r="B148" s="53" t="s">
        <v>13</v>
      </c>
      <c r="C148" s="53" t="s">
        <v>14</v>
      </c>
      <c r="D148" s="53" t="s">
        <v>144</v>
      </c>
      <c r="E148" s="53">
        <v>42542201947</v>
      </c>
      <c r="F148" s="53" t="s">
        <v>145</v>
      </c>
      <c r="G148" s="61">
        <v>7500</v>
      </c>
      <c r="H148" s="62">
        <v>45867</v>
      </c>
      <c r="I148" s="53" t="s">
        <v>652</v>
      </c>
      <c r="J148" s="53" t="s">
        <v>147</v>
      </c>
      <c r="K148" s="53">
        <v>352502487</v>
      </c>
      <c r="L148" s="53">
        <v>7765824237</v>
      </c>
      <c r="M148" s="55" t="s">
        <v>1031</v>
      </c>
    </row>
    <row r="149" spans="1:13" x14ac:dyDescent="0.25">
      <c r="A149" s="53" t="s">
        <v>12</v>
      </c>
      <c r="B149" s="53" t="s">
        <v>13</v>
      </c>
      <c r="C149" s="53" t="s">
        <v>14</v>
      </c>
      <c r="D149" s="53" t="s">
        <v>48</v>
      </c>
      <c r="E149" s="53" t="s">
        <v>49</v>
      </c>
      <c r="F149" s="53" t="s">
        <v>50</v>
      </c>
      <c r="G149" s="61">
        <v>7500</v>
      </c>
      <c r="H149" s="62">
        <v>45867</v>
      </c>
      <c r="I149" s="53" t="s">
        <v>572</v>
      </c>
      <c r="J149" s="53" t="s">
        <v>34</v>
      </c>
      <c r="K149" s="53">
        <v>352502488</v>
      </c>
      <c r="L149" s="53">
        <v>8520078561</v>
      </c>
      <c r="M149" s="55" t="s">
        <v>1031</v>
      </c>
    </row>
    <row r="150" spans="1:13" x14ac:dyDescent="0.25">
      <c r="A150" s="53" t="s">
        <v>12</v>
      </c>
      <c r="B150" s="53" t="s">
        <v>13</v>
      </c>
      <c r="C150" s="53" t="s">
        <v>14</v>
      </c>
      <c r="D150" s="53" t="s">
        <v>993</v>
      </c>
      <c r="E150" s="69">
        <v>50100683547664</v>
      </c>
      <c r="F150" s="60" t="s">
        <v>994</v>
      </c>
      <c r="G150" s="53">
        <v>7500</v>
      </c>
      <c r="H150" s="62">
        <v>45868</v>
      </c>
      <c r="I150" s="61" t="s">
        <v>593</v>
      </c>
      <c r="J150" s="61" t="s">
        <v>76</v>
      </c>
      <c r="K150" s="53">
        <v>352502462</v>
      </c>
      <c r="L150" s="60">
        <v>8093441726</v>
      </c>
      <c r="M150" s="55" t="s">
        <v>1032</v>
      </c>
    </row>
    <row r="151" spans="1:13" x14ac:dyDescent="0.25">
      <c r="A151" s="53" t="s">
        <v>12</v>
      </c>
      <c r="B151" s="53" t="s">
        <v>13</v>
      </c>
      <c r="C151" s="53" t="s">
        <v>14</v>
      </c>
      <c r="D151" s="53" t="s">
        <v>978</v>
      </c>
      <c r="E151" s="69">
        <v>922010007032459</v>
      </c>
      <c r="F151" s="53" t="s">
        <v>979</v>
      </c>
      <c r="G151" s="53">
        <v>7500</v>
      </c>
      <c r="H151" s="62">
        <v>45868</v>
      </c>
      <c r="I151" s="61" t="s">
        <v>667</v>
      </c>
      <c r="J151" s="53" t="s">
        <v>98</v>
      </c>
      <c r="K151" s="53">
        <v>352502464</v>
      </c>
      <c r="L151" s="53">
        <v>9002149111</v>
      </c>
      <c r="M151" s="55" t="s">
        <v>1032</v>
      </c>
    </row>
    <row r="152" spans="1:13" x14ac:dyDescent="0.25">
      <c r="A152" s="53" t="s">
        <v>12</v>
      </c>
      <c r="B152" s="53" t="s">
        <v>13</v>
      </c>
      <c r="C152" s="53" t="s">
        <v>14</v>
      </c>
      <c r="D152" s="53" t="s">
        <v>936</v>
      </c>
      <c r="E152" s="54">
        <v>29230100027591</v>
      </c>
      <c r="F152" s="53" t="s">
        <v>937</v>
      </c>
      <c r="G152" s="61">
        <v>5550</v>
      </c>
      <c r="H152" s="62">
        <v>45868</v>
      </c>
      <c r="I152" s="61" t="s">
        <v>895</v>
      </c>
      <c r="J152" s="61" t="s">
        <v>896</v>
      </c>
      <c r="K152" s="53">
        <v>352502513</v>
      </c>
      <c r="L152" s="53">
        <v>6202164591</v>
      </c>
      <c r="M152" s="55" t="s">
        <v>1033</v>
      </c>
    </row>
    <row r="153" spans="1:13" x14ac:dyDescent="0.25">
      <c r="A153" s="53" t="s">
        <v>12</v>
      </c>
      <c r="B153" s="53" t="s">
        <v>13</v>
      </c>
      <c r="C153" s="53" t="s">
        <v>14</v>
      </c>
      <c r="D153" s="53" t="s">
        <v>152</v>
      </c>
      <c r="E153" s="53" t="s">
        <v>153</v>
      </c>
      <c r="F153" s="53" t="s">
        <v>154</v>
      </c>
      <c r="G153" s="53">
        <v>1000</v>
      </c>
      <c r="H153" s="62">
        <v>45868</v>
      </c>
      <c r="I153" s="61" t="s">
        <v>903</v>
      </c>
      <c r="J153" s="61" t="s">
        <v>904</v>
      </c>
      <c r="K153" s="53">
        <v>352502519</v>
      </c>
      <c r="L153" s="60">
        <v>6206444704</v>
      </c>
      <c r="M153" s="55" t="s">
        <v>1034</v>
      </c>
    </row>
    <row r="154" spans="1:13" x14ac:dyDescent="0.25">
      <c r="A154" s="53" t="s">
        <v>12</v>
      </c>
      <c r="B154" s="53" t="s">
        <v>13</v>
      </c>
      <c r="C154" s="53" t="s">
        <v>14</v>
      </c>
      <c r="D154" s="53" t="s">
        <v>48</v>
      </c>
      <c r="E154" s="53" t="s">
        <v>49</v>
      </c>
      <c r="F154" s="53" t="s">
        <v>50</v>
      </c>
      <c r="G154" s="53">
        <v>1000</v>
      </c>
      <c r="H154" s="62">
        <v>45868</v>
      </c>
      <c r="I154" s="53" t="s">
        <v>572</v>
      </c>
      <c r="J154" s="53" t="s">
        <v>34</v>
      </c>
      <c r="K154" s="53">
        <v>352502521</v>
      </c>
      <c r="L154" s="53">
        <v>8520078561</v>
      </c>
      <c r="M154" s="55" t="s">
        <v>1034</v>
      </c>
    </row>
    <row r="155" spans="1:13" x14ac:dyDescent="0.25">
      <c r="A155" s="53" t="s">
        <v>12</v>
      </c>
      <c r="B155" s="53" t="s">
        <v>13</v>
      </c>
      <c r="C155" s="53" t="s">
        <v>14</v>
      </c>
      <c r="D155" s="53" t="s">
        <v>48</v>
      </c>
      <c r="E155" s="53" t="s">
        <v>49</v>
      </c>
      <c r="F155" s="53" t="s">
        <v>50</v>
      </c>
      <c r="G155" s="53">
        <v>6400</v>
      </c>
      <c r="H155" s="62">
        <v>45868</v>
      </c>
      <c r="I155" s="53" t="s">
        <v>572</v>
      </c>
      <c r="J155" s="53" t="s">
        <v>34</v>
      </c>
      <c r="K155" s="53">
        <v>352502521</v>
      </c>
      <c r="L155" s="53">
        <v>8520078561</v>
      </c>
      <c r="M155" s="55" t="s">
        <v>1035</v>
      </c>
    </row>
    <row r="156" spans="1:13" x14ac:dyDescent="0.25">
      <c r="A156" s="53" t="s">
        <v>12</v>
      </c>
      <c r="B156" s="53" t="s">
        <v>13</v>
      </c>
      <c r="C156" s="53" t="s">
        <v>14</v>
      </c>
      <c r="D156" s="53" t="s">
        <v>36</v>
      </c>
      <c r="E156" s="53" t="s">
        <v>37</v>
      </c>
      <c r="F156" s="53" t="s">
        <v>38</v>
      </c>
      <c r="G156" s="61">
        <v>7700</v>
      </c>
      <c r="H156" s="62">
        <v>45868</v>
      </c>
      <c r="I156" s="53" t="s">
        <v>902</v>
      </c>
      <c r="J156" s="53" t="s">
        <v>901</v>
      </c>
      <c r="K156" s="53">
        <v>352502512</v>
      </c>
      <c r="L156" s="53">
        <v>9358936441</v>
      </c>
      <c r="M156" s="55" t="s">
        <v>1036</v>
      </c>
    </row>
    <row r="157" spans="1:13" x14ac:dyDescent="0.25">
      <c r="A157" s="53" t="s">
        <v>12</v>
      </c>
      <c r="B157" s="53" t="s">
        <v>13</v>
      </c>
      <c r="C157" s="53" t="s">
        <v>14</v>
      </c>
      <c r="D157" s="53" t="s">
        <v>95</v>
      </c>
      <c r="E157" s="53" t="s">
        <v>96</v>
      </c>
      <c r="F157" s="53" t="s">
        <v>33</v>
      </c>
      <c r="G157" s="61">
        <v>2500</v>
      </c>
      <c r="H157" s="62">
        <v>45868</v>
      </c>
      <c r="I157" s="61" t="s">
        <v>571</v>
      </c>
      <c r="J157" s="61" t="s">
        <v>59</v>
      </c>
      <c r="K157" s="53">
        <v>352502505</v>
      </c>
      <c r="L157" s="53">
        <v>8159025834</v>
      </c>
      <c r="M157" s="55" t="s">
        <v>1037</v>
      </c>
    </row>
    <row r="158" spans="1:13" x14ac:dyDescent="0.25">
      <c r="A158" s="53" t="s">
        <v>12</v>
      </c>
      <c r="B158" s="53" t="s">
        <v>13</v>
      </c>
      <c r="C158" s="53" t="s">
        <v>14</v>
      </c>
      <c r="D158" s="53" t="s">
        <v>435</v>
      </c>
      <c r="E158" s="53">
        <v>31095925572</v>
      </c>
      <c r="F158" s="60" t="s">
        <v>33</v>
      </c>
      <c r="G158" s="61">
        <v>6400</v>
      </c>
      <c r="H158" s="62">
        <v>45869</v>
      </c>
      <c r="I158" s="61" t="s">
        <v>966</v>
      </c>
      <c r="J158" s="61" t="s">
        <v>967</v>
      </c>
      <c r="K158" s="53">
        <v>352502542</v>
      </c>
      <c r="L158" s="60">
        <v>8084080392</v>
      </c>
      <c r="M158" s="55" t="s">
        <v>1038</v>
      </c>
    </row>
    <row r="159" spans="1:13" x14ac:dyDescent="0.25">
      <c r="A159" s="53" t="s">
        <v>12</v>
      </c>
      <c r="B159" s="53" t="s">
        <v>13</v>
      </c>
      <c r="C159" s="53" t="s">
        <v>14</v>
      </c>
      <c r="D159" s="53" t="s">
        <v>36</v>
      </c>
      <c r="E159" s="53" t="s">
        <v>37</v>
      </c>
      <c r="F159" s="53" t="s">
        <v>38</v>
      </c>
      <c r="G159" s="61">
        <v>5200</v>
      </c>
      <c r="H159" s="62">
        <v>45869</v>
      </c>
      <c r="I159" s="53" t="s">
        <v>902</v>
      </c>
      <c r="J159" s="53" t="s">
        <v>901</v>
      </c>
      <c r="K159" s="53">
        <v>352502575</v>
      </c>
      <c r="L159" s="53">
        <v>9358936441</v>
      </c>
      <c r="M159" s="55" t="s">
        <v>1039</v>
      </c>
    </row>
    <row r="160" spans="1:13" x14ac:dyDescent="0.25">
      <c r="A160" s="53" t="s">
        <v>12</v>
      </c>
      <c r="B160" s="53" t="s">
        <v>13</v>
      </c>
      <c r="C160" s="53" t="s">
        <v>14</v>
      </c>
      <c r="D160" s="53" t="s">
        <v>48</v>
      </c>
      <c r="E160" s="53" t="s">
        <v>49</v>
      </c>
      <c r="F160" s="53" t="s">
        <v>50</v>
      </c>
      <c r="G160" s="53">
        <v>4950</v>
      </c>
      <c r="H160" s="62">
        <v>45869</v>
      </c>
      <c r="I160" s="53" t="s">
        <v>572</v>
      </c>
      <c r="J160" s="53" t="s">
        <v>34</v>
      </c>
      <c r="K160" s="53">
        <v>352502573</v>
      </c>
      <c r="L160" s="53">
        <v>8520078561</v>
      </c>
      <c r="M160" s="55" t="s">
        <v>1040</v>
      </c>
    </row>
  </sheetData>
  <autoFilter ref="A1:M160"/>
  <pageMargins left="0.7" right="0.7" top="0.75" bottom="0.75" header="0.3" footer="0.3"/>
  <pageSetup orientation="portrait" r:id="rId1"/>
  <ignoredErrors>
    <ignoredError sqref="C2:C16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42"/>
  <sheetViews>
    <sheetView workbookViewId="0">
      <pane ySplit="1" topLeftCell="A60" activePane="bottomLeft" state="frozen"/>
      <selection pane="bottomLeft" activeCell="G114" sqref="G114"/>
    </sheetView>
  </sheetViews>
  <sheetFormatPr defaultRowHeight="12" x14ac:dyDescent="0.25"/>
  <cols>
    <col min="1" max="1" width="17.88671875" style="59" customWidth="1"/>
    <col min="2" max="2" width="9.88671875" style="59" customWidth="1"/>
    <col min="3" max="3" width="13" style="59" customWidth="1"/>
    <col min="4" max="4" width="14" style="59" bestFit="1" customWidth="1"/>
    <col min="5" max="5" width="15.33203125" style="59" bestFit="1" customWidth="1"/>
    <col min="6" max="6" width="12.44140625" style="59" bestFit="1" customWidth="1"/>
    <col min="7" max="7" width="9" style="59" customWidth="1"/>
    <col min="8" max="8" width="13.33203125" style="59" bestFit="1" customWidth="1"/>
    <col min="9" max="9" width="15" style="59" bestFit="1" customWidth="1"/>
    <col min="10" max="10" width="10.77734375" style="59" bestFit="1" customWidth="1"/>
    <col min="11" max="11" width="8.109375" style="59" customWidth="1"/>
    <col min="12" max="12" width="13.109375" style="59" customWidth="1"/>
    <col min="13" max="13" width="48.6640625" style="59" bestFit="1" customWidth="1"/>
    <col min="14" max="16384" width="8.88671875" style="59"/>
  </cols>
  <sheetData>
    <row r="1" spans="1:13" ht="15.6" customHeight="1" x14ac:dyDescent="0.25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7" t="s">
        <v>7</v>
      </c>
      <c r="I1" s="56" t="s">
        <v>8</v>
      </c>
      <c r="J1" s="56" t="s">
        <v>9</v>
      </c>
      <c r="K1" s="56" t="s">
        <v>10</v>
      </c>
      <c r="L1" s="56" t="s">
        <v>949</v>
      </c>
      <c r="M1" s="58" t="s">
        <v>11</v>
      </c>
    </row>
    <row r="2" spans="1:13" x14ac:dyDescent="0.25">
      <c r="A2" s="53" t="s">
        <v>12</v>
      </c>
      <c r="B2" s="53" t="s">
        <v>13</v>
      </c>
      <c r="C2" s="53" t="s">
        <v>14</v>
      </c>
      <c r="D2" s="53" t="s">
        <v>978</v>
      </c>
      <c r="E2" s="69">
        <v>922010007032459</v>
      </c>
      <c r="F2" s="53" t="s">
        <v>979</v>
      </c>
      <c r="G2" s="53">
        <v>4500</v>
      </c>
      <c r="H2" s="62">
        <v>45870</v>
      </c>
      <c r="I2" s="61" t="s">
        <v>667</v>
      </c>
      <c r="J2" s="53" t="s">
        <v>98</v>
      </c>
      <c r="K2" s="53">
        <v>352502547</v>
      </c>
      <c r="L2" s="53">
        <v>9002149111</v>
      </c>
      <c r="M2" s="55" t="s">
        <v>1041</v>
      </c>
    </row>
    <row r="3" spans="1:13" hidden="1" x14ac:dyDescent="0.25">
      <c r="A3" s="53" t="s">
        <v>12</v>
      </c>
      <c r="B3" s="53" t="s">
        <v>13</v>
      </c>
      <c r="C3" s="53" t="s">
        <v>14</v>
      </c>
      <c r="D3" s="53" t="s">
        <v>152</v>
      </c>
      <c r="E3" s="53" t="s">
        <v>153</v>
      </c>
      <c r="F3" s="53" t="s">
        <v>154</v>
      </c>
      <c r="G3" s="53">
        <v>6400</v>
      </c>
      <c r="H3" s="62">
        <v>45870</v>
      </c>
      <c r="I3" s="61" t="s">
        <v>903</v>
      </c>
      <c r="J3" s="61" t="s">
        <v>904</v>
      </c>
      <c r="K3" s="53">
        <v>352502519</v>
      </c>
      <c r="L3" s="60">
        <v>6206444704</v>
      </c>
      <c r="M3" s="55" t="s">
        <v>1041</v>
      </c>
    </row>
    <row r="4" spans="1:13" hidden="1" x14ac:dyDescent="0.25">
      <c r="A4" s="53" t="s">
        <v>12</v>
      </c>
      <c r="B4" s="53" t="s">
        <v>13</v>
      </c>
      <c r="C4" s="53" t="s">
        <v>14</v>
      </c>
      <c r="D4" s="53" t="s">
        <v>435</v>
      </c>
      <c r="E4" s="53">
        <v>31095925572</v>
      </c>
      <c r="F4" s="60" t="s">
        <v>33</v>
      </c>
      <c r="G4" s="61">
        <v>6400</v>
      </c>
      <c r="H4" s="62">
        <v>45870</v>
      </c>
      <c r="I4" s="61" t="s">
        <v>966</v>
      </c>
      <c r="J4" s="61" t="s">
        <v>967</v>
      </c>
      <c r="K4" s="53">
        <v>352502581</v>
      </c>
      <c r="L4" s="60">
        <v>8084080392</v>
      </c>
      <c r="M4" s="55" t="s">
        <v>1041</v>
      </c>
    </row>
    <row r="5" spans="1:13" hidden="1" x14ac:dyDescent="0.25">
      <c r="A5" s="53" t="s">
        <v>12</v>
      </c>
      <c r="B5" s="53" t="s">
        <v>13</v>
      </c>
      <c r="C5" s="53" t="s">
        <v>14</v>
      </c>
      <c r="D5" s="53" t="s">
        <v>936</v>
      </c>
      <c r="E5" s="54">
        <v>29230100027591</v>
      </c>
      <c r="F5" s="53" t="s">
        <v>937</v>
      </c>
      <c r="G5" s="61">
        <v>5200</v>
      </c>
      <c r="H5" s="62">
        <v>45870</v>
      </c>
      <c r="I5" s="61" t="s">
        <v>895</v>
      </c>
      <c r="J5" s="61" t="s">
        <v>896</v>
      </c>
      <c r="K5" s="53">
        <v>352502595</v>
      </c>
      <c r="L5" s="53">
        <v>6202164591</v>
      </c>
      <c r="M5" s="55" t="s">
        <v>1042</v>
      </c>
    </row>
    <row r="6" spans="1:13" x14ac:dyDescent="0.25">
      <c r="A6" s="53" t="s">
        <v>12</v>
      </c>
      <c r="B6" s="53" t="s">
        <v>13</v>
      </c>
      <c r="C6" s="53" t="s">
        <v>14</v>
      </c>
      <c r="D6" s="53" t="s">
        <v>144</v>
      </c>
      <c r="E6" s="53">
        <v>42542201947</v>
      </c>
      <c r="F6" s="53" t="s">
        <v>145</v>
      </c>
      <c r="G6" s="61">
        <v>500</v>
      </c>
      <c r="H6" s="62">
        <v>45870</v>
      </c>
      <c r="I6" s="53" t="s">
        <v>652</v>
      </c>
      <c r="J6" s="53" t="s">
        <v>147</v>
      </c>
      <c r="K6" s="53">
        <v>352502546</v>
      </c>
      <c r="L6" s="53">
        <v>7765824237</v>
      </c>
      <c r="M6" s="55" t="s">
        <v>1043</v>
      </c>
    </row>
    <row r="7" spans="1:13" s="68" customFormat="1" hidden="1" x14ac:dyDescent="0.25">
      <c r="A7" s="61" t="s">
        <v>12</v>
      </c>
      <c r="B7" s="61" t="s">
        <v>13</v>
      </c>
      <c r="C7" s="61" t="s">
        <v>14</v>
      </c>
      <c r="D7" s="61" t="s">
        <v>31</v>
      </c>
      <c r="E7" s="61" t="s">
        <v>32</v>
      </c>
      <c r="F7" s="61" t="s">
        <v>33</v>
      </c>
      <c r="G7" s="53">
        <v>1500</v>
      </c>
      <c r="H7" s="62">
        <v>45871</v>
      </c>
      <c r="I7" s="61" t="s">
        <v>741</v>
      </c>
      <c r="J7" s="61" t="s">
        <v>22</v>
      </c>
      <c r="K7" s="53">
        <v>352502503</v>
      </c>
      <c r="L7" s="61">
        <v>9347726061</v>
      </c>
      <c r="M7" s="55" t="s">
        <v>1046</v>
      </c>
    </row>
    <row r="8" spans="1:13" hidden="1" x14ac:dyDescent="0.25">
      <c r="A8" s="53" t="s">
        <v>12</v>
      </c>
      <c r="B8" s="53" t="s">
        <v>13</v>
      </c>
      <c r="C8" s="53" t="s">
        <v>14</v>
      </c>
      <c r="D8" s="53" t="s">
        <v>152</v>
      </c>
      <c r="E8" s="53" t="s">
        <v>153</v>
      </c>
      <c r="F8" s="53" t="s">
        <v>154</v>
      </c>
      <c r="G8" s="53">
        <v>5200</v>
      </c>
      <c r="H8" s="62">
        <v>45871</v>
      </c>
      <c r="I8" s="61" t="s">
        <v>903</v>
      </c>
      <c r="J8" s="61" t="s">
        <v>904</v>
      </c>
      <c r="K8" s="53">
        <v>352502612</v>
      </c>
      <c r="L8" s="60">
        <v>6206444704</v>
      </c>
      <c r="M8" s="55" t="s">
        <v>1044</v>
      </c>
    </row>
    <row r="9" spans="1:13" hidden="1" x14ac:dyDescent="0.25">
      <c r="A9" s="53" t="s">
        <v>12</v>
      </c>
      <c r="B9" s="53" t="s">
        <v>13</v>
      </c>
      <c r="C9" s="53" t="s">
        <v>14</v>
      </c>
      <c r="D9" s="53" t="s">
        <v>993</v>
      </c>
      <c r="E9" s="69">
        <v>50100683547664</v>
      </c>
      <c r="F9" s="60" t="s">
        <v>994</v>
      </c>
      <c r="G9" s="53">
        <v>6400</v>
      </c>
      <c r="H9" s="62">
        <v>45871</v>
      </c>
      <c r="I9" s="61" t="s">
        <v>593</v>
      </c>
      <c r="J9" s="61" t="s">
        <v>76</v>
      </c>
      <c r="K9" s="53">
        <v>352502580</v>
      </c>
      <c r="L9" s="60">
        <v>8093441726</v>
      </c>
      <c r="M9" s="55" t="s">
        <v>1045</v>
      </c>
    </row>
    <row r="10" spans="1:13" hidden="1" x14ac:dyDescent="0.25">
      <c r="A10" s="53" t="s">
        <v>12</v>
      </c>
      <c r="B10" s="53" t="s">
        <v>13</v>
      </c>
      <c r="C10" s="53" t="s">
        <v>14</v>
      </c>
      <c r="D10" s="53" t="s">
        <v>48</v>
      </c>
      <c r="E10" s="53" t="s">
        <v>49</v>
      </c>
      <c r="F10" s="53" t="s">
        <v>50</v>
      </c>
      <c r="G10" s="53">
        <v>6400</v>
      </c>
      <c r="H10" s="62">
        <v>45871</v>
      </c>
      <c r="I10" s="53" t="s">
        <v>572</v>
      </c>
      <c r="J10" s="53" t="s">
        <v>34</v>
      </c>
      <c r="K10" s="53">
        <v>352502590</v>
      </c>
      <c r="L10" s="53">
        <v>8520078561</v>
      </c>
      <c r="M10" s="55" t="s">
        <v>1045</v>
      </c>
    </row>
    <row r="11" spans="1:13" hidden="1" x14ac:dyDescent="0.25">
      <c r="A11" s="53" t="s">
        <v>12</v>
      </c>
      <c r="B11" s="53" t="s">
        <v>13</v>
      </c>
      <c r="C11" s="53" t="s">
        <v>14</v>
      </c>
      <c r="D11" s="53" t="s">
        <v>36</v>
      </c>
      <c r="E11" s="53" t="s">
        <v>37</v>
      </c>
      <c r="F11" s="53" t="s">
        <v>38</v>
      </c>
      <c r="G11" s="53">
        <v>6400</v>
      </c>
      <c r="H11" s="62">
        <v>45871</v>
      </c>
      <c r="I11" s="53" t="s">
        <v>902</v>
      </c>
      <c r="J11" s="53" t="s">
        <v>901</v>
      </c>
      <c r="K11" s="53">
        <v>352502589</v>
      </c>
      <c r="L11" s="53">
        <v>9358936441</v>
      </c>
      <c r="M11" s="55" t="s">
        <v>1045</v>
      </c>
    </row>
    <row r="12" spans="1:13" hidden="1" x14ac:dyDescent="0.25">
      <c r="A12" s="53" t="s">
        <v>12</v>
      </c>
      <c r="B12" s="53" t="s">
        <v>13</v>
      </c>
      <c r="C12" s="53" t="s">
        <v>14</v>
      </c>
      <c r="D12" s="53" t="s">
        <v>435</v>
      </c>
      <c r="E12" s="53">
        <v>31095925572</v>
      </c>
      <c r="F12" s="60" t="s">
        <v>33</v>
      </c>
      <c r="G12" s="61">
        <v>6400</v>
      </c>
      <c r="H12" s="62">
        <v>45871</v>
      </c>
      <c r="I12" s="61" t="s">
        <v>966</v>
      </c>
      <c r="J12" s="61" t="s">
        <v>967</v>
      </c>
      <c r="K12" s="53">
        <v>352502613</v>
      </c>
      <c r="L12" s="60">
        <v>8084080392</v>
      </c>
      <c r="M12" s="55" t="s">
        <v>1045</v>
      </c>
    </row>
    <row r="13" spans="1:13" x14ac:dyDescent="0.25">
      <c r="A13" s="53" t="s">
        <v>12</v>
      </c>
      <c r="B13" s="53" t="s">
        <v>13</v>
      </c>
      <c r="C13" s="53" t="s">
        <v>14</v>
      </c>
      <c r="D13" s="53" t="s">
        <v>144</v>
      </c>
      <c r="E13" s="53">
        <v>42542201947</v>
      </c>
      <c r="F13" s="53" t="s">
        <v>145</v>
      </c>
      <c r="G13" s="61">
        <v>300</v>
      </c>
      <c r="H13" s="62">
        <v>45871</v>
      </c>
      <c r="I13" s="53" t="s">
        <v>652</v>
      </c>
      <c r="J13" s="53" t="s">
        <v>147</v>
      </c>
      <c r="K13" s="53">
        <v>352502546</v>
      </c>
      <c r="L13" s="53">
        <v>7765824237</v>
      </c>
      <c r="M13" s="55" t="s">
        <v>1047</v>
      </c>
    </row>
    <row r="14" spans="1:13" x14ac:dyDescent="0.25">
      <c r="A14" s="53" t="s">
        <v>12</v>
      </c>
      <c r="B14" s="53" t="s">
        <v>13</v>
      </c>
      <c r="C14" s="53" t="s">
        <v>14</v>
      </c>
      <c r="D14" s="53" t="s">
        <v>144</v>
      </c>
      <c r="E14" s="53">
        <v>42542201947</v>
      </c>
      <c r="F14" s="53" t="s">
        <v>145</v>
      </c>
      <c r="G14" s="61">
        <v>6400</v>
      </c>
      <c r="H14" s="62">
        <v>45871</v>
      </c>
      <c r="I14" s="53" t="s">
        <v>652</v>
      </c>
      <c r="J14" s="53" t="s">
        <v>147</v>
      </c>
      <c r="K14" s="53">
        <v>352502546</v>
      </c>
      <c r="L14" s="53">
        <v>7765824237</v>
      </c>
      <c r="M14" s="55" t="s">
        <v>1048</v>
      </c>
    </row>
    <row r="15" spans="1:13" x14ac:dyDescent="0.25">
      <c r="A15" s="53" t="s">
        <v>12</v>
      </c>
      <c r="B15" s="53" t="s">
        <v>13</v>
      </c>
      <c r="C15" s="53" t="s">
        <v>14</v>
      </c>
      <c r="D15" s="53" t="s">
        <v>978</v>
      </c>
      <c r="E15" s="69">
        <v>922010007032459</v>
      </c>
      <c r="F15" s="53" t="s">
        <v>979</v>
      </c>
      <c r="G15" s="61">
        <v>6400</v>
      </c>
      <c r="H15" s="62">
        <v>45871</v>
      </c>
      <c r="I15" s="61" t="s">
        <v>667</v>
      </c>
      <c r="J15" s="53" t="s">
        <v>98</v>
      </c>
      <c r="K15" s="53">
        <v>352502614</v>
      </c>
      <c r="L15" s="53">
        <v>9002149111</v>
      </c>
      <c r="M15" s="55" t="s">
        <v>1048</v>
      </c>
    </row>
    <row r="16" spans="1:13" hidden="1" x14ac:dyDescent="0.25">
      <c r="A16" s="53" t="s">
        <v>12</v>
      </c>
      <c r="B16" s="53" t="s">
        <v>13</v>
      </c>
      <c r="C16" s="53" t="s">
        <v>14</v>
      </c>
      <c r="D16" s="53" t="s">
        <v>936</v>
      </c>
      <c r="E16" s="54">
        <v>29230100027591</v>
      </c>
      <c r="F16" s="53" t="s">
        <v>937</v>
      </c>
      <c r="G16" s="61">
        <v>6400</v>
      </c>
      <c r="H16" s="62">
        <v>45872</v>
      </c>
      <c r="I16" s="61" t="s">
        <v>895</v>
      </c>
      <c r="J16" s="61" t="s">
        <v>896</v>
      </c>
      <c r="K16" s="53">
        <v>352502608</v>
      </c>
      <c r="L16" s="53">
        <v>6202164591</v>
      </c>
      <c r="M16" s="55" t="s">
        <v>1049</v>
      </c>
    </row>
    <row r="17" spans="1:13" hidden="1" x14ac:dyDescent="0.25">
      <c r="A17" s="53" t="s">
        <v>12</v>
      </c>
      <c r="B17" s="53" t="s">
        <v>13</v>
      </c>
      <c r="C17" s="53" t="s">
        <v>14</v>
      </c>
      <c r="D17" s="53" t="s">
        <v>435</v>
      </c>
      <c r="E17" s="53">
        <v>31095925572</v>
      </c>
      <c r="F17" s="60" t="s">
        <v>33</v>
      </c>
      <c r="G17" s="61">
        <v>6400</v>
      </c>
      <c r="H17" s="62">
        <v>45873</v>
      </c>
      <c r="I17" s="61" t="s">
        <v>966</v>
      </c>
      <c r="J17" s="61" t="s">
        <v>967</v>
      </c>
      <c r="K17" s="53">
        <v>352502632</v>
      </c>
      <c r="L17" s="60">
        <v>8084080392</v>
      </c>
      <c r="M17" s="55" t="s">
        <v>1050</v>
      </c>
    </row>
    <row r="18" spans="1:13" hidden="1" x14ac:dyDescent="0.25">
      <c r="A18" s="53" t="s">
        <v>12</v>
      </c>
      <c r="B18" s="53" t="s">
        <v>13</v>
      </c>
      <c r="C18" s="53" t="s">
        <v>14</v>
      </c>
      <c r="D18" s="53" t="s">
        <v>993</v>
      </c>
      <c r="E18" s="69">
        <v>50100683547664</v>
      </c>
      <c r="F18" s="60" t="s">
        <v>994</v>
      </c>
      <c r="G18" s="53">
        <v>5200</v>
      </c>
      <c r="H18" s="62">
        <v>45873</v>
      </c>
      <c r="I18" s="61" t="s">
        <v>593</v>
      </c>
      <c r="J18" s="61" t="s">
        <v>76</v>
      </c>
      <c r="K18" s="53">
        <v>352502631</v>
      </c>
      <c r="L18" s="60">
        <v>8093441726</v>
      </c>
      <c r="M18" s="55" t="s">
        <v>1051</v>
      </c>
    </row>
    <row r="19" spans="1:13" hidden="1" x14ac:dyDescent="0.25">
      <c r="A19" s="53" t="s">
        <v>12</v>
      </c>
      <c r="B19" s="53" t="s">
        <v>13</v>
      </c>
      <c r="C19" s="53" t="s">
        <v>14</v>
      </c>
      <c r="D19" s="53" t="s">
        <v>36</v>
      </c>
      <c r="E19" s="53" t="s">
        <v>37</v>
      </c>
      <c r="F19" s="53" t="s">
        <v>38</v>
      </c>
      <c r="G19" s="53">
        <v>5450</v>
      </c>
      <c r="H19" s="62">
        <v>45873</v>
      </c>
      <c r="I19" s="53" t="s">
        <v>902</v>
      </c>
      <c r="J19" s="53" t="s">
        <v>901</v>
      </c>
      <c r="K19" s="53">
        <v>352502633</v>
      </c>
      <c r="L19" s="53">
        <v>9358936441</v>
      </c>
      <c r="M19" s="55" t="s">
        <v>1052</v>
      </c>
    </row>
    <row r="20" spans="1:13" hidden="1" x14ac:dyDescent="0.25">
      <c r="A20" s="53" t="s">
        <v>12</v>
      </c>
      <c r="B20" s="53" t="s">
        <v>13</v>
      </c>
      <c r="C20" s="53" t="s">
        <v>14</v>
      </c>
      <c r="D20" s="53" t="s">
        <v>152</v>
      </c>
      <c r="E20" s="53" t="s">
        <v>153</v>
      </c>
      <c r="F20" s="53" t="s">
        <v>154</v>
      </c>
      <c r="G20" s="53">
        <v>5450</v>
      </c>
      <c r="H20" s="62">
        <v>45873</v>
      </c>
      <c r="I20" s="61" t="s">
        <v>903</v>
      </c>
      <c r="J20" s="61" t="s">
        <v>904</v>
      </c>
      <c r="K20" s="53">
        <v>352502634</v>
      </c>
      <c r="L20" s="60">
        <v>6206444704</v>
      </c>
      <c r="M20" s="55" t="s">
        <v>1052</v>
      </c>
    </row>
    <row r="21" spans="1:13" hidden="1" x14ac:dyDescent="0.25">
      <c r="A21" s="53" t="s">
        <v>12</v>
      </c>
      <c r="B21" s="53" t="s">
        <v>13</v>
      </c>
      <c r="C21" s="53" t="s">
        <v>14</v>
      </c>
      <c r="D21" s="53" t="s">
        <v>36</v>
      </c>
      <c r="E21" s="53" t="s">
        <v>37</v>
      </c>
      <c r="F21" s="53" t="s">
        <v>38</v>
      </c>
      <c r="G21" s="53">
        <v>5450</v>
      </c>
      <c r="H21" s="62">
        <v>45874</v>
      </c>
      <c r="I21" s="53" t="s">
        <v>902</v>
      </c>
      <c r="J21" s="53" t="s">
        <v>901</v>
      </c>
      <c r="K21" s="53">
        <v>352502647</v>
      </c>
      <c r="L21" s="53">
        <v>9358936441</v>
      </c>
      <c r="M21" s="55" t="s">
        <v>1053</v>
      </c>
    </row>
    <row r="22" spans="1:13" hidden="1" x14ac:dyDescent="0.25">
      <c r="A22" s="53" t="s">
        <v>12</v>
      </c>
      <c r="B22" s="53" t="s">
        <v>13</v>
      </c>
      <c r="C22" s="53" t="s">
        <v>14</v>
      </c>
      <c r="D22" s="53" t="s">
        <v>152</v>
      </c>
      <c r="E22" s="53" t="s">
        <v>153</v>
      </c>
      <c r="F22" s="53" t="s">
        <v>154</v>
      </c>
      <c r="G22" s="53">
        <v>5450</v>
      </c>
      <c r="H22" s="62">
        <v>45874</v>
      </c>
      <c r="I22" s="61" t="s">
        <v>903</v>
      </c>
      <c r="J22" s="61" t="s">
        <v>904</v>
      </c>
      <c r="K22" s="53">
        <v>352502648</v>
      </c>
      <c r="L22" s="60">
        <v>6206444704</v>
      </c>
      <c r="M22" s="55" t="s">
        <v>1053</v>
      </c>
    </row>
    <row r="23" spans="1:13" hidden="1" x14ac:dyDescent="0.25">
      <c r="A23" s="53" t="s">
        <v>12</v>
      </c>
      <c r="B23" s="53" t="s">
        <v>13</v>
      </c>
      <c r="C23" s="53" t="s">
        <v>14</v>
      </c>
      <c r="D23" s="53" t="s">
        <v>435</v>
      </c>
      <c r="E23" s="53">
        <v>31095925572</v>
      </c>
      <c r="F23" s="60" t="s">
        <v>33</v>
      </c>
      <c r="G23" s="61">
        <v>6400</v>
      </c>
      <c r="H23" s="62">
        <v>45874</v>
      </c>
      <c r="I23" s="61" t="s">
        <v>966</v>
      </c>
      <c r="J23" s="61" t="s">
        <v>967</v>
      </c>
      <c r="K23" s="53">
        <v>352502646</v>
      </c>
      <c r="L23" s="60">
        <v>8084080392</v>
      </c>
      <c r="M23" s="55" t="s">
        <v>1054</v>
      </c>
    </row>
    <row r="24" spans="1:13" hidden="1" x14ac:dyDescent="0.25">
      <c r="A24" s="53" t="s">
        <v>12</v>
      </c>
      <c r="B24" s="53" t="s">
        <v>13</v>
      </c>
      <c r="C24" s="53" t="s">
        <v>14</v>
      </c>
      <c r="D24" s="53" t="s">
        <v>48</v>
      </c>
      <c r="E24" s="53" t="s">
        <v>49</v>
      </c>
      <c r="F24" s="53" t="s">
        <v>50</v>
      </c>
      <c r="G24" s="53">
        <v>6400</v>
      </c>
      <c r="H24" s="62">
        <v>45874</v>
      </c>
      <c r="I24" s="53" t="s">
        <v>572</v>
      </c>
      <c r="J24" s="53" t="s">
        <v>34</v>
      </c>
      <c r="K24" s="53">
        <v>352502625</v>
      </c>
      <c r="L24" s="53">
        <v>8520078561</v>
      </c>
      <c r="M24" s="55" t="s">
        <v>1054</v>
      </c>
    </row>
    <row r="25" spans="1:13" x14ac:dyDescent="0.25">
      <c r="A25" s="53" t="s">
        <v>12</v>
      </c>
      <c r="B25" s="53" t="s">
        <v>13</v>
      </c>
      <c r="C25" s="53" t="s">
        <v>14</v>
      </c>
      <c r="D25" s="53" t="s">
        <v>978</v>
      </c>
      <c r="E25" s="69">
        <v>922010007032459</v>
      </c>
      <c r="F25" s="53" t="s">
        <v>979</v>
      </c>
      <c r="G25" s="61">
        <v>6400</v>
      </c>
      <c r="H25" s="62">
        <v>45874</v>
      </c>
      <c r="I25" s="61" t="s">
        <v>667</v>
      </c>
      <c r="J25" s="53" t="s">
        <v>98</v>
      </c>
      <c r="K25" s="53">
        <v>352502614</v>
      </c>
      <c r="L25" s="53">
        <v>9002149111</v>
      </c>
      <c r="M25" s="55" t="s">
        <v>1054</v>
      </c>
    </row>
    <row r="26" spans="1:13" hidden="1" x14ac:dyDescent="0.25">
      <c r="A26" s="53" t="s">
        <v>12</v>
      </c>
      <c r="B26" s="53" t="s">
        <v>13</v>
      </c>
      <c r="C26" s="53" t="s">
        <v>14</v>
      </c>
      <c r="D26" s="53" t="s">
        <v>108</v>
      </c>
      <c r="E26" s="53" t="s">
        <v>109</v>
      </c>
      <c r="F26" s="53" t="s">
        <v>110</v>
      </c>
      <c r="G26" s="63">
        <v>2400</v>
      </c>
      <c r="H26" s="62">
        <v>45874</v>
      </c>
      <c r="I26" s="61" t="s">
        <v>898</v>
      </c>
      <c r="J26" s="61" t="s">
        <v>899</v>
      </c>
      <c r="K26" s="60">
        <v>352502636</v>
      </c>
      <c r="L26" s="53">
        <v>7870570436</v>
      </c>
      <c r="M26" s="55" t="s">
        <v>1055</v>
      </c>
    </row>
    <row r="27" spans="1:13" hidden="1" x14ac:dyDescent="0.25">
      <c r="A27" s="53" t="s">
        <v>12</v>
      </c>
      <c r="B27" s="53" t="s">
        <v>13</v>
      </c>
      <c r="C27" s="53" t="s">
        <v>14</v>
      </c>
      <c r="D27" s="53" t="s">
        <v>993</v>
      </c>
      <c r="E27" s="69">
        <v>50100683547664</v>
      </c>
      <c r="F27" s="60" t="s">
        <v>994</v>
      </c>
      <c r="G27" s="53">
        <v>5200</v>
      </c>
      <c r="H27" s="62">
        <v>45874</v>
      </c>
      <c r="I27" s="61" t="s">
        <v>593</v>
      </c>
      <c r="J27" s="61" t="s">
        <v>76</v>
      </c>
      <c r="K27" s="53">
        <v>352502649</v>
      </c>
      <c r="L27" s="60">
        <v>8093441726</v>
      </c>
      <c r="M27" s="55" t="s">
        <v>1056</v>
      </c>
    </row>
    <row r="28" spans="1:13" hidden="1" x14ac:dyDescent="0.25">
      <c r="A28" s="53" t="s">
        <v>12</v>
      </c>
      <c r="B28" s="53" t="s">
        <v>13</v>
      </c>
      <c r="C28" s="53" t="s">
        <v>14</v>
      </c>
      <c r="D28" s="53" t="s">
        <v>36</v>
      </c>
      <c r="E28" s="53" t="s">
        <v>37</v>
      </c>
      <c r="F28" s="53" t="s">
        <v>38</v>
      </c>
      <c r="G28" s="53">
        <v>5450</v>
      </c>
      <c r="H28" s="62">
        <v>45875</v>
      </c>
      <c r="I28" s="53" t="s">
        <v>902</v>
      </c>
      <c r="J28" s="53" t="s">
        <v>901</v>
      </c>
      <c r="K28" s="53">
        <v>352502677</v>
      </c>
      <c r="L28" s="53">
        <v>9358936441</v>
      </c>
      <c r="M28" s="55" t="s">
        <v>1057</v>
      </c>
    </row>
    <row r="29" spans="1:13" hidden="1" x14ac:dyDescent="0.25">
      <c r="A29" s="53" t="s">
        <v>12</v>
      </c>
      <c r="B29" s="53" t="s">
        <v>13</v>
      </c>
      <c r="C29" s="53" t="s">
        <v>14</v>
      </c>
      <c r="D29" s="53" t="s">
        <v>152</v>
      </c>
      <c r="E29" s="53" t="s">
        <v>153</v>
      </c>
      <c r="F29" s="53" t="s">
        <v>154</v>
      </c>
      <c r="G29" s="53">
        <v>5450</v>
      </c>
      <c r="H29" s="62">
        <v>45875</v>
      </c>
      <c r="I29" s="61" t="s">
        <v>903</v>
      </c>
      <c r="J29" s="61" t="s">
        <v>904</v>
      </c>
      <c r="K29" s="53">
        <v>352502676</v>
      </c>
      <c r="L29" s="60">
        <v>6206444704</v>
      </c>
      <c r="M29" s="55" t="s">
        <v>1057</v>
      </c>
    </row>
    <row r="30" spans="1:13" x14ac:dyDescent="0.25">
      <c r="A30" s="53" t="s">
        <v>12</v>
      </c>
      <c r="B30" s="53" t="s">
        <v>13</v>
      </c>
      <c r="C30" s="53" t="s">
        <v>14</v>
      </c>
      <c r="D30" s="53" t="s">
        <v>144</v>
      </c>
      <c r="E30" s="53">
        <v>42542201947</v>
      </c>
      <c r="F30" s="53" t="s">
        <v>145</v>
      </c>
      <c r="G30" s="61">
        <v>6400</v>
      </c>
      <c r="H30" s="62">
        <v>45875</v>
      </c>
      <c r="I30" s="53" t="s">
        <v>652</v>
      </c>
      <c r="J30" s="53" t="s">
        <v>147</v>
      </c>
      <c r="K30" s="53">
        <v>352502546</v>
      </c>
      <c r="L30" s="53">
        <v>7765824237</v>
      </c>
      <c r="M30" s="55" t="s">
        <v>1058</v>
      </c>
    </row>
    <row r="31" spans="1:13" hidden="1" x14ac:dyDescent="0.25">
      <c r="A31" s="53" t="s">
        <v>12</v>
      </c>
      <c r="B31" s="53" t="s">
        <v>13</v>
      </c>
      <c r="C31" s="53" t="s">
        <v>14</v>
      </c>
      <c r="D31" s="53" t="s">
        <v>435</v>
      </c>
      <c r="E31" s="53">
        <v>31095925572</v>
      </c>
      <c r="F31" s="60" t="s">
        <v>33</v>
      </c>
      <c r="G31" s="61">
        <v>6400</v>
      </c>
      <c r="H31" s="62">
        <v>45875</v>
      </c>
      <c r="I31" s="61" t="s">
        <v>966</v>
      </c>
      <c r="J31" s="61" t="s">
        <v>967</v>
      </c>
      <c r="K31" s="53">
        <v>352502684</v>
      </c>
      <c r="L31" s="60">
        <v>8084080392</v>
      </c>
      <c r="M31" s="55" t="s">
        <v>1058</v>
      </c>
    </row>
    <row r="32" spans="1:13" hidden="1" x14ac:dyDescent="0.25">
      <c r="A32" s="53" t="s">
        <v>12</v>
      </c>
      <c r="B32" s="53" t="s">
        <v>13</v>
      </c>
      <c r="C32" s="53" t="s">
        <v>14</v>
      </c>
      <c r="D32" s="53" t="s">
        <v>993</v>
      </c>
      <c r="E32" s="69">
        <v>50100683547664</v>
      </c>
      <c r="F32" s="60" t="s">
        <v>994</v>
      </c>
      <c r="G32" s="61">
        <v>6400</v>
      </c>
      <c r="H32" s="62">
        <v>45875</v>
      </c>
      <c r="I32" s="61" t="s">
        <v>593</v>
      </c>
      <c r="J32" s="61" t="s">
        <v>76</v>
      </c>
      <c r="K32" s="53">
        <v>352502678</v>
      </c>
      <c r="L32" s="60">
        <v>8093441726</v>
      </c>
      <c r="M32" s="55" t="s">
        <v>1058</v>
      </c>
    </row>
    <row r="33" spans="1:13" x14ac:dyDescent="0.25">
      <c r="A33" s="53" t="s">
        <v>12</v>
      </c>
      <c r="B33" s="53" t="s">
        <v>13</v>
      </c>
      <c r="C33" s="53" t="s">
        <v>14</v>
      </c>
      <c r="D33" s="53" t="s">
        <v>978</v>
      </c>
      <c r="E33" s="69">
        <v>922010007032459</v>
      </c>
      <c r="F33" s="53" t="s">
        <v>979</v>
      </c>
      <c r="G33" s="61">
        <v>6400</v>
      </c>
      <c r="H33" s="62">
        <v>45875</v>
      </c>
      <c r="I33" s="61" t="s">
        <v>667</v>
      </c>
      <c r="J33" s="53" t="s">
        <v>98</v>
      </c>
      <c r="K33" s="53">
        <v>352502685</v>
      </c>
      <c r="L33" s="53">
        <v>9002149111</v>
      </c>
      <c r="M33" s="55" t="s">
        <v>1058</v>
      </c>
    </row>
    <row r="34" spans="1:13" hidden="1" x14ac:dyDescent="0.25">
      <c r="A34" s="53" t="s">
        <v>12</v>
      </c>
      <c r="B34" s="53" t="s">
        <v>13</v>
      </c>
      <c r="C34" s="53" t="s">
        <v>14</v>
      </c>
      <c r="D34" s="53" t="s">
        <v>48</v>
      </c>
      <c r="E34" s="53" t="s">
        <v>49</v>
      </c>
      <c r="F34" s="53" t="s">
        <v>50</v>
      </c>
      <c r="G34" s="53">
        <v>5200</v>
      </c>
      <c r="H34" s="62">
        <v>45875</v>
      </c>
      <c r="I34" s="53" t="s">
        <v>572</v>
      </c>
      <c r="J34" s="53" t="s">
        <v>34</v>
      </c>
      <c r="K34" s="53">
        <v>352502683</v>
      </c>
      <c r="L34" s="53">
        <v>8520078561</v>
      </c>
      <c r="M34" s="55" t="s">
        <v>1059</v>
      </c>
    </row>
    <row r="35" spans="1:13" x14ac:dyDescent="0.25">
      <c r="A35" s="53" t="s">
        <v>12</v>
      </c>
      <c r="B35" s="53" t="s">
        <v>13</v>
      </c>
      <c r="C35" s="53" t="s">
        <v>14</v>
      </c>
      <c r="D35" s="53" t="s">
        <v>144</v>
      </c>
      <c r="E35" s="53">
        <v>42542201947</v>
      </c>
      <c r="F35" s="53" t="s">
        <v>145</v>
      </c>
      <c r="G35" s="61">
        <v>1500</v>
      </c>
      <c r="H35" s="62">
        <v>45876</v>
      </c>
      <c r="I35" s="53" t="s">
        <v>652</v>
      </c>
      <c r="J35" s="53" t="s">
        <v>147</v>
      </c>
      <c r="K35" s="53">
        <v>352502722</v>
      </c>
      <c r="L35" s="53">
        <v>7765824237</v>
      </c>
      <c r="M35" s="55" t="s">
        <v>1060</v>
      </c>
    </row>
    <row r="36" spans="1:13" hidden="1" x14ac:dyDescent="0.25">
      <c r="A36" s="53" t="s">
        <v>12</v>
      </c>
      <c r="B36" s="53" t="s">
        <v>13</v>
      </c>
      <c r="C36" s="53" t="s">
        <v>14</v>
      </c>
      <c r="D36" s="53" t="s">
        <v>95</v>
      </c>
      <c r="E36" s="53" t="s">
        <v>96</v>
      </c>
      <c r="F36" s="53" t="s">
        <v>33</v>
      </c>
      <c r="G36" s="63">
        <v>6400</v>
      </c>
      <c r="H36" s="62">
        <v>45876</v>
      </c>
      <c r="I36" s="61" t="s">
        <v>571</v>
      </c>
      <c r="J36" s="61" t="s">
        <v>59</v>
      </c>
      <c r="K36" s="53">
        <v>352502690</v>
      </c>
      <c r="L36" s="53">
        <v>8159025834</v>
      </c>
      <c r="M36" s="55" t="s">
        <v>1061</v>
      </c>
    </row>
    <row r="37" spans="1:13" hidden="1" x14ac:dyDescent="0.25">
      <c r="A37" s="53" t="s">
        <v>12</v>
      </c>
      <c r="B37" s="53" t="s">
        <v>13</v>
      </c>
      <c r="C37" s="53" t="s">
        <v>14</v>
      </c>
      <c r="D37" s="53" t="s">
        <v>48</v>
      </c>
      <c r="E37" s="53" t="s">
        <v>49</v>
      </c>
      <c r="F37" s="53" t="s">
        <v>50</v>
      </c>
      <c r="G37" s="53">
        <v>6400</v>
      </c>
      <c r="H37" s="62">
        <v>45876</v>
      </c>
      <c r="I37" s="53" t="s">
        <v>572</v>
      </c>
      <c r="J37" s="53" t="s">
        <v>34</v>
      </c>
      <c r="K37" s="53">
        <v>352502699</v>
      </c>
      <c r="L37" s="53">
        <v>8520078561</v>
      </c>
      <c r="M37" s="55" t="s">
        <v>1061</v>
      </c>
    </row>
    <row r="38" spans="1:13" hidden="1" x14ac:dyDescent="0.25">
      <c r="A38" s="53" t="s">
        <v>12</v>
      </c>
      <c r="B38" s="53" t="s">
        <v>13</v>
      </c>
      <c r="C38" s="53" t="s">
        <v>14</v>
      </c>
      <c r="D38" s="53" t="s">
        <v>435</v>
      </c>
      <c r="E38" s="53">
        <v>31095925572</v>
      </c>
      <c r="F38" s="60" t="s">
        <v>33</v>
      </c>
      <c r="G38" s="61">
        <v>6400</v>
      </c>
      <c r="H38" s="62">
        <v>45876</v>
      </c>
      <c r="I38" s="61" t="s">
        <v>966</v>
      </c>
      <c r="J38" s="61" t="s">
        <v>967</v>
      </c>
      <c r="K38" s="53">
        <v>352502694</v>
      </c>
      <c r="L38" s="60">
        <v>8084080392</v>
      </c>
      <c r="M38" s="55" t="s">
        <v>1061</v>
      </c>
    </row>
    <row r="39" spans="1:13" hidden="1" x14ac:dyDescent="0.25">
      <c r="A39" s="53" t="s">
        <v>12</v>
      </c>
      <c r="B39" s="53" t="s">
        <v>13</v>
      </c>
      <c r="C39" s="53" t="s">
        <v>14</v>
      </c>
      <c r="D39" s="53" t="s">
        <v>993</v>
      </c>
      <c r="E39" s="69">
        <v>50100683547664</v>
      </c>
      <c r="F39" s="60" t="s">
        <v>994</v>
      </c>
      <c r="G39" s="61">
        <v>6400</v>
      </c>
      <c r="H39" s="62">
        <v>45876</v>
      </c>
      <c r="I39" s="61" t="s">
        <v>593</v>
      </c>
      <c r="J39" s="61" t="s">
        <v>76</v>
      </c>
      <c r="K39" s="53">
        <v>352502724</v>
      </c>
      <c r="L39" s="60">
        <v>8093441726</v>
      </c>
      <c r="M39" s="55" t="s">
        <v>1061</v>
      </c>
    </row>
    <row r="40" spans="1:13" hidden="1" x14ac:dyDescent="0.25">
      <c r="A40" s="53" t="s">
        <v>12</v>
      </c>
      <c r="B40" s="53" t="s">
        <v>13</v>
      </c>
      <c r="C40" s="53" t="s">
        <v>14</v>
      </c>
      <c r="D40" s="53" t="s">
        <v>152</v>
      </c>
      <c r="E40" s="53" t="s">
        <v>153</v>
      </c>
      <c r="F40" s="53" t="s">
        <v>154</v>
      </c>
      <c r="G40" s="53">
        <v>5200</v>
      </c>
      <c r="H40" s="62">
        <v>45876</v>
      </c>
      <c r="I40" s="61" t="s">
        <v>903</v>
      </c>
      <c r="J40" s="61" t="s">
        <v>904</v>
      </c>
      <c r="K40" s="53">
        <v>352502701</v>
      </c>
      <c r="L40" s="60">
        <v>6206444704</v>
      </c>
      <c r="M40" s="55" t="s">
        <v>1062</v>
      </c>
    </row>
    <row r="41" spans="1:13" hidden="1" x14ac:dyDescent="0.25">
      <c r="A41" s="53" t="s">
        <v>12</v>
      </c>
      <c r="B41" s="53" t="s">
        <v>13</v>
      </c>
      <c r="C41" s="53" t="s">
        <v>14</v>
      </c>
      <c r="D41" s="53" t="s">
        <v>95</v>
      </c>
      <c r="E41" s="53" t="s">
        <v>96</v>
      </c>
      <c r="F41" s="53" t="s">
        <v>33</v>
      </c>
      <c r="G41" s="63">
        <v>6400</v>
      </c>
      <c r="H41" s="62">
        <v>45877</v>
      </c>
      <c r="I41" s="61" t="s">
        <v>571</v>
      </c>
      <c r="J41" s="61" t="s">
        <v>59</v>
      </c>
      <c r="K41" s="53">
        <v>352502730</v>
      </c>
      <c r="L41" s="53">
        <v>8159025834</v>
      </c>
      <c r="M41" s="55" t="s">
        <v>1063</v>
      </c>
    </row>
    <row r="42" spans="1:13" hidden="1" x14ac:dyDescent="0.25">
      <c r="A42" s="53" t="s">
        <v>12</v>
      </c>
      <c r="B42" s="53" t="s">
        <v>13</v>
      </c>
      <c r="C42" s="53" t="s">
        <v>14</v>
      </c>
      <c r="D42" s="53" t="s">
        <v>48</v>
      </c>
      <c r="E42" s="53" t="s">
        <v>49</v>
      </c>
      <c r="F42" s="53" t="s">
        <v>50</v>
      </c>
      <c r="G42" s="53">
        <v>6400</v>
      </c>
      <c r="H42" s="62">
        <v>45877</v>
      </c>
      <c r="I42" s="53" t="s">
        <v>572</v>
      </c>
      <c r="J42" s="53" t="s">
        <v>34</v>
      </c>
      <c r="K42" s="53">
        <v>352502749</v>
      </c>
      <c r="L42" s="53">
        <v>8520078561</v>
      </c>
      <c r="M42" s="55" t="s">
        <v>1063</v>
      </c>
    </row>
    <row r="43" spans="1:13" hidden="1" x14ac:dyDescent="0.25">
      <c r="A43" s="53" t="s">
        <v>12</v>
      </c>
      <c r="B43" s="53" t="s">
        <v>13</v>
      </c>
      <c r="C43" s="53" t="s">
        <v>14</v>
      </c>
      <c r="D43" s="53" t="s">
        <v>435</v>
      </c>
      <c r="E43" s="53">
        <v>31095925572</v>
      </c>
      <c r="F43" s="60" t="s">
        <v>33</v>
      </c>
      <c r="G43" s="61">
        <v>6400</v>
      </c>
      <c r="H43" s="62">
        <v>45877</v>
      </c>
      <c r="I43" s="61" t="s">
        <v>966</v>
      </c>
      <c r="J43" s="61" t="s">
        <v>967</v>
      </c>
      <c r="K43" s="53">
        <v>352502738</v>
      </c>
      <c r="L43" s="60">
        <v>8084080392</v>
      </c>
      <c r="M43" s="55" t="s">
        <v>1063</v>
      </c>
    </row>
    <row r="44" spans="1:13" x14ac:dyDescent="0.25">
      <c r="A44" s="53" t="s">
        <v>12</v>
      </c>
      <c r="B44" s="53" t="s">
        <v>13</v>
      </c>
      <c r="C44" s="53" t="s">
        <v>14</v>
      </c>
      <c r="D44" s="53" t="s">
        <v>978</v>
      </c>
      <c r="E44" s="69">
        <v>922010007032459</v>
      </c>
      <c r="F44" s="53" t="s">
        <v>979</v>
      </c>
      <c r="G44" s="61">
        <v>6400</v>
      </c>
      <c r="H44" s="62">
        <v>45877</v>
      </c>
      <c r="I44" s="61" t="s">
        <v>667</v>
      </c>
      <c r="J44" s="53" t="s">
        <v>98</v>
      </c>
      <c r="K44" s="53">
        <v>352502695</v>
      </c>
      <c r="L44" s="53">
        <v>9002149111</v>
      </c>
      <c r="M44" s="55" t="s">
        <v>1063</v>
      </c>
    </row>
    <row r="45" spans="1:13" hidden="1" x14ac:dyDescent="0.25">
      <c r="A45" s="53" t="s">
        <v>12</v>
      </c>
      <c r="B45" s="53" t="s">
        <v>13</v>
      </c>
      <c r="C45" s="53" t="s">
        <v>14</v>
      </c>
      <c r="D45" s="53" t="s">
        <v>36</v>
      </c>
      <c r="E45" s="53" t="s">
        <v>37</v>
      </c>
      <c r="F45" s="53" t="s">
        <v>38</v>
      </c>
      <c r="G45" s="53">
        <v>5200</v>
      </c>
      <c r="H45" s="62">
        <v>45877</v>
      </c>
      <c r="I45" s="53" t="s">
        <v>902</v>
      </c>
      <c r="J45" s="53" t="s">
        <v>901</v>
      </c>
      <c r="K45" s="53">
        <v>352502700</v>
      </c>
      <c r="L45" s="53">
        <v>9358936441</v>
      </c>
      <c r="M45" s="55" t="s">
        <v>1064</v>
      </c>
    </row>
    <row r="46" spans="1:13" hidden="1" x14ac:dyDescent="0.25">
      <c r="A46" s="53" t="s">
        <v>12</v>
      </c>
      <c r="B46" s="53" t="s">
        <v>13</v>
      </c>
      <c r="C46" s="53" t="s">
        <v>14</v>
      </c>
      <c r="D46" s="53" t="s">
        <v>36</v>
      </c>
      <c r="E46" s="53" t="s">
        <v>37</v>
      </c>
      <c r="F46" s="53" t="s">
        <v>38</v>
      </c>
      <c r="G46" s="53">
        <v>3950</v>
      </c>
      <c r="H46" s="62">
        <v>45878</v>
      </c>
      <c r="I46" s="53" t="s">
        <v>902</v>
      </c>
      <c r="J46" s="53" t="s">
        <v>901</v>
      </c>
      <c r="K46" s="53">
        <v>352502778</v>
      </c>
      <c r="L46" s="53">
        <v>9358936441</v>
      </c>
      <c r="M46" s="55" t="s">
        <v>1065</v>
      </c>
    </row>
    <row r="47" spans="1:13" hidden="1" x14ac:dyDescent="0.25">
      <c r="A47" s="53" t="s">
        <v>12</v>
      </c>
      <c r="B47" s="53" t="s">
        <v>13</v>
      </c>
      <c r="C47" s="53" t="s">
        <v>14</v>
      </c>
      <c r="D47" s="53" t="s">
        <v>152</v>
      </c>
      <c r="E47" s="53" t="s">
        <v>153</v>
      </c>
      <c r="F47" s="53" t="s">
        <v>154</v>
      </c>
      <c r="G47" s="53">
        <v>3950</v>
      </c>
      <c r="H47" s="62">
        <v>45878</v>
      </c>
      <c r="I47" s="61" t="s">
        <v>903</v>
      </c>
      <c r="J47" s="61" t="s">
        <v>904</v>
      </c>
      <c r="K47" s="53">
        <v>352502751</v>
      </c>
      <c r="L47" s="60">
        <v>6206444704</v>
      </c>
      <c r="M47" s="55" t="s">
        <v>1065</v>
      </c>
    </row>
    <row r="48" spans="1:13" hidden="1" x14ac:dyDescent="0.25">
      <c r="A48" s="53" t="s">
        <v>12</v>
      </c>
      <c r="B48" s="53" t="s">
        <v>13</v>
      </c>
      <c r="C48" s="53" t="s">
        <v>14</v>
      </c>
      <c r="D48" s="53" t="s">
        <v>993</v>
      </c>
      <c r="E48" s="69">
        <v>50100683547664</v>
      </c>
      <c r="F48" s="60" t="s">
        <v>994</v>
      </c>
      <c r="G48" s="61">
        <v>6400</v>
      </c>
      <c r="H48" s="62">
        <v>45878</v>
      </c>
      <c r="I48" s="61" t="s">
        <v>593</v>
      </c>
      <c r="J48" s="61" t="s">
        <v>76</v>
      </c>
      <c r="K48" s="53">
        <v>352502784</v>
      </c>
      <c r="L48" s="60">
        <v>8093441726</v>
      </c>
      <c r="M48" s="55" t="s">
        <v>1066</v>
      </c>
    </row>
    <row r="49" spans="1:13" s="68" customFormat="1" hidden="1" x14ac:dyDescent="0.25">
      <c r="A49" s="61" t="s">
        <v>12</v>
      </c>
      <c r="B49" s="61" t="s">
        <v>13</v>
      </c>
      <c r="C49" s="61" t="s">
        <v>14</v>
      </c>
      <c r="D49" s="61" t="s">
        <v>31</v>
      </c>
      <c r="E49" s="61" t="s">
        <v>32</v>
      </c>
      <c r="F49" s="61" t="s">
        <v>33</v>
      </c>
      <c r="G49" s="61">
        <v>6400</v>
      </c>
      <c r="H49" s="62">
        <v>45878</v>
      </c>
      <c r="I49" s="61" t="s">
        <v>741</v>
      </c>
      <c r="J49" s="61" t="s">
        <v>22</v>
      </c>
      <c r="K49" s="53">
        <v>352502691</v>
      </c>
      <c r="L49" s="61">
        <v>9347726061</v>
      </c>
      <c r="M49" s="55" t="s">
        <v>1066</v>
      </c>
    </row>
    <row r="50" spans="1:13" hidden="1" x14ac:dyDescent="0.25">
      <c r="A50" s="53" t="s">
        <v>12</v>
      </c>
      <c r="B50" s="53" t="s">
        <v>13</v>
      </c>
      <c r="C50" s="53" t="s">
        <v>14</v>
      </c>
      <c r="D50" s="53" t="s">
        <v>95</v>
      </c>
      <c r="E50" s="53" t="s">
        <v>96</v>
      </c>
      <c r="F50" s="53" t="s">
        <v>33</v>
      </c>
      <c r="G50" s="63">
        <v>5200</v>
      </c>
      <c r="H50" s="62">
        <v>45880</v>
      </c>
      <c r="I50" s="61" t="s">
        <v>571</v>
      </c>
      <c r="J50" s="61" t="s">
        <v>59</v>
      </c>
      <c r="K50" s="53">
        <v>352502805</v>
      </c>
      <c r="L50" s="53">
        <v>8159025834</v>
      </c>
      <c r="M50" s="55" t="s">
        <v>1068</v>
      </c>
    </row>
    <row r="51" spans="1:13" x14ac:dyDescent="0.25">
      <c r="A51" s="53" t="s">
        <v>12</v>
      </c>
      <c r="B51" s="53" t="s">
        <v>13</v>
      </c>
      <c r="C51" s="53" t="s">
        <v>14</v>
      </c>
      <c r="D51" s="53" t="s">
        <v>978</v>
      </c>
      <c r="E51" s="69">
        <v>922010007032459</v>
      </c>
      <c r="F51" s="53" t="s">
        <v>979</v>
      </c>
      <c r="G51" s="63">
        <v>5200</v>
      </c>
      <c r="H51" s="62">
        <v>45880</v>
      </c>
      <c r="I51" s="61" t="s">
        <v>667</v>
      </c>
      <c r="J51" s="53" t="s">
        <v>98</v>
      </c>
      <c r="K51" s="53">
        <v>352502813</v>
      </c>
      <c r="L51" s="53">
        <v>9002149111</v>
      </c>
      <c r="M51" s="55" t="s">
        <v>1067</v>
      </c>
    </row>
    <row r="52" spans="1:13" hidden="1" x14ac:dyDescent="0.25">
      <c r="A52" s="53" t="s">
        <v>12</v>
      </c>
      <c r="B52" s="53" t="s">
        <v>13</v>
      </c>
      <c r="C52" s="53" t="s">
        <v>14</v>
      </c>
      <c r="D52" s="53" t="s">
        <v>36</v>
      </c>
      <c r="E52" s="53" t="s">
        <v>37</v>
      </c>
      <c r="F52" s="53" t="s">
        <v>38</v>
      </c>
      <c r="G52" s="53">
        <v>5450</v>
      </c>
      <c r="H52" s="62">
        <v>45880</v>
      </c>
      <c r="I52" s="53" t="s">
        <v>902</v>
      </c>
      <c r="J52" s="53" t="s">
        <v>901</v>
      </c>
      <c r="K52" s="53">
        <v>352502806</v>
      </c>
      <c r="L52" s="53">
        <v>9358936441</v>
      </c>
      <c r="M52" s="55" t="s">
        <v>1069</v>
      </c>
    </row>
    <row r="53" spans="1:13" hidden="1" x14ac:dyDescent="0.25">
      <c r="A53" s="53" t="s">
        <v>12</v>
      </c>
      <c r="B53" s="53" t="s">
        <v>13</v>
      </c>
      <c r="C53" s="53" t="s">
        <v>14</v>
      </c>
      <c r="D53" s="53" t="s">
        <v>152</v>
      </c>
      <c r="E53" s="53" t="s">
        <v>153</v>
      </c>
      <c r="F53" s="53" t="s">
        <v>154</v>
      </c>
      <c r="G53" s="53">
        <v>5450</v>
      </c>
      <c r="H53" s="62">
        <v>45880</v>
      </c>
      <c r="I53" s="61" t="s">
        <v>903</v>
      </c>
      <c r="J53" s="61" t="s">
        <v>904</v>
      </c>
      <c r="K53" s="53">
        <v>352502807</v>
      </c>
      <c r="L53" s="60">
        <v>6206444704</v>
      </c>
      <c r="M53" s="55" t="s">
        <v>1069</v>
      </c>
    </row>
    <row r="54" spans="1:13" hidden="1" x14ac:dyDescent="0.25">
      <c r="A54" s="53" t="s">
        <v>12</v>
      </c>
      <c r="B54" s="53" t="s">
        <v>13</v>
      </c>
      <c r="C54" s="53" t="s">
        <v>14</v>
      </c>
      <c r="D54" s="53" t="s">
        <v>108</v>
      </c>
      <c r="E54" s="53" t="s">
        <v>109</v>
      </c>
      <c r="F54" s="53" t="s">
        <v>110</v>
      </c>
      <c r="G54" s="53">
        <v>3500</v>
      </c>
      <c r="H54" s="62">
        <v>45880</v>
      </c>
      <c r="I54" s="61" t="s">
        <v>898</v>
      </c>
      <c r="J54" s="61" t="s">
        <v>899</v>
      </c>
      <c r="K54" s="53">
        <v>352502794</v>
      </c>
      <c r="L54" s="53">
        <v>7870570436</v>
      </c>
      <c r="M54" s="55" t="s">
        <v>1069</v>
      </c>
    </row>
    <row r="55" spans="1:13" hidden="1" x14ac:dyDescent="0.25">
      <c r="A55" s="53" t="s">
        <v>12</v>
      </c>
      <c r="B55" s="53" t="s">
        <v>13</v>
      </c>
      <c r="C55" s="53" t="s">
        <v>14</v>
      </c>
      <c r="D55" s="53" t="s">
        <v>48</v>
      </c>
      <c r="E55" s="53" t="s">
        <v>49</v>
      </c>
      <c r="F55" s="53" t="s">
        <v>50</v>
      </c>
      <c r="G55" s="53">
        <v>6400</v>
      </c>
      <c r="H55" s="62">
        <v>45880</v>
      </c>
      <c r="I55" s="53" t="s">
        <v>572</v>
      </c>
      <c r="J55" s="53" t="s">
        <v>34</v>
      </c>
      <c r="K55" s="53">
        <v>352502757</v>
      </c>
      <c r="L55" s="53">
        <v>8520078561</v>
      </c>
      <c r="M55" s="55" t="s">
        <v>1070</v>
      </c>
    </row>
    <row r="56" spans="1:13" hidden="1" x14ac:dyDescent="0.25">
      <c r="A56" s="53" t="s">
        <v>12</v>
      </c>
      <c r="B56" s="53" t="s">
        <v>13</v>
      </c>
      <c r="C56" s="53" t="s">
        <v>14</v>
      </c>
      <c r="D56" s="53" t="s">
        <v>435</v>
      </c>
      <c r="E56" s="53">
        <v>31095925572</v>
      </c>
      <c r="F56" s="60" t="s">
        <v>33</v>
      </c>
      <c r="G56" s="61">
        <v>6400</v>
      </c>
      <c r="H56" s="62">
        <v>45880</v>
      </c>
      <c r="I56" s="61" t="s">
        <v>966</v>
      </c>
      <c r="J56" s="61" t="s">
        <v>967</v>
      </c>
      <c r="K56" s="53">
        <v>352502765</v>
      </c>
      <c r="L56" s="60">
        <v>8084080392</v>
      </c>
      <c r="M56" s="55" t="s">
        <v>1070</v>
      </c>
    </row>
    <row r="57" spans="1:13" hidden="1" x14ac:dyDescent="0.25">
      <c r="A57" s="53" t="s">
        <v>12</v>
      </c>
      <c r="B57" s="53" t="s">
        <v>13</v>
      </c>
      <c r="C57" s="53" t="s">
        <v>14</v>
      </c>
      <c r="D57" s="53" t="s">
        <v>936</v>
      </c>
      <c r="E57" s="54">
        <v>29230100027591</v>
      </c>
      <c r="F57" s="53" t="s">
        <v>937</v>
      </c>
      <c r="G57" s="61">
        <v>6400</v>
      </c>
      <c r="H57" s="62">
        <v>45880</v>
      </c>
      <c r="I57" s="61" t="s">
        <v>895</v>
      </c>
      <c r="J57" s="61" t="s">
        <v>896</v>
      </c>
      <c r="K57" s="53">
        <v>352502608</v>
      </c>
      <c r="L57" s="53">
        <v>6202164591</v>
      </c>
      <c r="M57" s="55" t="s">
        <v>1070</v>
      </c>
    </row>
    <row r="58" spans="1:13" hidden="1" x14ac:dyDescent="0.25">
      <c r="A58" s="53" t="s">
        <v>12</v>
      </c>
      <c r="B58" s="53" t="s">
        <v>13</v>
      </c>
      <c r="C58" s="53" t="s">
        <v>14</v>
      </c>
      <c r="D58" s="53" t="s">
        <v>36</v>
      </c>
      <c r="E58" s="53" t="s">
        <v>37</v>
      </c>
      <c r="F58" s="53" t="s">
        <v>38</v>
      </c>
      <c r="G58" s="53">
        <v>5450</v>
      </c>
      <c r="H58" s="62">
        <v>45881</v>
      </c>
      <c r="I58" s="53" t="s">
        <v>902</v>
      </c>
      <c r="J58" s="53" t="s">
        <v>901</v>
      </c>
      <c r="K58" s="53">
        <v>352502824</v>
      </c>
      <c r="L58" s="53">
        <v>9358936441</v>
      </c>
      <c r="M58" s="55" t="s">
        <v>1071</v>
      </c>
    </row>
    <row r="59" spans="1:13" hidden="1" x14ac:dyDescent="0.25">
      <c r="A59" s="53" t="s">
        <v>12</v>
      </c>
      <c r="B59" s="53" t="s">
        <v>13</v>
      </c>
      <c r="C59" s="53" t="s">
        <v>14</v>
      </c>
      <c r="D59" s="53" t="s">
        <v>152</v>
      </c>
      <c r="E59" s="53" t="s">
        <v>153</v>
      </c>
      <c r="F59" s="53" t="s">
        <v>154</v>
      </c>
      <c r="G59" s="53">
        <v>5450</v>
      </c>
      <c r="H59" s="62">
        <v>45881</v>
      </c>
      <c r="I59" s="61" t="s">
        <v>903</v>
      </c>
      <c r="J59" s="61" t="s">
        <v>904</v>
      </c>
      <c r="K59" s="53">
        <v>352502825</v>
      </c>
      <c r="L59" s="60">
        <v>6206444704</v>
      </c>
      <c r="M59" s="55" t="s">
        <v>1071</v>
      </c>
    </row>
    <row r="60" spans="1:13" x14ac:dyDescent="0.25">
      <c r="A60" s="53" t="s">
        <v>12</v>
      </c>
      <c r="B60" s="53" t="s">
        <v>13</v>
      </c>
      <c r="C60" s="53" t="s">
        <v>14</v>
      </c>
      <c r="D60" s="53" t="s">
        <v>144</v>
      </c>
      <c r="E60" s="53">
        <v>42542201947</v>
      </c>
      <c r="F60" s="53" t="s">
        <v>145</v>
      </c>
      <c r="G60" s="61">
        <v>3500</v>
      </c>
      <c r="H60" s="62">
        <v>45881</v>
      </c>
      <c r="I60" s="53" t="s">
        <v>652</v>
      </c>
      <c r="J60" s="53" t="s">
        <v>147</v>
      </c>
      <c r="K60" s="53">
        <v>352502820</v>
      </c>
      <c r="L60" s="53">
        <v>7765824237</v>
      </c>
      <c r="M60" s="55" t="s">
        <v>1071</v>
      </c>
    </row>
    <row r="61" spans="1:13" hidden="1" x14ac:dyDescent="0.25">
      <c r="A61" s="53" t="s">
        <v>12</v>
      </c>
      <c r="B61" s="53" t="s">
        <v>13</v>
      </c>
      <c r="C61" s="53" t="s">
        <v>14</v>
      </c>
      <c r="D61" s="53" t="s">
        <v>993</v>
      </c>
      <c r="E61" s="69">
        <v>50100683547664</v>
      </c>
      <c r="F61" s="60" t="s">
        <v>994</v>
      </c>
      <c r="G61" s="61">
        <v>6400</v>
      </c>
      <c r="H61" s="62">
        <v>45881</v>
      </c>
      <c r="I61" s="61" t="s">
        <v>593</v>
      </c>
      <c r="J61" s="61" t="s">
        <v>76</v>
      </c>
      <c r="K61" s="53">
        <v>352502784</v>
      </c>
      <c r="L61" s="60">
        <v>8093441726</v>
      </c>
      <c r="M61" s="55" t="s">
        <v>1072</v>
      </c>
    </row>
    <row r="62" spans="1:13" hidden="1" x14ac:dyDescent="0.25">
      <c r="A62" s="53" t="s">
        <v>12</v>
      </c>
      <c r="B62" s="53" t="s">
        <v>13</v>
      </c>
      <c r="C62" s="53" t="s">
        <v>14</v>
      </c>
      <c r="D62" s="53" t="s">
        <v>95</v>
      </c>
      <c r="E62" s="53" t="s">
        <v>96</v>
      </c>
      <c r="F62" s="53" t="s">
        <v>33</v>
      </c>
      <c r="G62" s="63">
        <v>4900</v>
      </c>
      <c r="H62" s="62">
        <v>45881</v>
      </c>
      <c r="I62" s="61" t="s">
        <v>571</v>
      </c>
      <c r="J62" s="61" t="s">
        <v>59</v>
      </c>
      <c r="K62" s="53">
        <v>352502805</v>
      </c>
      <c r="L62" s="53">
        <v>8159025834</v>
      </c>
      <c r="M62" s="55" t="s">
        <v>1072</v>
      </c>
    </row>
    <row r="63" spans="1:13" s="68" customFormat="1" hidden="1" x14ac:dyDescent="0.25">
      <c r="A63" s="61" t="s">
        <v>12</v>
      </c>
      <c r="B63" s="61" t="s">
        <v>13</v>
      </c>
      <c r="C63" s="61" t="s">
        <v>14</v>
      </c>
      <c r="D63" s="61" t="s">
        <v>31</v>
      </c>
      <c r="E63" s="61" t="s">
        <v>32</v>
      </c>
      <c r="F63" s="61" t="s">
        <v>33</v>
      </c>
      <c r="G63" s="61">
        <v>4900</v>
      </c>
      <c r="H63" s="62">
        <v>45881</v>
      </c>
      <c r="I63" s="61" t="s">
        <v>741</v>
      </c>
      <c r="J63" s="61" t="s">
        <v>22</v>
      </c>
      <c r="K63" s="53">
        <v>352502785</v>
      </c>
      <c r="L63" s="61">
        <v>9347726061</v>
      </c>
      <c r="M63" s="55" t="s">
        <v>1074</v>
      </c>
    </row>
    <row r="64" spans="1:13" hidden="1" x14ac:dyDescent="0.25">
      <c r="A64" s="53" t="s">
        <v>12</v>
      </c>
      <c r="B64" s="53" t="s">
        <v>13</v>
      </c>
      <c r="C64" s="53" t="s">
        <v>14</v>
      </c>
      <c r="D64" s="53" t="s">
        <v>108</v>
      </c>
      <c r="E64" s="53" t="s">
        <v>109</v>
      </c>
      <c r="F64" s="53" t="s">
        <v>110</v>
      </c>
      <c r="G64" s="53">
        <v>4000</v>
      </c>
      <c r="H64" s="62">
        <v>45881</v>
      </c>
      <c r="I64" s="61" t="s">
        <v>898</v>
      </c>
      <c r="J64" s="61" t="s">
        <v>899</v>
      </c>
      <c r="K64" s="53">
        <v>352502826</v>
      </c>
      <c r="L64" s="53">
        <v>7870570436</v>
      </c>
      <c r="M64" s="55" t="s">
        <v>1073</v>
      </c>
    </row>
    <row r="65" spans="1:13" hidden="1" x14ac:dyDescent="0.25">
      <c r="A65" s="53" t="s">
        <v>12</v>
      </c>
      <c r="B65" s="53" t="s">
        <v>13</v>
      </c>
      <c r="C65" s="53" t="s">
        <v>14</v>
      </c>
      <c r="D65" s="53" t="s">
        <v>435</v>
      </c>
      <c r="E65" s="53">
        <v>31095925572</v>
      </c>
      <c r="F65" s="60" t="s">
        <v>33</v>
      </c>
      <c r="G65" s="61">
        <v>6000</v>
      </c>
      <c r="H65" s="62">
        <v>45881</v>
      </c>
      <c r="I65" s="61" t="s">
        <v>966</v>
      </c>
      <c r="J65" s="61" t="s">
        <v>967</v>
      </c>
      <c r="K65" s="53">
        <v>352502819</v>
      </c>
      <c r="L65" s="60">
        <v>8084080392</v>
      </c>
      <c r="M65" s="55" t="s">
        <v>1075</v>
      </c>
    </row>
    <row r="66" spans="1:13" hidden="1" x14ac:dyDescent="0.25">
      <c r="A66" s="53" t="s">
        <v>12</v>
      </c>
      <c r="B66" s="53" t="s">
        <v>13</v>
      </c>
      <c r="C66" s="53" t="s">
        <v>14</v>
      </c>
      <c r="D66" s="53" t="s">
        <v>936</v>
      </c>
      <c r="E66" s="54">
        <v>29230100027591</v>
      </c>
      <c r="F66" s="53" t="s">
        <v>937</v>
      </c>
      <c r="G66" s="61">
        <v>6000</v>
      </c>
      <c r="H66" s="62">
        <v>45881</v>
      </c>
      <c r="I66" s="61" t="s">
        <v>895</v>
      </c>
      <c r="J66" s="61" t="s">
        <v>896</v>
      </c>
      <c r="K66" s="53">
        <v>352502818</v>
      </c>
      <c r="L66" s="53">
        <v>6202164591</v>
      </c>
      <c r="M66" s="55" t="s">
        <v>1075</v>
      </c>
    </row>
    <row r="67" spans="1:13" hidden="1" x14ac:dyDescent="0.25">
      <c r="A67" s="53" t="s">
        <v>12</v>
      </c>
      <c r="B67" s="53" t="s">
        <v>13</v>
      </c>
      <c r="C67" s="53" t="s">
        <v>14</v>
      </c>
      <c r="D67" s="53" t="s">
        <v>36</v>
      </c>
      <c r="E67" s="53" t="s">
        <v>37</v>
      </c>
      <c r="F67" s="53" t="s">
        <v>38</v>
      </c>
      <c r="G67" s="53">
        <v>5450</v>
      </c>
      <c r="H67" s="62">
        <v>45882</v>
      </c>
      <c r="I67" s="53" t="s">
        <v>902</v>
      </c>
      <c r="J67" s="53" t="s">
        <v>901</v>
      </c>
      <c r="K67" s="53">
        <v>352502857</v>
      </c>
      <c r="L67" s="53">
        <v>9358936441</v>
      </c>
      <c r="M67" s="55" t="s">
        <v>1076</v>
      </c>
    </row>
    <row r="68" spans="1:13" hidden="1" x14ac:dyDescent="0.25">
      <c r="A68" s="53" t="s">
        <v>12</v>
      </c>
      <c r="B68" s="53" t="s">
        <v>13</v>
      </c>
      <c r="C68" s="53" t="s">
        <v>14</v>
      </c>
      <c r="D68" s="53" t="s">
        <v>152</v>
      </c>
      <c r="E68" s="53" t="s">
        <v>153</v>
      </c>
      <c r="F68" s="53" t="s">
        <v>154</v>
      </c>
      <c r="G68" s="53">
        <v>5450</v>
      </c>
      <c r="H68" s="62">
        <v>45882</v>
      </c>
      <c r="I68" s="61" t="s">
        <v>903</v>
      </c>
      <c r="J68" s="61" t="s">
        <v>904</v>
      </c>
      <c r="K68" s="53">
        <v>352502856</v>
      </c>
      <c r="L68" s="60">
        <v>6206444704</v>
      </c>
      <c r="M68" s="55" t="s">
        <v>1076</v>
      </c>
    </row>
    <row r="69" spans="1:13" x14ac:dyDescent="0.25">
      <c r="A69" s="53" t="s">
        <v>12</v>
      </c>
      <c r="B69" s="53" t="s">
        <v>13</v>
      </c>
      <c r="C69" s="53" t="s">
        <v>14</v>
      </c>
      <c r="D69" s="53" t="s">
        <v>144</v>
      </c>
      <c r="E69" s="53">
        <v>42542201947</v>
      </c>
      <c r="F69" s="53" t="s">
        <v>145</v>
      </c>
      <c r="G69" s="61">
        <v>5200</v>
      </c>
      <c r="H69" s="62">
        <v>45882</v>
      </c>
      <c r="I69" s="53" t="s">
        <v>652</v>
      </c>
      <c r="J69" s="53" t="s">
        <v>147</v>
      </c>
      <c r="K69" s="53">
        <v>352502858</v>
      </c>
      <c r="L69" s="53">
        <v>7765824237</v>
      </c>
      <c r="M69" s="55" t="s">
        <v>1077</v>
      </c>
    </row>
    <row r="70" spans="1:13" hidden="1" x14ac:dyDescent="0.25">
      <c r="A70" s="53" t="s">
        <v>12</v>
      </c>
      <c r="B70" s="53" t="s">
        <v>13</v>
      </c>
      <c r="C70" s="53" t="s">
        <v>14</v>
      </c>
      <c r="D70" s="53" t="s">
        <v>48</v>
      </c>
      <c r="E70" s="53" t="s">
        <v>49</v>
      </c>
      <c r="F70" s="53" t="s">
        <v>50</v>
      </c>
      <c r="G70" s="53">
        <v>6400</v>
      </c>
      <c r="H70" s="62">
        <v>45882</v>
      </c>
      <c r="I70" s="53" t="s">
        <v>572</v>
      </c>
      <c r="J70" s="53" t="s">
        <v>34</v>
      </c>
      <c r="K70" s="53">
        <v>352502848</v>
      </c>
      <c r="L70" s="53">
        <v>8520078561</v>
      </c>
      <c r="M70" s="55" t="s">
        <v>1078</v>
      </c>
    </row>
    <row r="71" spans="1:13" x14ac:dyDescent="0.25">
      <c r="A71" s="53" t="s">
        <v>12</v>
      </c>
      <c r="B71" s="53" t="s">
        <v>13</v>
      </c>
      <c r="C71" s="53" t="s">
        <v>14</v>
      </c>
      <c r="D71" s="53" t="s">
        <v>978</v>
      </c>
      <c r="E71" s="69">
        <v>922010007032459</v>
      </c>
      <c r="F71" s="53" t="s">
        <v>979</v>
      </c>
      <c r="G71" s="53">
        <v>6400</v>
      </c>
      <c r="H71" s="62">
        <v>45882</v>
      </c>
      <c r="I71" s="61" t="s">
        <v>667</v>
      </c>
      <c r="J71" s="53" t="s">
        <v>98</v>
      </c>
      <c r="K71" s="53">
        <v>352502865</v>
      </c>
      <c r="L71" s="53">
        <v>9002149111</v>
      </c>
      <c r="M71" s="55" t="s">
        <v>1078</v>
      </c>
    </row>
    <row r="72" spans="1:13" hidden="1" x14ac:dyDescent="0.25">
      <c r="A72" s="53" t="s">
        <v>12</v>
      </c>
      <c r="B72" s="53" t="s">
        <v>13</v>
      </c>
      <c r="C72" s="53" t="s">
        <v>14</v>
      </c>
      <c r="D72" s="53" t="s">
        <v>435</v>
      </c>
      <c r="E72" s="53">
        <v>31095925572</v>
      </c>
      <c r="F72" s="60" t="s">
        <v>33</v>
      </c>
      <c r="G72" s="61">
        <v>6400</v>
      </c>
      <c r="H72" s="62">
        <v>45882</v>
      </c>
      <c r="I72" s="61" t="s">
        <v>966</v>
      </c>
      <c r="J72" s="61" t="s">
        <v>967</v>
      </c>
      <c r="K72" s="53">
        <v>352502861</v>
      </c>
      <c r="L72" s="60">
        <v>8084080392</v>
      </c>
      <c r="M72" s="55" t="s">
        <v>1078</v>
      </c>
    </row>
    <row r="73" spans="1:13" hidden="1" x14ac:dyDescent="0.25">
      <c r="A73" s="53" t="s">
        <v>12</v>
      </c>
      <c r="B73" s="53" t="s">
        <v>13</v>
      </c>
      <c r="C73" s="53" t="s">
        <v>14</v>
      </c>
      <c r="D73" s="53" t="s">
        <v>936</v>
      </c>
      <c r="E73" s="54">
        <v>29230100027591</v>
      </c>
      <c r="F73" s="53" t="s">
        <v>937</v>
      </c>
      <c r="G73" s="61">
        <v>6400</v>
      </c>
      <c r="H73" s="62">
        <v>45882</v>
      </c>
      <c r="I73" s="61" t="s">
        <v>895</v>
      </c>
      <c r="J73" s="61" t="s">
        <v>896</v>
      </c>
      <c r="K73" s="53">
        <v>352502862</v>
      </c>
      <c r="L73" s="53">
        <v>6202164591</v>
      </c>
      <c r="M73" s="55" t="s">
        <v>1078</v>
      </c>
    </row>
    <row r="74" spans="1:13" hidden="1" x14ac:dyDescent="0.25">
      <c r="A74" s="53" t="s">
        <v>12</v>
      </c>
      <c r="B74" s="53" t="s">
        <v>13</v>
      </c>
      <c r="C74" s="53" t="s">
        <v>14</v>
      </c>
      <c r="D74" s="53" t="s">
        <v>95</v>
      </c>
      <c r="E74" s="53" t="s">
        <v>96</v>
      </c>
      <c r="F74" s="53" t="s">
        <v>33</v>
      </c>
      <c r="G74" s="63">
        <v>300</v>
      </c>
      <c r="H74" s="62">
        <v>45882</v>
      </c>
      <c r="I74" s="61" t="s">
        <v>571</v>
      </c>
      <c r="J74" s="61" t="s">
        <v>59</v>
      </c>
      <c r="K74" s="53">
        <v>352502849</v>
      </c>
      <c r="L74" s="53">
        <v>8159025834</v>
      </c>
      <c r="M74" s="55" t="s">
        <v>1072</v>
      </c>
    </row>
    <row r="75" spans="1:13" hidden="1" x14ac:dyDescent="0.25">
      <c r="A75" s="53" t="s">
        <v>12</v>
      </c>
      <c r="B75" s="53" t="s">
        <v>13</v>
      </c>
      <c r="C75" s="53" t="s">
        <v>14</v>
      </c>
      <c r="D75" s="53" t="s">
        <v>36</v>
      </c>
      <c r="E75" s="53" t="s">
        <v>37</v>
      </c>
      <c r="F75" s="53" t="s">
        <v>38</v>
      </c>
      <c r="G75" s="53">
        <v>5200</v>
      </c>
      <c r="H75" s="62">
        <v>45883</v>
      </c>
      <c r="I75" s="53" t="s">
        <v>902</v>
      </c>
      <c r="J75" s="53" t="s">
        <v>901</v>
      </c>
      <c r="K75" s="53">
        <v>352502879</v>
      </c>
      <c r="L75" s="53">
        <v>9358936441</v>
      </c>
      <c r="M75" s="55" t="s">
        <v>1079</v>
      </c>
    </row>
    <row r="76" spans="1:13" hidden="1" x14ac:dyDescent="0.25">
      <c r="A76" s="53" t="s">
        <v>12</v>
      </c>
      <c r="B76" s="53" t="s">
        <v>13</v>
      </c>
      <c r="C76" s="53" t="s">
        <v>14</v>
      </c>
      <c r="D76" s="53" t="s">
        <v>95</v>
      </c>
      <c r="E76" s="53" t="s">
        <v>96</v>
      </c>
      <c r="F76" s="53" t="s">
        <v>33</v>
      </c>
      <c r="G76" s="63">
        <v>6400</v>
      </c>
      <c r="H76" s="62">
        <v>45885</v>
      </c>
      <c r="I76" s="61" t="s">
        <v>571</v>
      </c>
      <c r="J76" s="61" t="s">
        <v>59</v>
      </c>
      <c r="K76" s="53">
        <v>352502903</v>
      </c>
      <c r="L76" s="53">
        <v>8159025834</v>
      </c>
      <c r="M76" s="55" t="s">
        <v>1080</v>
      </c>
    </row>
    <row r="77" spans="1:13" hidden="1" x14ac:dyDescent="0.25">
      <c r="A77" s="53" t="s">
        <v>12</v>
      </c>
      <c r="B77" s="53" t="s">
        <v>13</v>
      </c>
      <c r="C77" s="53" t="s">
        <v>14</v>
      </c>
      <c r="D77" s="53" t="s">
        <v>993</v>
      </c>
      <c r="E77" s="69">
        <v>50100683547664</v>
      </c>
      <c r="F77" s="60" t="s">
        <v>994</v>
      </c>
      <c r="G77" s="61">
        <v>6400</v>
      </c>
      <c r="H77" s="62">
        <v>45885</v>
      </c>
      <c r="I77" s="61" t="s">
        <v>593</v>
      </c>
      <c r="J77" s="61" t="s">
        <v>76</v>
      </c>
      <c r="K77" s="53">
        <v>352502908</v>
      </c>
      <c r="L77" s="60">
        <v>8093441726</v>
      </c>
      <c r="M77" s="55" t="s">
        <v>1080</v>
      </c>
    </row>
    <row r="78" spans="1:13" x14ac:dyDescent="0.25">
      <c r="A78" s="53" t="s">
        <v>12</v>
      </c>
      <c r="B78" s="53" t="s">
        <v>13</v>
      </c>
      <c r="C78" s="53" t="s">
        <v>14</v>
      </c>
      <c r="D78" s="53" t="s">
        <v>144</v>
      </c>
      <c r="E78" s="53">
        <v>42542201947</v>
      </c>
      <c r="F78" s="53" t="s">
        <v>145</v>
      </c>
      <c r="G78" s="61">
        <v>5200</v>
      </c>
      <c r="H78" s="62">
        <v>45885</v>
      </c>
      <c r="I78" s="53" t="s">
        <v>652</v>
      </c>
      <c r="J78" s="53" t="s">
        <v>147</v>
      </c>
      <c r="K78" s="53">
        <v>352502878</v>
      </c>
      <c r="L78" s="53">
        <v>7765824237</v>
      </c>
      <c r="M78" s="55" t="s">
        <v>1081</v>
      </c>
    </row>
    <row r="79" spans="1:13" hidden="1" x14ac:dyDescent="0.25">
      <c r="A79" s="53" t="s">
        <v>12</v>
      </c>
      <c r="B79" s="53" t="s">
        <v>13</v>
      </c>
      <c r="C79" s="53" t="s">
        <v>14</v>
      </c>
      <c r="D79" s="53" t="s">
        <v>48</v>
      </c>
      <c r="E79" s="53" t="s">
        <v>49</v>
      </c>
      <c r="F79" s="53" t="s">
        <v>50</v>
      </c>
      <c r="G79" s="53">
        <v>5700</v>
      </c>
      <c r="H79" s="62">
        <v>45885</v>
      </c>
      <c r="I79" s="53" t="s">
        <v>572</v>
      </c>
      <c r="J79" s="53" t="s">
        <v>34</v>
      </c>
      <c r="K79" s="53">
        <v>352502901</v>
      </c>
      <c r="L79" s="53">
        <v>8520078561</v>
      </c>
      <c r="M79" s="55" t="s">
        <v>1082</v>
      </c>
    </row>
    <row r="80" spans="1:13" hidden="1" x14ac:dyDescent="0.25">
      <c r="A80" s="53" t="s">
        <v>12</v>
      </c>
      <c r="B80" s="53" t="s">
        <v>13</v>
      </c>
      <c r="C80" s="53" t="s">
        <v>14</v>
      </c>
      <c r="D80" s="53" t="s">
        <v>95</v>
      </c>
      <c r="E80" s="53" t="s">
        <v>96</v>
      </c>
      <c r="F80" s="53" t="s">
        <v>33</v>
      </c>
      <c r="G80" s="63">
        <v>5450</v>
      </c>
      <c r="H80" s="62">
        <v>45885</v>
      </c>
      <c r="I80" s="61" t="s">
        <v>571</v>
      </c>
      <c r="J80" s="61" t="s">
        <v>59</v>
      </c>
      <c r="K80" s="53">
        <v>352502903</v>
      </c>
      <c r="L80" s="53">
        <v>8159025834</v>
      </c>
      <c r="M80" s="55" t="s">
        <v>1083</v>
      </c>
    </row>
    <row r="81" spans="1:13" hidden="1" x14ac:dyDescent="0.25">
      <c r="A81" s="53" t="s">
        <v>12</v>
      </c>
      <c r="B81" s="53" t="s">
        <v>13</v>
      </c>
      <c r="C81" s="53" t="s">
        <v>14</v>
      </c>
      <c r="D81" s="53" t="s">
        <v>936</v>
      </c>
      <c r="E81" s="54">
        <v>29230100027591</v>
      </c>
      <c r="F81" s="53" t="s">
        <v>937</v>
      </c>
      <c r="G81" s="63">
        <v>5450</v>
      </c>
      <c r="H81" s="62">
        <v>45885</v>
      </c>
      <c r="I81" s="61" t="s">
        <v>895</v>
      </c>
      <c r="J81" s="61" t="s">
        <v>896</v>
      </c>
      <c r="K81" s="53">
        <v>352502909</v>
      </c>
      <c r="L81" s="53">
        <v>6202164591</v>
      </c>
      <c r="M81" s="55" t="s">
        <v>1083</v>
      </c>
    </row>
    <row r="82" spans="1:13" hidden="1" x14ac:dyDescent="0.25">
      <c r="A82" s="53" t="s">
        <v>12</v>
      </c>
      <c r="B82" s="53" t="s">
        <v>13</v>
      </c>
      <c r="C82" s="53" t="s">
        <v>14</v>
      </c>
      <c r="D82" s="53" t="s">
        <v>152</v>
      </c>
      <c r="E82" s="53" t="s">
        <v>153</v>
      </c>
      <c r="F82" s="53" t="s">
        <v>154</v>
      </c>
      <c r="G82" s="53">
        <v>5450</v>
      </c>
      <c r="H82" s="62">
        <v>45885</v>
      </c>
      <c r="I82" s="61" t="s">
        <v>903</v>
      </c>
      <c r="J82" s="61" t="s">
        <v>904</v>
      </c>
      <c r="K82" s="53">
        <v>352502880</v>
      </c>
      <c r="L82" s="60">
        <v>6206444704</v>
      </c>
      <c r="M82" s="55" t="s">
        <v>1083</v>
      </c>
    </row>
    <row r="83" spans="1:13" s="68" customFormat="1" hidden="1" x14ac:dyDescent="0.25">
      <c r="A83" s="61" t="s">
        <v>12</v>
      </c>
      <c r="B83" s="61" t="s">
        <v>13</v>
      </c>
      <c r="C83" s="61" t="s">
        <v>14</v>
      </c>
      <c r="D83" s="61" t="s">
        <v>31</v>
      </c>
      <c r="E83" s="61" t="s">
        <v>32</v>
      </c>
      <c r="F83" s="61" t="s">
        <v>33</v>
      </c>
      <c r="G83" s="61">
        <v>1000</v>
      </c>
      <c r="H83" s="62">
        <v>45885</v>
      </c>
      <c r="I83" s="61" t="s">
        <v>741</v>
      </c>
      <c r="J83" s="61" t="s">
        <v>22</v>
      </c>
      <c r="K83" s="53">
        <v>352502859</v>
      </c>
      <c r="L83" s="61">
        <v>9347726061</v>
      </c>
      <c r="M83" s="55" t="s">
        <v>1084</v>
      </c>
    </row>
    <row r="84" spans="1:13" hidden="1" x14ac:dyDescent="0.25">
      <c r="A84" s="53" t="s">
        <v>12</v>
      </c>
      <c r="B84" s="53" t="s">
        <v>13</v>
      </c>
      <c r="C84" s="53" t="s">
        <v>14</v>
      </c>
      <c r="D84" s="53" t="s">
        <v>108</v>
      </c>
      <c r="E84" s="53" t="s">
        <v>109</v>
      </c>
      <c r="F84" s="53" t="s">
        <v>110</v>
      </c>
      <c r="G84" s="61">
        <v>1000</v>
      </c>
      <c r="H84" s="62">
        <v>45885</v>
      </c>
      <c r="I84" s="61" t="s">
        <v>898</v>
      </c>
      <c r="J84" s="61" t="s">
        <v>899</v>
      </c>
      <c r="K84" s="53">
        <v>352502860</v>
      </c>
      <c r="L84" s="53">
        <v>7870570436</v>
      </c>
      <c r="M84" s="55" t="s">
        <v>1084</v>
      </c>
    </row>
    <row r="85" spans="1:13" hidden="1" x14ac:dyDescent="0.25">
      <c r="A85" s="70" t="s">
        <v>12</v>
      </c>
      <c r="B85" s="70" t="s">
        <v>13</v>
      </c>
      <c r="C85" s="70" t="s">
        <v>14</v>
      </c>
      <c r="D85" s="70" t="s">
        <v>993</v>
      </c>
      <c r="E85" s="71">
        <v>50100683547664</v>
      </c>
      <c r="F85" s="70" t="s">
        <v>994</v>
      </c>
      <c r="G85" s="72">
        <v>700</v>
      </c>
      <c r="H85" s="73">
        <v>45887</v>
      </c>
      <c r="I85" s="72" t="s">
        <v>579</v>
      </c>
      <c r="J85" s="72" t="s">
        <v>205</v>
      </c>
      <c r="K85" s="70">
        <v>352408306</v>
      </c>
      <c r="L85" s="70">
        <v>8093441726</v>
      </c>
      <c r="M85" s="74" t="s">
        <v>1085</v>
      </c>
    </row>
    <row r="86" spans="1:13" hidden="1" x14ac:dyDescent="0.25">
      <c r="A86" s="70" t="s">
        <v>12</v>
      </c>
      <c r="B86" s="70" t="s">
        <v>13</v>
      </c>
      <c r="C86" s="70" t="s">
        <v>14</v>
      </c>
      <c r="D86" s="70" t="s">
        <v>978</v>
      </c>
      <c r="E86" s="71">
        <v>922010007032459</v>
      </c>
      <c r="F86" s="70" t="s">
        <v>979</v>
      </c>
      <c r="G86" s="72">
        <v>700</v>
      </c>
      <c r="H86" s="73">
        <v>45887</v>
      </c>
      <c r="I86" s="72" t="s">
        <v>1086</v>
      </c>
      <c r="J86" s="70" t="s">
        <v>1087</v>
      </c>
      <c r="K86" s="70">
        <v>352409781</v>
      </c>
      <c r="L86" s="70">
        <v>9002149111</v>
      </c>
      <c r="M86" s="74" t="s">
        <v>1085</v>
      </c>
    </row>
    <row r="87" spans="1:13" hidden="1" x14ac:dyDescent="0.25">
      <c r="A87" s="53" t="s">
        <v>12</v>
      </c>
      <c r="B87" s="53" t="s">
        <v>13</v>
      </c>
      <c r="C87" s="53" t="s">
        <v>14</v>
      </c>
      <c r="D87" s="53" t="s">
        <v>936</v>
      </c>
      <c r="E87" s="54">
        <v>29230100027591</v>
      </c>
      <c r="F87" s="53" t="s">
        <v>937</v>
      </c>
      <c r="G87" s="63">
        <v>5200</v>
      </c>
      <c r="H87" s="62">
        <v>45887</v>
      </c>
      <c r="I87" s="61" t="s">
        <v>895</v>
      </c>
      <c r="J87" s="61" t="s">
        <v>896</v>
      </c>
      <c r="K87" s="53">
        <v>352502926</v>
      </c>
      <c r="L87" s="53">
        <v>6202164591</v>
      </c>
      <c r="M87" s="55" t="s">
        <v>1088</v>
      </c>
    </row>
    <row r="88" spans="1:13" hidden="1" x14ac:dyDescent="0.25">
      <c r="A88" s="53" t="s">
        <v>12</v>
      </c>
      <c r="B88" s="53" t="s">
        <v>13</v>
      </c>
      <c r="C88" s="53" t="s">
        <v>14</v>
      </c>
      <c r="D88" s="53" t="s">
        <v>36</v>
      </c>
      <c r="E88" s="53" t="s">
        <v>37</v>
      </c>
      <c r="F88" s="53" t="s">
        <v>38</v>
      </c>
      <c r="G88" s="53">
        <v>3950</v>
      </c>
      <c r="H88" s="62">
        <v>45887</v>
      </c>
      <c r="I88" s="53" t="s">
        <v>902</v>
      </c>
      <c r="J88" s="53" t="s">
        <v>901</v>
      </c>
      <c r="K88" s="53">
        <v>352502911</v>
      </c>
      <c r="L88" s="53">
        <v>9358936441</v>
      </c>
      <c r="M88" s="55" t="s">
        <v>1089</v>
      </c>
    </row>
    <row r="89" spans="1:13" s="68" customFormat="1" hidden="1" x14ac:dyDescent="0.25">
      <c r="A89" s="61" t="s">
        <v>12</v>
      </c>
      <c r="B89" s="61" t="s">
        <v>13</v>
      </c>
      <c r="C89" s="61" t="s">
        <v>14</v>
      </c>
      <c r="D89" s="61" t="s">
        <v>31</v>
      </c>
      <c r="E89" s="61" t="s">
        <v>32</v>
      </c>
      <c r="F89" s="61" t="s">
        <v>33</v>
      </c>
      <c r="G89" s="61">
        <v>500</v>
      </c>
      <c r="H89" s="62">
        <v>45887</v>
      </c>
      <c r="I89" s="61" t="s">
        <v>741</v>
      </c>
      <c r="J89" s="61" t="s">
        <v>22</v>
      </c>
      <c r="K89" s="53">
        <v>352502859</v>
      </c>
      <c r="L89" s="61">
        <v>9347726061</v>
      </c>
      <c r="M89" s="55" t="s">
        <v>1084</v>
      </c>
    </row>
    <row r="90" spans="1:13" hidden="1" x14ac:dyDescent="0.25">
      <c r="A90" s="53" t="s">
        <v>12</v>
      </c>
      <c r="B90" s="53" t="s">
        <v>13</v>
      </c>
      <c r="C90" s="53" t="s">
        <v>14</v>
      </c>
      <c r="D90" s="53" t="s">
        <v>108</v>
      </c>
      <c r="E90" s="53" t="s">
        <v>109</v>
      </c>
      <c r="F90" s="53" t="s">
        <v>110</v>
      </c>
      <c r="G90" s="61">
        <v>500</v>
      </c>
      <c r="H90" s="62">
        <v>45887</v>
      </c>
      <c r="I90" s="61" t="s">
        <v>898</v>
      </c>
      <c r="J90" s="61" t="s">
        <v>899</v>
      </c>
      <c r="K90" s="53">
        <v>352502860</v>
      </c>
      <c r="L90" s="53">
        <v>7870570436</v>
      </c>
      <c r="M90" s="55" t="s">
        <v>1084</v>
      </c>
    </row>
    <row r="91" spans="1:13" hidden="1" x14ac:dyDescent="0.25">
      <c r="A91" s="53" t="s">
        <v>12</v>
      </c>
      <c r="B91" s="53" t="s">
        <v>13</v>
      </c>
      <c r="C91" s="53" t="s">
        <v>14</v>
      </c>
      <c r="D91" s="53" t="s">
        <v>95</v>
      </c>
      <c r="E91" s="53" t="s">
        <v>96</v>
      </c>
      <c r="F91" s="53" t="s">
        <v>33</v>
      </c>
      <c r="G91" s="63">
        <v>5200</v>
      </c>
      <c r="H91" s="62">
        <v>45888</v>
      </c>
      <c r="I91" s="61" t="s">
        <v>571</v>
      </c>
      <c r="J91" s="61" t="s">
        <v>59</v>
      </c>
      <c r="K91" s="53">
        <v>352502925</v>
      </c>
      <c r="L91" s="53">
        <v>8159025834</v>
      </c>
      <c r="M91" s="55" t="s">
        <v>1090</v>
      </c>
    </row>
    <row r="92" spans="1:13" hidden="1" x14ac:dyDescent="0.25">
      <c r="A92" s="53" t="s">
        <v>12</v>
      </c>
      <c r="B92" s="53" t="s">
        <v>13</v>
      </c>
      <c r="C92" s="53" t="s">
        <v>14</v>
      </c>
      <c r="D92" s="53" t="s">
        <v>36</v>
      </c>
      <c r="E92" s="53" t="s">
        <v>37</v>
      </c>
      <c r="F92" s="53" t="s">
        <v>38</v>
      </c>
      <c r="G92" s="53">
        <v>5450</v>
      </c>
      <c r="H92" s="62">
        <v>45889</v>
      </c>
      <c r="I92" s="53" t="s">
        <v>902</v>
      </c>
      <c r="J92" s="53" t="s">
        <v>901</v>
      </c>
      <c r="K92" s="53">
        <v>352502957</v>
      </c>
      <c r="L92" s="53">
        <v>9358936441</v>
      </c>
      <c r="M92" s="55" t="s">
        <v>1091</v>
      </c>
    </row>
    <row r="93" spans="1:13" hidden="1" x14ac:dyDescent="0.25">
      <c r="A93" s="53" t="s">
        <v>12</v>
      </c>
      <c r="B93" s="53" t="s">
        <v>13</v>
      </c>
      <c r="C93" s="53" t="s">
        <v>14</v>
      </c>
      <c r="D93" s="53" t="s">
        <v>152</v>
      </c>
      <c r="E93" s="53" t="s">
        <v>153</v>
      </c>
      <c r="F93" s="53" t="s">
        <v>154</v>
      </c>
      <c r="G93" s="53">
        <v>5450</v>
      </c>
      <c r="H93" s="62">
        <v>45889</v>
      </c>
      <c r="I93" s="61" t="s">
        <v>903</v>
      </c>
      <c r="J93" s="61" t="s">
        <v>904</v>
      </c>
      <c r="K93" s="53">
        <v>352502927</v>
      </c>
      <c r="L93" s="60">
        <v>6206444704</v>
      </c>
      <c r="M93" s="55" t="s">
        <v>1091</v>
      </c>
    </row>
    <row r="94" spans="1:13" x14ac:dyDescent="0.25">
      <c r="A94" s="53" t="s">
        <v>12</v>
      </c>
      <c r="B94" s="53" t="s">
        <v>13</v>
      </c>
      <c r="C94" s="53" t="s">
        <v>14</v>
      </c>
      <c r="D94" s="53" t="s">
        <v>144</v>
      </c>
      <c r="E94" s="53">
        <v>42542201947</v>
      </c>
      <c r="F94" s="53" t="s">
        <v>145</v>
      </c>
      <c r="G94" s="53">
        <v>5450</v>
      </c>
      <c r="H94" s="62">
        <v>45889</v>
      </c>
      <c r="I94" s="53" t="s">
        <v>652</v>
      </c>
      <c r="J94" s="53" t="s">
        <v>147</v>
      </c>
      <c r="K94" s="53">
        <v>352502931</v>
      </c>
      <c r="L94" s="53">
        <v>7765824237</v>
      </c>
      <c r="M94" s="55" t="s">
        <v>1091</v>
      </c>
    </row>
    <row r="95" spans="1:13" hidden="1" x14ac:dyDescent="0.25">
      <c r="A95" s="53" t="s">
        <v>12</v>
      </c>
      <c r="B95" s="53" t="s">
        <v>13</v>
      </c>
      <c r="C95" s="53" t="s">
        <v>14</v>
      </c>
      <c r="D95" s="53" t="s">
        <v>48</v>
      </c>
      <c r="E95" s="53" t="s">
        <v>49</v>
      </c>
      <c r="F95" s="53" t="s">
        <v>50</v>
      </c>
      <c r="G95" s="53">
        <v>5450</v>
      </c>
      <c r="H95" s="62">
        <v>45889</v>
      </c>
      <c r="I95" s="53" t="s">
        <v>572</v>
      </c>
      <c r="J95" s="53" t="s">
        <v>34</v>
      </c>
      <c r="K95" s="53">
        <v>352502930</v>
      </c>
      <c r="L95" s="53">
        <v>8520078561</v>
      </c>
      <c r="M95" s="55" t="s">
        <v>1091</v>
      </c>
    </row>
    <row r="96" spans="1:13" hidden="1" x14ac:dyDescent="0.25">
      <c r="A96" s="53" t="s">
        <v>12</v>
      </c>
      <c r="B96" s="53" t="s">
        <v>13</v>
      </c>
      <c r="C96" s="53" t="s">
        <v>14</v>
      </c>
      <c r="D96" s="53" t="s">
        <v>936</v>
      </c>
      <c r="E96" s="54">
        <v>29230100027591</v>
      </c>
      <c r="F96" s="53" t="s">
        <v>937</v>
      </c>
      <c r="G96" s="63">
        <v>3950</v>
      </c>
      <c r="H96" s="62">
        <v>45890</v>
      </c>
      <c r="I96" s="61" t="s">
        <v>895</v>
      </c>
      <c r="J96" s="61" t="s">
        <v>896</v>
      </c>
      <c r="K96" s="53">
        <v>352502961</v>
      </c>
      <c r="L96" s="53">
        <v>6202164591</v>
      </c>
      <c r="M96" s="55" t="s">
        <v>1092</v>
      </c>
    </row>
    <row r="97" spans="1:13" hidden="1" x14ac:dyDescent="0.25">
      <c r="A97" s="53" t="s">
        <v>12</v>
      </c>
      <c r="B97" s="53" t="s">
        <v>13</v>
      </c>
      <c r="C97" s="53" t="s">
        <v>14</v>
      </c>
      <c r="D97" s="53" t="s">
        <v>36</v>
      </c>
      <c r="E97" s="53" t="s">
        <v>37</v>
      </c>
      <c r="F97" s="53" t="s">
        <v>38</v>
      </c>
      <c r="G97" s="53">
        <v>5450</v>
      </c>
      <c r="H97" s="62">
        <v>45890</v>
      </c>
      <c r="I97" s="53" t="s">
        <v>902</v>
      </c>
      <c r="J97" s="53" t="s">
        <v>901</v>
      </c>
      <c r="K97" s="53">
        <v>352503008</v>
      </c>
      <c r="L97" s="53">
        <v>9358936441</v>
      </c>
      <c r="M97" s="55" t="s">
        <v>1092</v>
      </c>
    </row>
    <row r="98" spans="1:13" hidden="1" x14ac:dyDescent="0.25">
      <c r="A98" s="53" t="s">
        <v>12</v>
      </c>
      <c r="B98" s="53" t="s">
        <v>13</v>
      </c>
      <c r="C98" s="53" t="s">
        <v>14</v>
      </c>
      <c r="D98" s="53" t="s">
        <v>152</v>
      </c>
      <c r="E98" s="53" t="s">
        <v>153</v>
      </c>
      <c r="F98" s="53" t="s">
        <v>154</v>
      </c>
      <c r="G98" s="53">
        <v>5450</v>
      </c>
      <c r="H98" s="62">
        <v>45890</v>
      </c>
      <c r="I98" s="61" t="s">
        <v>903</v>
      </c>
      <c r="J98" s="61" t="s">
        <v>904</v>
      </c>
      <c r="K98" s="53">
        <v>352503007</v>
      </c>
      <c r="L98" s="60">
        <v>6206444704</v>
      </c>
      <c r="M98" s="55" t="s">
        <v>1092</v>
      </c>
    </row>
    <row r="99" spans="1:13" x14ac:dyDescent="0.25">
      <c r="A99" s="53" t="s">
        <v>12</v>
      </c>
      <c r="B99" s="53" t="s">
        <v>13</v>
      </c>
      <c r="C99" s="53" t="s">
        <v>14</v>
      </c>
      <c r="D99" s="53" t="s">
        <v>978</v>
      </c>
      <c r="E99" s="69">
        <v>922010007032459</v>
      </c>
      <c r="F99" s="53" t="s">
        <v>979</v>
      </c>
      <c r="G99" s="53">
        <v>6400</v>
      </c>
      <c r="H99" s="62">
        <v>45890</v>
      </c>
      <c r="I99" s="61" t="s">
        <v>667</v>
      </c>
      <c r="J99" s="53" t="s">
        <v>98</v>
      </c>
      <c r="K99" s="53">
        <v>352502910</v>
      </c>
      <c r="L99" s="53">
        <v>9002149111</v>
      </c>
      <c r="M99" s="55" t="s">
        <v>1093</v>
      </c>
    </row>
    <row r="100" spans="1:13" hidden="1" x14ac:dyDescent="0.25">
      <c r="A100" s="53" t="s">
        <v>12</v>
      </c>
      <c r="B100" s="53" t="s">
        <v>13</v>
      </c>
      <c r="C100" s="53" t="s">
        <v>14</v>
      </c>
      <c r="D100" s="53" t="s">
        <v>993</v>
      </c>
      <c r="E100" s="69">
        <v>50100683547664</v>
      </c>
      <c r="F100" s="60" t="s">
        <v>994</v>
      </c>
      <c r="G100" s="61">
        <v>6400</v>
      </c>
      <c r="H100" s="62">
        <v>45890</v>
      </c>
      <c r="I100" s="61" t="s">
        <v>593</v>
      </c>
      <c r="J100" s="61" t="s">
        <v>76</v>
      </c>
      <c r="K100" s="53">
        <v>352502908</v>
      </c>
      <c r="L100" s="60">
        <v>8093441726</v>
      </c>
      <c r="M100" s="55" t="s">
        <v>1093</v>
      </c>
    </row>
    <row r="101" spans="1:13" hidden="1" x14ac:dyDescent="0.25">
      <c r="A101" s="53" t="s">
        <v>12</v>
      </c>
      <c r="B101" s="53" t="s">
        <v>13</v>
      </c>
      <c r="C101" s="53" t="s">
        <v>14</v>
      </c>
      <c r="D101" s="53" t="s">
        <v>48</v>
      </c>
      <c r="E101" s="53" t="s">
        <v>49</v>
      </c>
      <c r="F101" s="53" t="s">
        <v>50</v>
      </c>
      <c r="G101" s="53">
        <v>2000</v>
      </c>
      <c r="H101" s="62">
        <v>45890</v>
      </c>
      <c r="I101" s="53" t="s">
        <v>572</v>
      </c>
      <c r="J101" s="53" t="s">
        <v>34</v>
      </c>
      <c r="K101" s="53">
        <v>352503009</v>
      </c>
      <c r="L101" s="53">
        <v>8520078561</v>
      </c>
      <c r="M101" s="55" t="s">
        <v>1094</v>
      </c>
    </row>
    <row r="102" spans="1:13" x14ac:dyDescent="0.25">
      <c r="A102" s="53" t="s">
        <v>12</v>
      </c>
      <c r="B102" s="53" t="s">
        <v>13</v>
      </c>
      <c r="C102" s="53" t="s">
        <v>14</v>
      </c>
      <c r="D102" s="53" t="s">
        <v>144</v>
      </c>
      <c r="E102" s="53">
        <v>42542201947</v>
      </c>
      <c r="F102" s="53" t="s">
        <v>145</v>
      </c>
      <c r="G102" s="53">
        <v>1000</v>
      </c>
      <c r="H102" s="62">
        <v>45890</v>
      </c>
      <c r="I102" s="53" t="s">
        <v>652</v>
      </c>
      <c r="J102" s="53" t="s">
        <v>147</v>
      </c>
      <c r="K102" s="53">
        <v>352503006</v>
      </c>
      <c r="L102" s="53">
        <v>7765824237</v>
      </c>
      <c r="M102" s="55" t="s">
        <v>1119</v>
      </c>
    </row>
    <row r="103" spans="1:13" hidden="1" x14ac:dyDescent="0.25">
      <c r="A103" s="53" t="s">
        <v>12</v>
      </c>
      <c r="B103" s="53" t="s">
        <v>13</v>
      </c>
      <c r="C103" s="53" t="s">
        <v>14</v>
      </c>
      <c r="D103" s="53" t="s">
        <v>95</v>
      </c>
      <c r="E103" s="53" t="s">
        <v>96</v>
      </c>
      <c r="F103" s="53" t="s">
        <v>33</v>
      </c>
      <c r="G103" s="63">
        <v>5700</v>
      </c>
      <c r="H103" s="62">
        <v>45890</v>
      </c>
      <c r="I103" s="61" t="s">
        <v>571</v>
      </c>
      <c r="J103" s="61" t="s">
        <v>59</v>
      </c>
      <c r="K103" s="53">
        <v>352502981</v>
      </c>
      <c r="L103" s="53">
        <v>8159025834</v>
      </c>
      <c r="M103" s="55" t="s">
        <v>1095</v>
      </c>
    </row>
    <row r="104" spans="1:13" s="68" customFormat="1" hidden="1" x14ac:dyDescent="0.25">
      <c r="A104" s="61" t="s">
        <v>12</v>
      </c>
      <c r="B104" s="61" t="s">
        <v>13</v>
      </c>
      <c r="C104" s="61" t="s">
        <v>14</v>
      </c>
      <c r="D104" s="61" t="s">
        <v>31</v>
      </c>
      <c r="E104" s="61" t="s">
        <v>32</v>
      </c>
      <c r="F104" s="61" t="s">
        <v>33</v>
      </c>
      <c r="G104" s="61">
        <v>900</v>
      </c>
      <c r="H104" s="62">
        <v>45890</v>
      </c>
      <c r="I104" s="61" t="s">
        <v>741</v>
      </c>
      <c r="J104" s="61" t="s">
        <v>22</v>
      </c>
      <c r="K104" s="53">
        <v>352502859</v>
      </c>
      <c r="L104" s="61">
        <v>9347726061</v>
      </c>
      <c r="M104" s="55" t="s">
        <v>1084</v>
      </c>
    </row>
    <row r="105" spans="1:13" hidden="1" x14ac:dyDescent="0.25">
      <c r="A105" s="53" t="s">
        <v>12</v>
      </c>
      <c r="B105" s="53" t="s">
        <v>13</v>
      </c>
      <c r="C105" s="53" t="s">
        <v>14</v>
      </c>
      <c r="D105" s="53" t="s">
        <v>108</v>
      </c>
      <c r="E105" s="53" t="s">
        <v>109</v>
      </c>
      <c r="F105" s="53" t="s">
        <v>110</v>
      </c>
      <c r="G105" s="61">
        <v>900</v>
      </c>
      <c r="H105" s="62">
        <v>45890</v>
      </c>
      <c r="I105" s="61" t="s">
        <v>898</v>
      </c>
      <c r="J105" s="61" t="s">
        <v>899</v>
      </c>
      <c r="K105" s="53">
        <v>352502860</v>
      </c>
      <c r="L105" s="53">
        <v>7870570436</v>
      </c>
      <c r="M105" s="55" t="s">
        <v>1084</v>
      </c>
    </row>
    <row r="106" spans="1:13" hidden="1" x14ac:dyDescent="0.25">
      <c r="A106" s="53" t="s">
        <v>12</v>
      </c>
      <c r="B106" s="53" t="s">
        <v>13</v>
      </c>
      <c r="C106" s="53" t="s">
        <v>14</v>
      </c>
      <c r="D106" s="53" t="s">
        <v>435</v>
      </c>
      <c r="E106" s="53">
        <v>31095925572</v>
      </c>
      <c r="F106" s="60" t="s">
        <v>33</v>
      </c>
      <c r="G106" s="61">
        <v>1500</v>
      </c>
      <c r="H106" s="62">
        <v>45890</v>
      </c>
      <c r="I106" s="61" t="s">
        <v>966</v>
      </c>
      <c r="J106" s="61" t="s">
        <v>967</v>
      </c>
      <c r="K106" s="53">
        <v>352502902</v>
      </c>
      <c r="L106" s="60">
        <v>8084080392</v>
      </c>
      <c r="M106" s="55" t="s">
        <v>1096</v>
      </c>
    </row>
    <row r="107" spans="1:13" x14ac:dyDescent="0.25">
      <c r="A107" s="53" t="s">
        <v>12</v>
      </c>
      <c r="B107" s="53" t="s">
        <v>13</v>
      </c>
      <c r="C107" s="53" t="s">
        <v>14</v>
      </c>
      <c r="D107" s="53" t="s">
        <v>144</v>
      </c>
      <c r="E107" s="53">
        <v>42542201947</v>
      </c>
      <c r="F107" s="53" t="s">
        <v>145</v>
      </c>
      <c r="G107" s="53">
        <v>7700</v>
      </c>
      <c r="H107" s="62">
        <v>45891</v>
      </c>
      <c r="I107" s="53" t="s">
        <v>652</v>
      </c>
      <c r="J107" s="53" t="s">
        <v>147</v>
      </c>
      <c r="K107" s="53">
        <v>352503014</v>
      </c>
      <c r="L107" s="53">
        <v>7765824237</v>
      </c>
      <c r="M107" s="55" t="s">
        <v>1097</v>
      </c>
    </row>
    <row r="108" spans="1:13" hidden="1" x14ac:dyDescent="0.25">
      <c r="A108" s="53" t="s">
        <v>12</v>
      </c>
      <c r="B108" s="53" t="s">
        <v>13</v>
      </c>
      <c r="C108" s="53" t="s">
        <v>14</v>
      </c>
      <c r="D108" s="53" t="s">
        <v>108</v>
      </c>
      <c r="E108" s="53" t="s">
        <v>109</v>
      </c>
      <c r="F108" s="53" t="s">
        <v>110</v>
      </c>
      <c r="G108" s="61">
        <v>3500</v>
      </c>
      <c r="H108" s="62">
        <v>45892</v>
      </c>
      <c r="I108" s="61" t="s">
        <v>898</v>
      </c>
      <c r="J108" s="61" t="s">
        <v>899</v>
      </c>
      <c r="K108" s="53">
        <v>352502860</v>
      </c>
      <c r="L108" s="53">
        <v>7870570436</v>
      </c>
      <c r="M108" s="55" t="s">
        <v>1098</v>
      </c>
    </row>
    <row r="109" spans="1:13" hidden="1" x14ac:dyDescent="0.25">
      <c r="A109" s="53" t="s">
        <v>12</v>
      </c>
      <c r="B109" s="53" t="s">
        <v>13</v>
      </c>
      <c r="C109" s="53" t="s">
        <v>14</v>
      </c>
      <c r="D109" s="53" t="s">
        <v>936</v>
      </c>
      <c r="E109" s="54">
        <v>29230100027591</v>
      </c>
      <c r="F109" s="53" t="s">
        <v>937</v>
      </c>
      <c r="G109" s="63">
        <v>5450</v>
      </c>
      <c r="H109" s="62">
        <v>45892</v>
      </c>
      <c r="I109" s="61" t="s">
        <v>895</v>
      </c>
      <c r="J109" s="61" t="s">
        <v>896</v>
      </c>
      <c r="K109" s="53">
        <v>352503025</v>
      </c>
      <c r="L109" s="53">
        <v>6202164591</v>
      </c>
      <c r="M109" s="55" t="s">
        <v>1098</v>
      </c>
    </row>
    <row r="110" spans="1:13" hidden="1" x14ac:dyDescent="0.25">
      <c r="A110" s="53" t="s">
        <v>12</v>
      </c>
      <c r="B110" s="53" t="s">
        <v>13</v>
      </c>
      <c r="C110" s="53" t="s">
        <v>14</v>
      </c>
      <c r="D110" s="53" t="s">
        <v>36</v>
      </c>
      <c r="E110" s="53" t="s">
        <v>37</v>
      </c>
      <c r="F110" s="53" t="s">
        <v>38</v>
      </c>
      <c r="G110" s="53">
        <v>5450</v>
      </c>
      <c r="H110" s="62">
        <v>45892</v>
      </c>
      <c r="I110" s="53" t="s">
        <v>902</v>
      </c>
      <c r="J110" s="53" t="s">
        <v>901</v>
      </c>
      <c r="K110" s="53">
        <v>352503027</v>
      </c>
      <c r="L110" s="53">
        <v>9358936441</v>
      </c>
      <c r="M110" s="55" t="s">
        <v>1098</v>
      </c>
    </row>
    <row r="111" spans="1:13" hidden="1" x14ac:dyDescent="0.25">
      <c r="A111" s="53" t="s">
        <v>12</v>
      </c>
      <c r="B111" s="53" t="s">
        <v>13</v>
      </c>
      <c r="C111" s="53" t="s">
        <v>14</v>
      </c>
      <c r="D111" s="53" t="s">
        <v>152</v>
      </c>
      <c r="E111" s="53" t="s">
        <v>153</v>
      </c>
      <c r="F111" s="53" t="s">
        <v>154</v>
      </c>
      <c r="G111" s="53">
        <v>7700</v>
      </c>
      <c r="H111" s="62">
        <v>45892</v>
      </c>
      <c r="I111" s="61" t="s">
        <v>903</v>
      </c>
      <c r="J111" s="61" t="s">
        <v>904</v>
      </c>
      <c r="K111" s="53">
        <v>352503026</v>
      </c>
      <c r="L111" s="60">
        <v>6206444704</v>
      </c>
      <c r="M111" s="55" t="s">
        <v>1099</v>
      </c>
    </row>
    <row r="112" spans="1:13" hidden="1" x14ac:dyDescent="0.25">
      <c r="A112" s="53" t="s">
        <v>12</v>
      </c>
      <c r="B112" s="53" t="s">
        <v>13</v>
      </c>
      <c r="C112" s="53" t="s">
        <v>14</v>
      </c>
      <c r="D112" s="53" t="s">
        <v>993</v>
      </c>
      <c r="E112" s="69">
        <v>50100683547664</v>
      </c>
      <c r="F112" s="60" t="s">
        <v>994</v>
      </c>
      <c r="G112" s="61">
        <v>5200</v>
      </c>
      <c r="H112" s="62">
        <v>45892</v>
      </c>
      <c r="I112" s="61" t="s">
        <v>593</v>
      </c>
      <c r="J112" s="61" t="s">
        <v>76</v>
      </c>
      <c r="K112" s="53">
        <v>352503024</v>
      </c>
      <c r="L112" s="60">
        <v>8093441726</v>
      </c>
      <c r="M112" s="55" t="s">
        <v>1100</v>
      </c>
    </row>
    <row r="113" spans="1:13" x14ac:dyDescent="0.25">
      <c r="A113" s="53" t="s">
        <v>12</v>
      </c>
      <c r="B113" s="53" t="s">
        <v>13</v>
      </c>
      <c r="C113" s="53" t="s">
        <v>14</v>
      </c>
      <c r="D113" s="53" t="s">
        <v>144</v>
      </c>
      <c r="E113" s="53">
        <v>42542201947</v>
      </c>
      <c r="F113" s="53" t="s">
        <v>145</v>
      </c>
      <c r="G113" s="53">
        <v>8780</v>
      </c>
      <c r="H113" s="62">
        <v>45892</v>
      </c>
      <c r="I113" s="53" t="s">
        <v>652</v>
      </c>
      <c r="J113" s="53" t="s">
        <v>147</v>
      </c>
      <c r="K113" s="53">
        <v>352503067</v>
      </c>
      <c r="L113" s="53">
        <v>7765824237</v>
      </c>
      <c r="M113" s="55" t="s">
        <v>1101</v>
      </c>
    </row>
    <row r="114" spans="1:13" x14ac:dyDescent="0.25">
      <c r="A114" s="53" t="s">
        <v>12</v>
      </c>
      <c r="B114" s="53" t="s">
        <v>13</v>
      </c>
      <c r="C114" s="53" t="s">
        <v>14</v>
      </c>
      <c r="D114" s="53" t="s">
        <v>978</v>
      </c>
      <c r="E114" s="69">
        <v>922010007032459</v>
      </c>
      <c r="F114" s="53" t="s">
        <v>979</v>
      </c>
      <c r="G114" s="53">
        <v>8780</v>
      </c>
      <c r="H114" s="62">
        <v>45892</v>
      </c>
      <c r="I114" s="61" t="s">
        <v>667</v>
      </c>
      <c r="J114" s="53" t="s">
        <v>98</v>
      </c>
      <c r="K114" s="53">
        <v>352503023</v>
      </c>
      <c r="L114" s="53">
        <v>9002149111</v>
      </c>
      <c r="M114" s="55" t="s">
        <v>1101</v>
      </c>
    </row>
    <row r="115" spans="1:13" s="68" customFormat="1" hidden="1" x14ac:dyDescent="0.25">
      <c r="A115" s="61" t="s">
        <v>12</v>
      </c>
      <c r="B115" s="61" t="s">
        <v>13</v>
      </c>
      <c r="C115" s="61" t="s">
        <v>14</v>
      </c>
      <c r="D115" s="61" t="s">
        <v>31</v>
      </c>
      <c r="E115" s="61" t="s">
        <v>32</v>
      </c>
      <c r="F115" s="61" t="s">
        <v>33</v>
      </c>
      <c r="G115" s="61">
        <v>6400</v>
      </c>
      <c r="H115" s="62">
        <v>45894</v>
      </c>
      <c r="I115" s="61" t="s">
        <v>741</v>
      </c>
      <c r="J115" s="61" t="s">
        <v>22</v>
      </c>
      <c r="K115" s="53">
        <v>352503133</v>
      </c>
      <c r="L115" s="61">
        <v>9347726061</v>
      </c>
      <c r="M115" s="55" t="s">
        <v>1104</v>
      </c>
    </row>
    <row r="116" spans="1:13" hidden="1" x14ac:dyDescent="0.25">
      <c r="A116" s="53" t="s">
        <v>12</v>
      </c>
      <c r="B116" s="53" t="s">
        <v>13</v>
      </c>
      <c r="C116" s="53" t="s">
        <v>14</v>
      </c>
      <c r="D116" s="53" t="s">
        <v>108</v>
      </c>
      <c r="E116" s="53" t="s">
        <v>109</v>
      </c>
      <c r="F116" s="53" t="s">
        <v>110</v>
      </c>
      <c r="G116" s="61">
        <v>7700</v>
      </c>
      <c r="H116" s="62">
        <v>45894</v>
      </c>
      <c r="I116" s="61" t="s">
        <v>898</v>
      </c>
      <c r="J116" s="61" t="s">
        <v>899</v>
      </c>
      <c r="K116" s="53">
        <v>352503091</v>
      </c>
      <c r="L116" s="53">
        <v>7870570436</v>
      </c>
      <c r="M116" s="55" t="s">
        <v>1102</v>
      </c>
    </row>
    <row r="117" spans="1:13" hidden="1" x14ac:dyDescent="0.25">
      <c r="A117" s="53" t="s">
        <v>12</v>
      </c>
      <c r="B117" s="53" t="s">
        <v>13</v>
      </c>
      <c r="C117" s="53" t="s">
        <v>14</v>
      </c>
      <c r="D117" s="53" t="s">
        <v>95</v>
      </c>
      <c r="E117" s="53" t="s">
        <v>96</v>
      </c>
      <c r="F117" s="53" t="s">
        <v>33</v>
      </c>
      <c r="G117" s="61">
        <v>7700</v>
      </c>
      <c r="H117" s="62">
        <v>45894</v>
      </c>
      <c r="I117" s="61" t="s">
        <v>571</v>
      </c>
      <c r="J117" s="61" t="s">
        <v>59</v>
      </c>
      <c r="K117" s="53">
        <v>352503029</v>
      </c>
      <c r="L117" s="53">
        <v>8159025834</v>
      </c>
      <c r="M117" s="55" t="s">
        <v>1102</v>
      </c>
    </row>
    <row r="118" spans="1:13" hidden="1" x14ac:dyDescent="0.25">
      <c r="A118" s="53" t="s">
        <v>12</v>
      </c>
      <c r="B118" s="53" t="s">
        <v>13</v>
      </c>
      <c r="C118" s="53" t="s">
        <v>14</v>
      </c>
      <c r="D118" s="53" t="s">
        <v>936</v>
      </c>
      <c r="E118" s="54">
        <v>29230100027591</v>
      </c>
      <c r="F118" s="53" t="s">
        <v>937</v>
      </c>
      <c r="G118" s="63">
        <v>5450</v>
      </c>
      <c r="H118" s="62">
        <v>45894</v>
      </c>
      <c r="I118" s="61" t="s">
        <v>895</v>
      </c>
      <c r="J118" s="61" t="s">
        <v>896</v>
      </c>
      <c r="K118" s="53">
        <v>352503090</v>
      </c>
      <c r="L118" s="53">
        <v>6202164591</v>
      </c>
      <c r="M118" s="55" t="s">
        <v>1103</v>
      </c>
    </row>
    <row r="119" spans="1:13" hidden="1" x14ac:dyDescent="0.25">
      <c r="A119" s="53" t="s">
        <v>12</v>
      </c>
      <c r="B119" s="53" t="s">
        <v>13</v>
      </c>
      <c r="C119" s="53" t="s">
        <v>14</v>
      </c>
      <c r="D119" s="53" t="s">
        <v>36</v>
      </c>
      <c r="E119" s="53" t="s">
        <v>37</v>
      </c>
      <c r="F119" s="53" t="s">
        <v>38</v>
      </c>
      <c r="G119" s="53">
        <v>5450</v>
      </c>
      <c r="H119" s="62">
        <v>45894</v>
      </c>
      <c r="I119" s="53" t="s">
        <v>902</v>
      </c>
      <c r="J119" s="53" t="s">
        <v>901</v>
      </c>
      <c r="K119" s="53">
        <v>352503089</v>
      </c>
      <c r="L119" s="53">
        <v>9358936441</v>
      </c>
      <c r="M119" s="55" t="s">
        <v>1103</v>
      </c>
    </row>
    <row r="120" spans="1:13" hidden="1" x14ac:dyDescent="0.25">
      <c r="A120" s="53" t="s">
        <v>12</v>
      </c>
      <c r="B120" s="53" t="s">
        <v>13</v>
      </c>
      <c r="C120" s="53" t="s">
        <v>14</v>
      </c>
      <c r="D120" s="53" t="s">
        <v>152</v>
      </c>
      <c r="E120" s="53" t="s">
        <v>153</v>
      </c>
      <c r="F120" s="53" t="s">
        <v>154</v>
      </c>
      <c r="G120" s="53">
        <v>5450</v>
      </c>
      <c r="H120" s="62">
        <v>45894</v>
      </c>
      <c r="I120" s="61" t="s">
        <v>903</v>
      </c>
      <c r="J120" s="61" t="s">
        <v>904</v>
      </c>
      <c r="K120" s="53">
        <v>352503087</v>
      </c>
      <c r="L120" s="60">
        <v>6206444704</v>
      </c>
      <c r="M120" s="55" t="s">
        <v>1103</v>
      </c>
    </row>
    <row r="121" spans="1:13" x14ac:dyDescent="0.25">
      <c r="A121" s="53" t="s">
        <v>12</v>
      </c>
      <c r="B121" s="53" t="s">
        <v>13</v>
      </c>
      <c r="C121" s="53" t="s">
        <v>14</v>
      </c>
      <c r="D121" s="53" t="s">
        <v>144</v>
      </c>
      <c r="E121" s="53">
        <v>42542201947</v>
      </c>
      <c r="F121" s="53" t="s">
        <v>145</v>
      </c>
      <c r="G121" s="53">
        <v>2275</v>
      </c>
      <c r="H121" s="62">
        <v>45894</v>
      </c>
      <c r="I121" s="53" t="s">
        <v>652</v>
      </c>
      <c r="J121" s="53" t="s">
        <v>147</v>
      </c>
      <c r="K121" s="53">
        <v>352503067</v>
      </c>
      <c r="L121" s="53">
        <v>7765824237</v>
      </c>
      <c r="M121" s="55" t="s">
        <v>1101</v>
      </c>
    </row>
    <row r="122" spans="1:13" x14ac:dyDescent="0.25">
      <c r="A122" s="53" t="s">
        <v>12</v>
      </c>
      <c r="B122" s="53" t="s">
        <v>13</v>
      </c>
      <c r="C122" s="53" t="s">
        <v>14</v>
      </c>
      <c r="D122" s="53" t="s">
        <v>978</v>
      </c>
      <c r="E122" s="69">
        <v>922010007032459</v>
      </c>
      <c r="F122" s="53" t="s">
        <v>979</v>
      </c>
      <c r="G122" s="53">
        <v>2275</v>
      </c>
      <c r="H122" s="62">
        <v>45894</v>
      </c>
      <c r="I122" s="61" t="s">
        <v>667</v>
      </c>
      <c r="J122" s="53" t="s">
        <v>98</v>
      </c>
      <c r="K122" s="53">
        <v>352503023</v>
      </c>
      <c r="L122" s="53">
        <v>9002149111</v>
      </c>
      <c r="M122" s="55" t="s">
        <v>1101</v>
      </c>
    </row>
    <row r="123" spans="1:13" x14ac:dyDescent="0.25">
      <c r="A123" s="53" t="s">
        <v>12</v>
      </c>
      <c r="B123" s="53" t="s">
        <v>13</v>
      </c>
      <c r="C123" s="53" t="s">
        <v>14</v>
      </c>
      <c r="D123" s="53" t="s">
        <v>144</v>
      </c>
      <c r="E123" s="53">
        <v>42542201947</v>
      </c>
      <c r="F123" s="53" t="s">
        <v>145</v>
      </c>
      <c r="G123" s="53">
        <v>1090</v>
      </c>
      <c r="H123" s="62">
        <v>45895</v>
      </c>
      <c r="I123" s="53" t="s">
        <v>652</v>
      </c>
      <c r="J123" s="53" t="s">
        <v>147</v>
      </c>
      <c r="K123" s="53">
        <v>352503138</v>
      </c>
      <c r="L123" s="53">
        <v>7765824237</v>
      </c>
      <c r="M123" s="55" t="s">
        <v>1101</v>
      </c>
    </row>
    <row r="124" spans="1:13" x14ac:dyDescent="0.25">
      <c r="A124" s="53" t="s">
        <v>12</v>
      </c>
      <c r="B124" s="53" t="s">
        <v>13</v>
      </c>
      <c r="C124" s="53" t="s">
        <v>14</v>
      </c>
      <c r="D124" s="53" t="s">
        <v>978</v>
      </c>
      <c r="E124" s="69">
        <v>922010007032459</v>
      </c>
      <c r="F124" s="53" t="s">
        <v>979</v>
      </c>
      <c r="G124" s="53">
        <v>910</v>
      </c>
      <c r="H124" s="62">
        <v>45895</v>
      </c>
      <c r="I124" s="61" t="s">
        <v>667</v>
      </c>
      <c r="J124" s="53" t="s">
        <v>98</v>
      </c>
      <c r="K124" s="53">
        <v>352503139</v>
      </c>
      <c r="L124" s="53">
        <v>9002149111</v>
      </c>
      <c r="M124" s="55" t="s">
        <v>1101</v>
      </c>
    </row>
    <row r="125" spans="1:13" hidden="1" x14ac:dyDescent="0.25">
      <c r="A125" s="53" t="s">
        <v>12</v>
      </c>
      <c r="B125" s="53" t="s">
        <v>13</v>
      </c>
      <c r="C125" s="53" t="s">
        <v>14</v>
      </c>
      <c r="D125" s="53" t="s">
        <v>435</v>
      </c>
      <c r="E125" s="53">
        <v>31095925572</v>
      </c>
      <c r="F125" s="60" t="s">
        <v>33</v>
      </c>
      <c r="G125" s="61">
        <v>6400</v>
      </c>
      <c r="H125" s="62">
        <v>45895</v>
      </c>
      <c r="I125" s="61" t="s">
        <v>966</v>
      </c>
      <c r="J125" s="61" t="s">
        <v>967</v>
      </c>
      <c r="K125" s="53">
        <v>352503140</v>
      </c>
      <c r="L125" s="60">
        <v>8084080392</v>
      </c>
      <c r="M125" s="55" t="s">
        <v>1105</v>
      </c>
    </row>
    <row r="126" spans="1:13" hidden="1" x14ac:dyDescent="0.25">
      <c r="A126" s="53" t="s">
        <v>12</v>
      </c>
      <c r="B126" s="53" t="s">
        <v>13</v>
      </c>
      <c r="C126" s="53" t="s">
        <v>14</v>
      </c>
      <c r="D126" s="53" t="s">
        <v>993</v>
      </c>
      <c r="E126" s="69">
        <v>50100683547664</v>
      </c>
      <c r="F126" s="60" t="s">
        <v>994</v>
      </c>
      <c r="G126" s="61">
        <v>7700</v>
      </c>
      <c r="H126" s="62">
        <v>45895</v>
      </c>
      <c r="I126" s="61" t="s">
        <v>593</v>
      </c>
      <c r="J126" s="61" t="s">
        <v>76</v>
      </c>
      <c r="K126" s="53">
        <v>352503088</v>
      </c>
      <c r="L126" s="60">
        <v>8093441726</v>
      </c>
      <c r="M126" s="55" t="s">
        <v>1106</v>
      </c>
    </row>
    <row r="127" spans="1:13" x14ac:dyDescent="0.25">
      <c r="A127" s="53" t="s">
        <v>12</v>
      </c>
      <c r="B127" s="53" t="s">
        <v>13</v>
      </c>
      <c r="C127" s="53" t="s">
        <v>14</v>
      </c>
      <c r="D127" s="53" t="s">
        <v>144</v>
      </c>
      <c r="E127" s="53">
        <v>42542201947</v>
      </c>
      <c r="F127" s="53" t="s">
        <v>145</v>
      </c>
      <c r="G127" s="53">
        <v>3500</v>
      </c>
      <c r="H127" s="62">
        <v>45895</v>
      </c>
      <c r="I127" s="53" t="s">
        <v>652</v>
      </c>
      <c r="J127" s="53" t="s">
        <v>147</v>
      </c>
      <c r="K127" s="53">
        <v>352503138</v>
      </c>
      <c r="L127" s="53">
        <v>7765824237</v>
      </c>
      <c r="M127" s="55" t="s">
        <v>1107</v>
      </c>
    </row>
    <row r="128" spans="1:13" x14ac:dyDescent="0.25">
      <c r="A128" s="53" t="s">
        <v>12</v>
      </c>
      <c r="B128" s="53" t="s">
        <v>13</v>
      </c>
      <c r="C128" s="53" t="s">
        <v>14</v>
      </c>
      <c r="D128" s="53" t="s">
        <v>978</v>
      </c>
      <c r="E128" s="69">
        <v>922010007032459</v>
      </c>
      <c r="F128" s="53" t="s">
        <v>979</v>
      </c>
      <c r="G128" s="53">
        <v>3500</v>
      </c>
      <c r="H128" s="62">
        <v>45895</v>
      </c>
      <c r="I128" s="61" t="s">
        <v>667</v>
      </c>
      <c r="J128" s="53" t="s">
        <v>98</v>
      </c>
      <c r="K128" s="53">
        <v>352503139</v>
      </c>
      <c r="L128" s="53">
        <v>9002149111</v>
      </c>
      <c r="M128" s="55" t="s">
        <v>1107</v>
      </c>
    </row>
    <row r="129" spans="1:13" hidden="1" x14ac:dyDescent="0.25">
      <c r="A129" s="53" t="s">
        <v>12</v>
      </c>
      <c r="B129" s="53" t="s">
        <v>13</v>
      </c>
      <c r="C129" s="53" t="s">
        <v>14</v>
      </c>
      <c r="D129" s="53" t="s">
        <v>936</v>
      </c>
      <c r="E129" s="54">
        <v>29230100027591</v>
      </c>
      <c r="F129" s="53" t="s">
        <v>937</v>
      </c>
      <c r="G129" s="53">
        <v>5450</v>
      </c>
      <c r="H129" s="62">
        <v>45895</v>
      </c>
      <c r="I129" s="61" t="s">
        <v>895</v>
      </c>
      <c r="J129" s="61" t="s">
        <v>896</v>
      </c>
      <c r="K129" s="53">
        <v>352503145</v>
      </c>
      <c r="L129" s="53">
        <v>6202164591</v>
      </c>
      <c r="M129" s="55" t="s">
        <v>1103</v>
      </c>
    </row>
    <row r="130" spans="1:13" hidden="1" x14ac:dyDescent="0.25">
      <c r="A130" s="53" t="s">
        <v>12</v>
      </c>
      <c r="B130" s="53" t="s">
        <v>13</v>
      </c>
      <c r="C130" s="53" t="s">
        <v>14</v>
      </c>
      <c r="D130" s="53" t="s">
        <v>95</v>
      </c>
      <c r="E130" s="53" t="s">
        <v>96</v>
      </c>
      <c r="F130" s="53" t="s">
        <v>33</v>
      </c>
      <c r="G130" s="53">
        <v>5450</v>
      </c>
      <c r="H130" s="62">
        <v>45895</v>
      </c>
      <c r="I130" s="61" t="s">
        <v>571</v>
      </c>
      <c r="J130" s="61" t="s">
        <v>59</v>
      </c>
      <c r="K130" s="53">
        <v>352503143</v>
      </c>
      <c r="L130" s="53">
        <v>8159025834</v>
      </c>
      <c r="M130" s="55" t="s">
        <v>1103</v>
      </c>
    </row>
    <row r="131" spans="1:13" s="68" customFormat="1" hidden="1" x14ac:dyDescent="0.25">
      <c r="A131" s="61" t="s">
        <v>12</v>
      </c>
      <c r="B131" s="61" t="s">
        <v>13</v>
      </c>
      <c r="C131" s="61" t="s">
        <v>14</v>
      </c>
      <c r="D131" s="61" t="s">
        <v>31</v>
      </c>
      <c r="E131" s="61" t="s">
        <v>32</v>
      </c>
      <c r="F131" s="61" t="s">
        <v>33</v>
      </c>
      <c r="G131" s="61">
        <v>6400</v>
      </c>
      <c r="H131" s="62">
        <v>45897</v>
      </c>
      <c r="I131" s="61" t="s">
        <v>741</v>
      </c>
      <c r="J131" s="61" t="s">
        <v>22</v>
      </c>
      <c r="K131" s="53">
        <v>352503133</v>
      </c>
      <c r="L131" s="61">
        <v>9347726061</v>
      </c>
      <c r="M131" s="55" t="s">
        <v>1108</v>
      </c>
    </row>
    <row r="132" spans="1:13" x14ac:dyDescent="0.25">
      <c r="A132" s="53" t="s">
        <v>12</v>
      </c>
      <c r="B132" s="53" t="s">
        <v>13</v>
      </c>
      <c r="C132" s="53" t="s">
        <v>14</v>
      </c>
      <c r="D132" s="53" t="s">
        <v>144</v>
      </c>
      <c r="E132" s="53">
        <v>42542201947</v>
      </c>
      <c r="F132" s="53" t="s">
        <v>145</v>
      </c>
      <c r="G132" s="61">
        <v>6400</v>
      </c>
      <c r="H132" s="62">
        <v>45897</v>
      </c>
      <c r="I132" s="53" t="s">
        <v>652</v>
      </c>
      <c r="J132" s="53" t="s">
        <v>147</v>
      </c>
      <c r="K132" s="53">
        <v>352503183</v>
      </c>
      <c r="L132" s="53">
        <v>7765824237</v>
      </c>
      <c r="M132" s="55" t="s">
        <v>1108</v>
      </c>
    </row>
    <row r="133" spans="1:13" hidden="1" x14ac:dyDescent="0.25">
      <c r="A133" s="53" t="s">
        <v>12</v>
      </c>
      <c r="B133" s="53" t="s">
        <v>13</v>
      </c>
      <c r="C133" s="53" t="s">
        <v>14</v>
      </c>
      <c r="D133" s="53" t="s">
        <v>152</v>
      </c>
      <c r="E133" s="53" t="s">
        <v>153</v>
      </c>
      <c r="F133" s="53" t="s">
        <v>154</v>
      </c>
      <c r="G133" s="53">
        <v>5450</v>
      </c>
      <c r="H133" s="62">
        <v>45899</v>
      </c>
      <c r="I133" s="61" t="s">
        <v>903</v>
      </c>
      <c r="J133" s="61" t="s">
        <v>904</v>
      </c>
      <c r="K133" s="53">
        <v>352503146</v>
      </c>
      <c r="L133" s="60">
        <v>6206444704</v>
      </c>
      <c r="M133" s="55" t="s">
        <v>1109</v>
      </c>
    </row>
    <row r="134" spans="1:13" hidden="1" x14ac:dyDescent="0.25">
      <c r="A134" s="53" t="s">
        <v>12</v>
      </c>
      <c r="B134" s="53" t="s">
        <v>13</v>
      </c>
      <c r="C134" s="53" t="s">
        <v>14</v>
      </c>
      <c r="D134" s="53" t="s">
        <v>36</v>
      </c>
      <c r="E134" s="53" t="s">
        <v>37</v>
      </c>
      <c r="F134" s="53" t="s">
        <v>38</v>
      </c>
      <c r="G134" s="53">
        <v>5450</v>
      </c>
      <c r="H134" s="62">
        <v>45899</v>
      </c>
      <c r="I134" s="53" t="s">
        <v>902</v>
      </c>
      <c r="J134" s="53" t="s">
        <v>901</v>
      </c>
      <c r="K134" s="53">
        <v>352503147</v>
      </c>
      <c r="L134" s="53">
        <v>9358936441</v>
      </c>
      <c r="M134" s="55" t="s">
        <v>1109</v>
      </c>
    </row>
    <row r="135" spans="1:13" hidden="1" x14ac:dyDescent="0.25">
      <c r="A135" s="53" t="s">
        <v>12</v>
      </c>
      <c r="B135" s="53" t="s">
        <v>13</v>
      </c>
      <c r="C135" s="53" t="s">
        <v>14</v>
      </c>
      <c r="D135" s="53" t="s">
        <v>95</v>
      </c>
      <c r="E135" s="53" t="s">
        <v>96</v>
      </c>
      <c r="F135" s="53" t="s">
        <v>33</v>
      </c>
      <c r="G135" s="53">
        <v>5450</v>
      </c>
      <c r="H135" s="62">
        <v>45899</v>
      </c>
      <c r="I135" s="61" t="s">
        <v>571</v>
      </c>
      <c r="J135" s="61" t="s">
        <v>59</v>
      </c>
      <c r="K135" s="53">
        <v>352503169</v>
      </c>
      <c r="L135" s="53">
        <v>8159025834</v>
      </c>
      <c r="M135" s="55" t="s">
        <v>1109</v>
      </c>
    </row>
    <row r="136" spans="1:13" hidden="1" x14ac:dyDescent="0.25">
      <c r="A136" s="53" t="s">
        <v>12</v>
      </c>
      <c r="B136" s="53" t="s">
        <v>13</v>
      </c>
      <c r="C136" s="53" t="s">
        <v>14</v>
      </c>
      <c r="D136" s="53" t="s">
        <v>936</v>
      </c>
      <c r="E136" s="54">
        <v>29230100027591</v>
      </c>
      <c r="F136" s="53" t="s">
        <v>937</v>
      </c>
      <c r="G136" s="53">
        <v>5450</v>
      </c>
      <c r="H136" s="62">
        <v>45899</v>
      </c>
      <c r="I136" s="61" t="s">
        <v>895</v>
      </c>
      <c r="J136" s="61" t="s">
        <v>896</v>
      </c>
      <c r="K136" s="53">
        <v>352503168</v>
      </c>
      <c r="L136" s="53">
        <v>6202164591</v>
      </c>
      <c r="M136" s="55" t="s">
        <v>1109</v>
      </c>
    </row>
    <row r="137" spans="1:13" hidden="1" x14ac:dyDescent="0.25">
      <c r="A137" s="53" t="s">
        <v>12</v>
      </c>
      <c r="B137" s="53" t="s">
        <v>13</v>
      </c>
      <c r="C137" s="53" t="s">
        <v>14</v>
      </c>
      <c r="D137" s="53" t="s">
        <v>48</v>
      </c>
      <c r="E137" s="53" t="s">
        <v>49</v>
      </c>
      <c r="F137" s="53" t="s">
        <v>50</v>
      </c>
      <c r="G137" s="53">
        <v>3500</v>
      </c>
      <c r="H137" s="62">
        <v>45899</v>
      </c>
      <c r="I137" s="53" t="s">
        <v>572</v>
      </c>
      <c r="J137" s="53" t="s">
        <v>34</v>
      </c>
      <c r="K137" s="53">
        <v>352503164</v>
      </c>
      <c r="L137" s="53">
        <v>8520078561</v>
      </c>
      <c r="M137" s="55" t="s">
        <v>1110</v>
      </c>
    </row>
    <row r="138" spans="1:13" hidden="1" x14ac:dyDescent="0.25">
      <c r="A138" s="53" t="s">
        <v>12</v>
      </c>
      <c r="B138" s="53" t="s">
        <v>13</v>
      </c>
      <c r="C138" s="53" t="s">
        <v>14</v>
      </c>
      <c r="D138" s="53" t="s">
        <v>993</v>
      </c>
      <c r="E138" s="69">
        <v>50100683547664</v>
      </c>
      <c r="F138" s="60" t="s">
        <v>994</v>
      </c>
      <c r="G138" s="61">
        <v>4950</v>
      </c>
      <c r="H138" s="62">
        <v>45899</v>
      </c>
      <c r="I138" s="61" t="s">
        <v>593</v>
      </c>
      <c r="J138" s="61" t="s">
        <v>76</v>
      </c>
      <c r="K138" s="53">
        <v>352503172</v>
      </c>
      <c r="L138" s="60">
        <v>8093441726</v>
      </c>
      <c r="M138" s="55" t="s">
        <v>1111</v>
      </c>
    </row>
    <row r="139" spans="1:13" x14ac:dyDescent="0.25">
      <c r="A139" s="53" t="s">
        <v>12</v>
      </c>
      <c r="B139" s="53" t="s">
        <v>13</v>
      </c>
      <c r="C139" s="53" t="s">
        <v>14</v>
      </c>
      <c r="D139" s="53" t="s">
        <v>144</v>
      </c>
      <c r="E139" s="53">
        <v>42542201947</v>
      </c>
      <c r="F139" s="53" t="s">
        <v>145</v>
      </c>
      <c r="G139" s="53">
        <v>5200</v>
      </c>
      <c r="H139" s="62">
        <v>45899</v>
      </c>
      <c r="I139" s="53" t="s">
        <v>652</v>
      </c>
      <c r="J139" s="53" t="s">
        <v>147</v>
      </c>
      <c r="K139" s="53">
        <v>352503219</v>
      </c>
      <c r="L139" s="53">
        <v>7765824237</v>
      </c>
      <c r="M139" s="55" t="s">
        <v>1112</v>
      </c>
    </row>
    <row r="140" spans="1:13" x14ac:dyDescent="0.25">
      <c r="A140" s="53" t="s">
        <v>12</v>
      </c>
      <c r="B140" s="53" t="s">
        <v>13</v>
      </c>
      <c r="C140" s="53" t="s">
        <v>14</v>
      </c>
      <c r="D140" s="53" t="s">
        <v>978</v>
      </c>
      <c r="E140" s="69">
        <v>922010007032459</v>
      </c>
      <c r="F140" s="53" t="s">
        <v>979</v>
      </c>
      <c r="G140" s="53">
        <v>6400</v>
      </c>
      <c r="H140" s="62">
        <v>45899</v>
      </c>
      <c r="I140" s="61" t="s">
        <v>667</v>
      </c>
      <c r="J140" s="53" t="s">
        <v>98</v>
      </c>
      <c r="K140" s="53">
        <v>352503182</v>
      </c>
      <c r="L140" s="53">
        <v>9002149111</v>
      </c>
      <c r="M140" s="55" t="s">
        <v>1113</v>
      </c>
    </row>
    <row r="141" spans="1:13" hidden="1" x14ac:dyDescent="0.25">
      <c r="A141" s="53" t="s">
        <v>12</v>
      </c>
      <c r="B141" s="53" t="s">
        <v>13</v>
      </c>
      <c r="C141" s="53" t="s">
        <v>14</v>
      </c>
      <c r="D141" s="53" t="s">
        <v>435</v>
      </c>
      <c r="E141" s="53">
        <v>31095925572</v>
      </c>
      <c r="F141" s="60" t="s">
        <v>33</v>
      </c>
      <c r="G141" s="61">
        <v>2000</v>
      </c>
      <c r="H141" s="62">
        <v>45899</v>
      </c>
      <c r="I141" s="61" t="s">
        <v>966</v>
      </c>
      <c r="J141" s="61" t="s">
        <v>967</v>
      </c>
      <c r="K141" s="53">
        <v>352503171</v>
      </c>
      <c r="L141" s="60">
        <v>8084080392</v>
      </c>
      <c r="M141" s="55" t="s">
        <v>1114</v>
      </c>
    </row>
    <row r="142" spans="1:13" s="68" customFormat="1" hidden="1" x14ac:dyDescent="0.25">
      <c r="A142" s="61" t="s">
        <v>12</v>
      </c>
      <c r="B142" s="61" t="s">
        <v>13</v>
      </c>
      <c r="C142" s="61" t="s">
        <v>14</v>
      </c>
      <c r="D142" s="61" t="s">
        <v>31</v>
      </c>
      <c r="E142" s="61" t="s">
        <v>32</v>
      </c>
      <c r="F142" s="61" t="s">
        <v>33</v>
      </c>
      <c r="G142" s="61">
        <v>2000</v>
      </c>
      <c r="H142" s="62">
        <v>45899</v>
      </c>
      <c r="I142" s="61" t="s">
        <v>741</v>
      </c>
      <c r="J142" s="61" t="s">
        <v>22</v>
      </c>
      <c r="K142" s="53">
        <v>352503223</v>
      </c>
      <c r="L142" s="61">
        <v>9347726061</v>
      </c>
      <c r="M142" s="55" t="s">
        <v>1114</v>
      </c>
    </row>
  </sheetData>
  <autoFilter ref="A1:M142">
    <filterColumn colId="9">
      <filters>
        <filter val="HR47B5850"/>
        <filter val="HR47B5920"/>
      </filters>
    </filterColumn>
  </autoFilter>
  <pageMargins left="0.7" right="0.7" top="0.75" bottom="0.75" header="0.3" footer="0.3"/>
  <pageSetup orientation="portrait" r:id="rId1"/>
  <ignoredErrors>
    <ignoredError sqref="C2:C14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3"/>
  <sheetViews>
    <sheetView workbookViewId="0">
      <pane ySplit="1" topLeftCell="A147" activePane="bottomLeft" state="frozen"/>
      <selection pane="bottomLeft"/>
    </sheetView>
  </sheetViews>
  <sheetFormatPr defaultRowHeight="12" x14ac:dyDescent="0.25"/>
  <cols>
    <col min="1" max="1" width="17.77734375" style="59" customWidth="1"/>
    <col min="2" max="2" width="9.77734375" style="59" customWidth="1"/>
    <col min="3" max="3" width="13" style="59" customWidth="1"/>
    <col min="4" max="4" width="14" style="59" bestFit="1" customWidth="1"/>
    <col min="5" max="5" width="15.33203125" style="59" bestFit="1" customWidth="1"/>
    <col min="6" max="6" width="12.44140625" style="59" bestFit="1" customWidth="1"/>
    <col min="7" max="7" width="9" style="59" customWidth="1"/>
    <col min="8" max="8" width="13.33203125" style="59" bestFit="1" customWidth="1"/>
    <col min="9" max="9" width="15" style="59" bestFit="1" customWidth="1"/>
    <col min="10" max="10" width="10.77734375" style="59" bestFit="1" customWidth="1"/>
    <col min="11" max="11" width="9" style="59" customWidth="1"/>
    <col min="12" max="12" width="12.109375" style="59" customWidth="1"/>
    <col min="13" max="13" width="54.88671875" style="59" bestFit="1" customWidth="1"/>
    <col min="14" max="16384" width="8.88671875" style="59"/>
  </cols>
  <sheetData>
    <row r="1" spans="1:13" ht="24" x14ac:dyDescent="0.25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7" t="s">
        <v>7</v>
      </c>
      <c r="I1" s="56" t="s">
        <v>8</v>
      </c>
      <c r="J1" s="56" t="s">
        <v>9</v>
      </c>
      <c r="K1" s="56" t="s">
        <v>10</v>
      </c>
      <c r="L1" s="56" t="s">
        <v>949</v>
      </c>
      <c r="M1" s="58" t="s">
        <v>11</v>
      </c>
    </row>
    <row r="2" spans="1:13" x14ac:dyDescent="0.25">
      <c r="A2" s="53" t="s">
        <v>12</v>
      </c>
      <c r="B2" s="53" t="s">
        <v>13</v>
      </c>
      <c r="C2" s="53" t="s">
        <v>14</v>
      </c>
      <c r="D2" s="53" t="s">
        <v>152</v>
      </c>
      <c r="E2" s="53" t="s">
        <v>153</v>
      </c>
      <c r="F2" s="53" t="s">
        <v>154</v>
      </c>
      <c r="G2" s="53">
        <v>5450</v>
      </c>
      <c r="H2" s="62">
        <v>45901</v>
      </c>
      <c r="I2" s="61" t="s">
        <v>903</v>
      </c>
      <c r="J2" s="61" t="s">
        <v>904</v>
      </c>
      <c r="K2" s="53">
        <v>352503269</v>
      </c>
      <c r="L2" s="60">
        <v>6206444704</v>
      </c>
      <c r="M2" s="55" t="s">
        <v>1115</v>
      </c>
    </row>
    <row r="3" spans="1:13" x14ac:dyDescent="0.25">
      <c r="A3" s="53" t="s">
        <v>12</v>
      </c>
      <c r="B3" s="53" t="s">
        <v>13</v>
      </c>
      <c r="C3" s="53" t="s">
        <v>14</v>
      </c>
      <c r="D3" s="53" t="s">
        <v>36</v>
      </c>
      <c r="E3" s="53" t="s">
        <v>37</v>
      </c>
      <c r="F3" s="53" t="s">
        <v>38</v>
      </c>
      <c r="G3" s="53">
        <v>5450</v>
      </c>
      <c r="H3" s="62">
        <v>45901</v>
      </c>
      <c r="I3" s="53" t="s">
        <v>902</v>
      </c>
      <c r="J3" s="53" t="s">
        <v>901</v>
      </c>
      <c r="K3" s="53">
        <v>352503274</v>
      </c>
      <c r="L3" s="53">
        <v>9358936441</v>
      </c>
      <c r="M3" s="55" t="s">
        <v>1115</v>
      </c>
    </row>
    <row r="4" spans="1:13" x14ac:dyDescent="0.25">
      <c r="A4" s="53" t="s">
        <v>12</v>
      </c>
      <c r="B4" s="53" t="s">
        <v>13</v>
      </c>
      <c r="C4" s="53" t="s">
        <v>14</v>
      </c>
      <c r="D4" s="53" t="s">
        <v>95</v>
      </c>
      <c r="E4" s="53" t="s">
        <v>96</v>
      </c>
      <c r="F4" s="53" t="s">
        <v>33</v>
      </c>
      <c r="G4" s="53">
        <v>5450</v>
      </c>
      <c r="H4" s="62">
        <v>45901</v>
      </c>
      <c r="I4" s="61" t="s">
        <v>571</v>
      </c>
      <c r="J4" s="61" t="s">
        <v>59</v>
      </c>
      <c r="K4" s="53">
        <v>352503270</v>
      </c>
      <c r="L4" s="53">
        <v>8159025834</v>
      </c>
      <c r="M4" s="55" t="s">
        <v>1115</v>
      </c>
    </row>
    <row r="5" spans="1:13" x14ac:dyDescent="0.25">
      <c r="A5" s="53" t="s">
        <v>12</v>
      </c>
      <c r="B5" s="53" t="s">
        <v>13</v>
      </c>
      <c r="C5" s="53" t="s">
        <v>14</v>
      </c>
      <c r="D5" s="53" t="s">
        <v>936</v>
      </c>
      <c r="E5" s="54">
        <v>29230100027591</v>
      </c>
      <c r="F5" s="53" t="s">
        <v>937</v>
      </c>
      <c r="G5" s="53">
        <v>5450</v>
      </c>
      <c r="H5" s="62">
        <v>45901</v>
      </c>
      <c r="I5" s="61" t="s">
        <v>895</v>
      </c>
      <c r="J5" s="61" t="s">
        <v>896</v>
      </c>
      <c r="K5" s="53">
        <v>352503271</v>
      </c>
      <c r="L5" s="53">
        <v>6202164591</v>
      </c>
      <c r="M5" s="55" t="s">
        <v>1115</v>
      </c>
    </row>
    <row r="6" spans="1:13" x14ac:dyDescent="0.25">
      <c r="A6" s="53" t="s">
        <v>12</v>
      </c>
      <c r="B6" s="53" t="s">
        <v>13</v>
      </c>
      <c r="C6" s="53" t="s">
        <v>14</v>
      </c>
      <c r="D6" s="53" t="s">
        <v>993</v>
      </c>
      <c r="E6" s="69">
        <v>50100683547664</v>
      </c>
      <c r="F6" s="60" t="s">
        <v>994</v>
      </c>
      <c r="G6" s="61">
        <v>5450</v>
      </c>
      <c r="H6" s="62">
        <v>45901</v>
      </c>
      <c r="I6" s="61" t="s">
        <v>593</v>
      </c>
      <c r="J6" s="61" t="s">
        <v>76</v>
      </c>
      <c r="K6" s="53">
        <v>352503277</v>
      </c>
      <c r="L6" s="60">
        <v>8093441726</v>
      </c>
      <c r="M6" s="55" t="s">
        <v>1116</v>
      </c>
    </row>
    <row r="7" spans="1:13" x14ac:dyDescent="0.25">
      <c r="A7" s="53" t="s">
        <v>12</v>
      </c>
      <c r="B7" s="53" t="s">
        <v>13</v>
      </c>
      <c r="C7" s="53" t="s">
        <v>14</v>
      </c>
      <c r="D7" s="53" t="s">
        <v>144</v>
      </c>
      <c r="E7" s="53">
        <v>42542201947</v>
      </c>
      <c r="F7" s="53" t="s">
        <v>145</v>
      </c>
      <c r="G7" s="53">
        <v>3950</v>
      </c>
      <c r="H7" s="62">
        <v>45901</v>
      </c>
      <c r="I7" s="53" t="s">
        <v>652</v>
      </c>
      <c r="J7" s="53" t="s">
        <v>147</v>
      </c>
      <c r="K7" s="53">
        <v>352503279</v>
      </c>
      <c r="L7" s="53">
        <v>7765824237</v>
      </c>
      <c r="M7" s="55" t="s">
        <v>1116</v>
      </c>
    </row>
    <row r="8" spans="1:13" x14ac:dyDescent="0.25">
      <c r="A8" s="53" t="s">
        <v>12</v>
      </c>
      <c r="B8" s="53" t="s">
        <v>13</v>
      </c>
      <c r="C8" s="53" t="s">
        <v>14</v>
      </c>
      <c r="D8" s="53" t="s">
        <v>978</v>
      </c>
      <c r="E8" s="69">
        <v>922010007032459</v>
      </c>
      <c r="F8" s="53" t="s">
        <v>979</v>
      </c>
      <c r="G8" s="53">
        <v>6400</v>
      </c>
      <c r="H8" s="62">
        <v>45901</v>
      </c>
      <c r="I8" s="61" t="s">
        <v>667</v>
      </c>
      <c r="J8" s="53" t="s">
        <v>98</v>
      </c>
      <c r="K8" s="53">
        <v>352503289</v>
      </c>
      <c r="L8" s="53">
        <v>9002149111</v>
      </c>
      <c r="M8" s="55" t="s">
        <v>1117</v>
      </c>
    </row>
    <row r="9" spans="1:13" x14ac:dyDescent="0.25">
      <c r="A9" s="53" t="s">
        <v>12</v>
      </c>
      <c r="B9" s="53" t="s">
        <v>13</v>
      </c>
      <c r="C9" s="53" t="s">
        <v>14</v>
      </c>
      <c r="D9" s="53" t="s">
        <v>435</v>
      </c>
      <c r="E9" s="53">
        <v>31095925572</v>
      </c>
      <c r="F9" s="60" t="s">
        <v>33</v>
      </c>
      <c r="G9" s="53">
        <v>6400</v>
      </c>
      <c r="H9" s="62">
        <v>45901</v>
      </c>
      <c r="I9" s="61" t="s">
        <v>966</v>
      </c>
      <c r="J9" s="61" t="s">
        <v>967</v>
      </c>
      <c r="K9" s="53">
        <v>352503276</v>
      </c>
      <c r="L9" s="60">
        <v>8084080392</v>
      </c>
      <c r="M9" s="55" t="s">
        <v>1117</v>
      </c>
    </row>
    <row r="10" spans="1:13" s="68" customFormat="1" x14ac:dyDescent="0.25">
      <c r="A10" s="61" t="s">
        <v>12</v>
      </c>
      <c r="B10" s="61" t="s">
        <v>13</v>
      </c>
      <c r="C10" s="61" t="s">
        <v>14</v>
      </c>
      <c r="D10" s="61" t="s">
        <v>31</v>
      </c>
      <c r="E10" s="61" t="s">
        <v>32</v>
      </c>
      <c r="F10" s="61" t="s">
        <v>33</v>
      </c>
      <c r="G10" s="53">
        <v>6400</v>
      </c>
      <c r="H10" s="62">
        <v>45901</v>
      </c>
      <c r="I10" s="61" t="s">
        <v>741</v>
      </c>
      <c r="J10" s="61" t="s">
        <v>22</v>
      </c>
      <c r="K10" s="53">
        <v>352503275</v>
      </c>
      <c r="L10" s="61">
        <v>9347726061</v>
      </c>
      <c r="M10" s="55" t="s">
        <v>1117</v>
      </c>
    </row>
    <row r="11" spans="1:13" x14ac:dyDescent="0.25">
      <c r="A11" s="53" t="s">
        <v>12</v>
      </c>
      <c r="B11" s="53" t="s">
        <v>13</v>
      </c>
      <c r="C11" s="53" t="s">
        <v>14</v>
      </c>
      <c r="D11" s="53" t="s">
        <v>48</v>
      </c>
      <c r="E11" s="53" t="s">
        <v>49</v>
      </c>
      <c r="F11" s="53" t="s">
        <v>50</v>
      </c>
      <c r="G11" s="53">
        <v>1300</v>
      </c>
      <c r="H11" s="62">
        <v>45901</v>
      </c>
      <c r="I11" s="53" t="s">
        <v>572</v>
      </c>
      <c r="J11" s="53" t="s">
        <v>34</v>
      </c>
      <c r="K11" s="53">
        <v>352503290</v>
      </c>
      <c r="L11" s="53">
        <v>8520078561</v>
      </c>
      <c r="M11" s="55" t="s">
        <v>1118</v>
      </c>
    </row>
    <row r="12" spans="1:13" x14ac:dyDescent="0.25">
      <c r="A12" s="53" t="s">
        <v>12</v>
      </c>
      <c r="B12" s="53" t="s">
        <v>13</v>
      </c>
      <c r="C12" s="53" t="s">
        <v>14</v>
      </c>
      <c r="D12" s="53" t="s">
        <v>993</v>
      </c>
      <c r="E12" s="69">
        <v>50100683547664</v>
      </c>
      <c r="F12" s="60" t="s">
        <v>994</v>
      </c>
      <c r="G12" s="61">
        <v>1500</v>
      </c>
      <c r="H12" s="62">
        <v>45902</v>
      </c>
      <c r="I12" s="61" t="s">
        <v>593</v>
      </c>
      <c r="J12" s="61" t="s">
        <v>76</v>
      </c>
      <c r="K12" s="53">
        <v>352503306</v>
      </c>
      <c r="L12" s="60">
        <v>8093441726</v>
      </c>
      <c r="M12" s="55" t="s">
        <v>1120</v>
      </c>
    </row>
    <row r="13" spans="1:13" x14ac:dyDescent="0.25">
      <c r="A13" s="53" t="s">
        <v>12</v>
      </c>
      <c r="B13" s="53" t="s">
        <v>13</v>
      </c>
      <c r="C13" s="53" t="s">
        <v>14</v>
      </c>
      <c r="D13" s="53" t="s">
        <v>152</v>
      </c>
      <c r="E13" s="53" t="s">
        <v>153</v>
      </c>
      <c r="F13" s="53" t="s">
        <v>154</v>
      </c>
      <c r="G13" s="61">
        <v>1500</v>
      </c>
      <c r="H13" s="62">
        <v>45902</v>
      </c>
      <c r="I13" s="61" t="s">
        <v>903</v>
      </c>
      <c r="J13" s="61" t="s">
        <v>904</v>
      </c>
      <c r="K13" s="53">
        <v>352503300</v>
      </c>
      <c r="L13" s="60">
        <v>6206444704</v>
      </c>
      <c r="M13" s="55" t="s">
        <v>1120</v>
      </c>
    </row>
    <row r="14" spans="1:13" x14ac:dyDescent="0.25">
      <c r="A14" s="53" t="s">
        <v>12</v>
      </c>
      <c r="B14" s="53" t="s">
        <v>13</v>
      </c>
      <c r="C14" s="53" t="s">
        <v>14</v>
      </c>
      <c r="D14" s="53" t="s">
        <v>36</v>
      </c>
      <c r="E14" s="53" t="s">
        <v>37</v>
      </c>
      <c r="F14" s="53" t="s">
        <v>38</v>
      </c>
      <c r="G14" s="53">
        <v>5450</v>
      </c>
      <c r="H14" s="62">
        <v>45902</v>
      </c>
      <c r="I14" s="53" t="s">
        <v>902</v>
      </c>
      <c r="J14" s="53" t="s">
        <v>901</v>
      </c>
      <c r="K14" s="53">
        <v>352503302</v>
      </c>
      <c r="L14" s="53">
        <v>9358936441</v>
      </c>
      <c r="M14" s="55" t="s">
        <v>1121</v>
      </c>
    </row>
    <row r="15" spans="1:13" x14ac:dyDescent="0.25">
      <c r="A15" s="53" t="s">
        <v>12</v>
      </c>
      <c r="B15" s="53" t="s">
        <v>13</v>
      </c>
      <c r="C15" s="53" t="s">
        <v>14</v>
      </c>
      <c r="D15" s="53" t="s">
        <v>95</v>
      </c>
      <c r="E15" s="53" t="s">
        <v>96</v>
      </c>
      <c r="F15" s="53" t="s">
        <v>33</v>
      </c>
      <c r="G15" s="53">
        <v>5450</v>
      </c>
      <c r="H15" s="62">
        <v>45902</v>
      </c>
      <c r="I15" s="61" t="s">
        <v>571</v>
      </c>
      <c r="J15" s="61" t="s">
        <v>59</v>
      </c>
      <c r="K15" s="53">
        <v>352503301</v>
      </c>
      <c r="L15" s="53">
        <v>8159025834</v>
      </c>
      <c r="M15" s="55" t="s">
        <v>1121</v>
      </c>
    </row>
    <row r="16" spans="1:13" x14ac:dyDescent="0.25">
      <c r="A16" s="53" t="s">
        <v>12</v>
      </c>
      <c r="B16" s="53" t="s">
        <v>13</v>
      </c>
      <c r="C16" s="53" t="s">
        <v>14</v>
      </c>
      <c r="D16" s="53" t="s">
        <v>936</v>
      </c>
      <c r="E16" s="54">
        <v>29230100027591</v>
      </c>
      <c r="F16" s="53" t="s">
        <v>937</v>
      </c>
      <c r="G16" s="53">
        <v>5450</v>
      </c>
      <c r="H16" s="62">
        <v>45902</v>
      </c>
      <c r="I16" s="61" t="s">
        <v>895</v>
      </c>
      <c r="J16" s="61" t="s">
        <v>896</v>
      </c>
      <c r="K16" s="53">
        <v>352503303</v>
      </c>
      <c r="L16" s="53">
        <v>6202164591</v>
      </c>
      <c r="M16" s="55" t="s">
        <v>1121</v>
      </c>
    </row>
    <row r="17" spans="1:13" x14ac:dyDescent="0.25">
      <c r="A17" s="53" t="s">
        <v>12</v>
      </c>
      <c r="B17" s="53" t="s">
        <v>13</v>
      </c>
      <c r="C17" s="53" t="s">
        <v>14</v>
      </c>
      <c r="D17" s="53" t="s">
        <v>144</v>
      </c>
      <c r="E17" s="53">
        <v>42542201947</v>
      </c>
      <c r="F17" s="53" t="s">
        <v>145</v>
      </c>
      <c r="G17" s="53">
        <v>5450</v>
      </c>
      <c r="H17" s="62">
        <v>45902</v>
      </c>
      <c r="I17" s="53" t="s">
        <v>652</v>
      </c>
      <c r="J17" s="53" t="s">
        <v>147</v>
      </c>
      <c r="K17" s="53">
        <v>352503307</v>
      </c>
      <c r="L17" s="53">
        <v>7765824237</v>
      </c>
      <c r="M17" s="55" t="s">
        <v>1121</v>
      </c>
    </row>
    <row r="18" spans="1:13" x14ac:dyDescent="0.25">
      <c r="A18" s="53" t="s">
        <v>12</v>
      </c>
      <c r="B18" s="53" t="s">
        <v>13</v>
      </c>
      <c r="C18" s="53" t="s">
        <v>14</v>
      </c>
      <c r="D18" s="53" t="s">
        <v>48</v>
      </c>
      <c r="E18" s="53" t="s">
        <v>49</v>
      </c>
      <c r="F18" s="53" t="s">
        <v>50</v>
      </c>
      <c r="G18" s="53">
        <v>5450</v>
      </c>
      <c r="H18" s="62">
        <v>45902</v>
      </c>
      <c r="I18" s="53" t="s">
        <v>572</v>
      </c>
      <c r="J18" s="53" t="s">
        <v>34</v>
      </c>
      <c r="K18" s="53">
        <v>352503290</v>
      </c>
      <c r="L18" s="53">
        <v>8520078561</v>
      </c>
      <c r="M18" s="55" t="s">
        <v>1121</v>
      </c>
    </row>
    <row r="19" spans="1:13" x14ac:dyDescent="0.25">
      <c r="A19" s="53" t="s">
        <v>12</v>
      </c>
      <c r="B19" s="53" t="s">
        <v>13</v>
      </c>
      <c r="C19" s="53" t="s">
        <v>14</v>
      </c>
      <c r="D19" s="53" t="s">
        <v>978</v>
      </c>
      <c r="E19" s="69">
        <v>922010007032459</v>
      </c>
      <c r="F19" s="53" t="s">
        <v>979</v>
      </c>
      <c r="G19" s="53">
        <v>4950</v>
      </c>
      <c r="H19" s="62">
        <v>45902</v>
      </c>
      <c r="I19" s="61" t="s">
        <v>667</v>
      </c>
      <c r="J19" s="53" t="s">
        <v>98</v>
      </c>
      <c r="K19" s="53">
        <v>352503313</v>
      </c>
      <c r="L19" s="53">
        <v>9002149111</v>
      </c>
      <c r="M19" s="55" t="s">
        <v>1123</v>
      </c>
    </row>
    <row r="20" spans="1:13" x14ac:dyDescent="0.25">
      <c r="A20" s="53" t="s">
        <v>12</v>
      </c>
      <c r="B20" s="53" t="s">
        <v>13</v>
      </c>
      <c r="C20" s="53" t="s">
        <v>14</v>
      </c>
      <c r="D20" s="53" t="s">
        <v>978</v>
      </c>
      <c r="E20" s="69">
        <v>922010007032459</v>
      </c>
      <c r="F20" s="53" t="s">
        <v>979</v>
      </c>
      <c r="G20" s="53">
        <v>1450</v>
      </c>
      <c r="H20" s="62">
        <v>45902</v>
      </c>
      <c r="I20" s="61" t="s">
        <v>667</v>
      </c>
      <c r="J20" s="53" t="s">
        <v>98</v>
      </c>
      <c r="K20" s="53">
        <v>352503313</v>
      </c>
      <c r="L20" s="53">
        <v>9002149111</v>
      </c>
      <c r="M20" s="55" t="s">
        <v>1123</v>
      </c>
    </row>
    <row r="21" spans="1:13" x14ac:dyDescent="0.25">
      <c r="A21" s="53" t="s">
        <v>12</v>
      </c>
      <c r="B21" s="53" t="s">
        <v>13</v>
      </c>
      <c r="C21" s="53" t="s">
        <v>14</v>
      </c>
      <c r="D21" s="53" t="s">
        <v>993</v>
      </c>
      <c r="E21" s="69">
        <v>50100683547664</v>
      </c>
      <c r="F21" s="60" t="s">
        <v>994</v>
      </c>
      <c r="G21" s="61">
        <v>4950</v>
      </c>
      <c r="H21" s="62">
        <v>45902</v>
      </c>
      <c r="I21" s="61" t="s">
        <v>593</v>
      </c>
      <c r="J21" s="61" t="s">
        <v>76</v>
      </c>
      <c r="K21" s="53">
        <v>352503316</v>
      </c>
      <c r="L21" s="60">
        <v>8093441726</v>
      </c>
      <c r="M21" s="55" t="s">
        <v>1122</v>
      </c>
    </row>
    <row r="22" spans="1:13" x14ac:dyDescent="0.25">
      <c r="A22" s="53" t="s">
        <v>12</v>
      </c>
      <c r="B22" s="53" t="s">
        <v>13</v>
      </c>
      <c r="C22" s="53" t="s">
        <v>14</v>
      </c>
      <c r="D22" s="53" t="s">
        <v>152</v>
      </c>
      <c r="E22" s="53" t="s">
        <v>153</v>
      </c>
      <c r="F22" s="53" t="s">
        <v>154</v>
      </c>
      <c r="G22" s="61">
        <v>5200</v>
      </c>
      <c r="H22" s="62">
        <v>45902</v>
      </c>
      <c r="I22" s="61" t="s">
        <v>903</v>
      </c>
      <c r="J22" s="61" t="s">
        <v>904</v>
      </c>
      <c r="K22" s="53">
        <v>352503317</v>
      </c>
      <c r="L22" s="60">
        <v>6206444704</v>
      </c>
      <c r="M22" s="55" t="s">
        <v>1124</v>
      </c>
    </row>
    <row r="23" spans="1:13" x14ac:dyDescent="0.25">
      <c r="A23" s="53" t="s">
        <v>12</v>
      </c>
      <c r="B23" s="53" t="s">
        <v>13</v>
      </c>
      <c r="C23" s="53" t="s">
        <v>14</v>
      </c>
      <c r="D23" s="53" t="s">
        <v>435</v>
      </c>
      <c r="E23" s="53">
        <v>31095925572</v>
      </c>
      <c r="F23" s="60" t="s">
        <v>33</v>
      </c>
      <c r="G23" s="53">
        <v>6400</v>
      </c>
      <c r="H23" s="62">
        <v>45902</v>
      </c>
      <c r="I23" s="61" t="s">
        <v>966</v>
      </c>
      <c r="J23" s="61" t="s">
        <v>967</v>
      </c>
      <c r="K23" s="53">
        <v>352503314</v>
      </c>
      <c r="L23" s="60">
        <v>8084080392</v>
      </c>
      <c r="M23" s="55" t="s">
        <v>1123</v>
      </c>
    </row>
    <row r="24" spans="1:13" x14ac:dyDescent="0.25">
      <c r="A24" s="53" t="s">
        <v>12</v>
      </c>
      <c r="B24" s="53" t="s">
        <v>13</v>
      </c>
      <c r="C24" s="53" t="s">
        <v>14</v>
      </c>
      <c r="D24" s="53" t="s">
        <v>108</v>
      </c>
      <c r="E24" s="53" t="s">
        <v>109</v>
      </c>
      <c r="F24" s="53" t="s">
        <v>110</v>
      </c>
      <c r="G24" s="53">
        <v>5550</v>
      </c>
      <c r="H24" s="62">
        <v>45903</v>
      </c>
      <c r="I24" s="61" t="s">
        <v>898</v>
      </c>
      <c r="J24" s="61" t="s">
        <v>899</v>
      </c>
      <c r="K24" s="53">
        <v>352503331</v>
      </c>
      <c r="L24" s="53">
        <v>7870570436</v>
      </c>
      <c r="M24" s="55" t="s">
        <v>1125</v>
      </c>
    </row>
    <row r="25" spans="1:13" x14ac:dyDescent="0.25">
      <c r="A25" s="53" t="s">
        <v>12</v>
      </c>
      <c r="B25" s="53" t="s">
        <v>13</v>
      </c>
      <c r="C25" s="53" t="s">
        <v>14</v>
      </c>
      <c r="D25" s="53" t="s">
        <v>48</v>
      </c>
      <c r="E25" s="53" t="s">
        <v>49</v>
      </c>
      <c r="F25" s="53" t="s">
        <v>50</v>
      </c>
      <c r="G25" s="53">
        <v>5550</v>
      </c>
      <c r="H25" s="62">
        <v>45903</v>
      </c>
      <c r="I25" s="53" t="s">
        <v>572</v>
      </c>
      <c r="J25" s="53" t="s">
        <v>34</v>
      </c>
      <c r="K25" s="53">
        <v>352503333</v>
      </c>
      <c r="L25" s="53">
        <v>8520078561</v>
      </c>
      <c r="M25" s="55" t="s">
        <v>1125</v>
      </c>
    </row>
    <row r="26" spans="1:13" x14ac:dyDescent="0.25">
      <c r="A26" s="53" t="s">
        <v>12</v>
      </c>
      <c r="B26" s="53" t="s">
        <v>13</v>
      </c>
      <c r="C26" s="53" t="s">
        <v>14</v>
      </c>
      <c r="D26" s="53" t="s">
        <v>144</v>
      </c>
      <c r="E26" s="53">
        <v>42542201947</v>
      </c>
      <c r="F26" s="53" t="s">
        <v>145</v>
      </c>
      <c r="G26" s="53">
        <v>5450</v>
      </c>
      <c r="H26" s="62">
        <v>45903</v>
      </c>
      <c r="I26" s="53" t="s">
        <v>652</v>
      </c>
      <c r="J26" s="53" t="s">
        <v>147</v>
      </c>
      <c r="K26" s="53">
        <v>352503336</v>
      </c>
      <c r="L26" s="53">
        <v>7765824237</v>
      </c>
      <c r="M26" s="55" t="s">
        <v>1126</v>
      </c>
    </row>
    <row r="27" spans="1:13" x14ac:dyDescent="0.25">
      <c r="A27" s="53" t="s">
        <v>12</v>
      </c>
      <c r="B27" s="53" t="s">
        <v>13</v>
      </c>
      <c r="C27" s="53" t="s">
        <v>14</v>
      </c>
      <c r="D27" s="53" t="s">
        <v>36</v>
      </c>
      <c r="E27" s="53" t="s">
        <v>37</v>
      </c>
      <c r="F27" s="53" t="s">
        <v>38</v>
      </c>
      <c r="G27" s="53">
        <v>1500</v>
      </c>
      <c r="H27" s="62">
        <v>45903</v>
      </c>
      <c r="I27" s="53" t="s">
        <v>902</v>
      </c>
      <c r="J27" s="53" t="s">
        <v>901</v>
      </c>
      <c r="K27" s="53">
        <v>352503348</v>
      </c>
      <c r="L27" s="53">
        <v>9358936441</v>
      </c>
      <c r="M27" s="55" t="s">
        <v>1127</v>
      </c>
    </row>
    <row r="28" spans="1:13" x14ac:dyDescent="0.25">
      <c r="A28" s="53" t="s">
        <v>12</v>
      </c>
      <c r="B28" s="53" t="s">
        <v>13</v>
      </c>
      <c r="C28" s="53" t="s">
        <v>14</v>
      </c>
      <c r="D28" s="53" t="s">
        <v>95</v>
      </c>
      <c r="E28" s="53" t="s">
        <v>96</v>
      </c>
      <c r="F28" s="53" t="s">
        <v>33</v>
      </c>
      <c r="G28" s="53">
        <v>1900</v>
      </c>
      <c r="H28" s="62">
        <v>45903</v>
      </c>
      <c r="I28" s="61" t="s">
        <v>571</v>
      </c>
      <c r="J28" s="61" t="s">
        <v>59</v>
      </c>
      <c r="K28" s="53">
        <v>352503349</v>
      </c>
      <c r="L28" s="53">
        <v>8159025834</v>
      </c>
      <c r="M28" s="55" t="s">
        <v>1127</v>
      </c>
    </row>
    <row r="29" spans="1:13" x14ac:dyDescent="0.25">
      <c r="A29" s="53" t="s">
        <v>12</v>
      </c>
      <c r="B29" s="53" t="s">
        <v>13</v>
      </c>
      <c r="C29" s="53" t="s">
        <v>14</v>
      </c>
      <c r="D29" s="53" t="s">
        <v>936</v>
      </c>
      <c r="E29" s="54">
        <v>29230100027591</v>
      </c>
      <c r="F29" s="53" t="s">
        <v>937</v>
      </c>
      <c r="G29" s="53">
        <v>1900</v>
      </c>
      <c r="H29" s="62">
        <v>45903</v>
      </c>
      <c r="I29" s="61" t="s">
        <v>895</v>
      </c>
      <c r="J29" s="61" t="s">
        <v>896</v>
      </c>
      <c r="K29" s="53">
        <v>352503350</v>
      </c>
      <c r="L29" s="53">
        <v>6202164591</v>
      </c>
      <c r="M29" s="55" t="s">
        <v>1127</v>
      </c>
    </row>
    <row r="30" spans="1:13" x14ac:dyDescent="0.25">
      <c r="A30" s="53" t="s">
        <v>12</v>
      </c>
      <c r="B30" s="53" t="s">
        <v>13</v>
      </c>
      <c r="C30" s="53" t="s">
        <v>14</v>
      </c>
      <c r="D30" s="53" t="s">
        <v>993</v>
      </c>
      <c r="E30" s="69">
        <v>50100683547664</v>
      </c>
      <c r="F30" s="60" t="s">
        <v>994</v>
      </c>
      <c r="G30" s="61">
        <v>3950</v>
      </c>
      <c r="H30" s="62">
        <v>45903</v>
      </c>
      <c r="I30" s="61" t="s">
        <v>593</v>
      </c>
      <c r="J30" s="61" t="s">
        <v>76</v>
      </c>
      <c r="K30" s="53">
        <v>352503339</v>
      </c>
      <c r="L30" s="60">
        <v>8093441726</v>
      </c>
      <c r="M30" s="55" t="s">
        <v>1128</v>
      </c>
    </row>
    <row r="31" spans="1:13" x14ac:dyDescent="0.25">
      <c r="A31" s="53" t="s">
        <v>12</v>
      </c>
      <c r="B31" s="53" t="s">
        <v>13</v>
      </c>
      <c r="C31" s="53" t="s">
        <v>14</v>
      </c>
      <c r="D31" s="53" t="s">
        <v>152</v>
      </c>
      <c r="E31" s="53" t="s">
        <v>153</v>
      </c>
      <c r="F31" s="53" t="s">
        <v>154</v>
      </c>
      <c r="G31" s="61">
        <v>3950</v>
      </c>
      <c r="H31" s="62">
        <v>45903</v>
      </c>
      <c r="I31" s="61" t="s">
        <v>903</v>
      </c>
      <c r="J31" s="61" t="s">
        <v>904</v>
      </c>
      <c r="K31" s="53">
        <v>352503340</v>
      </c>
      <c r="L31" s="60">
        <v>6206444704</v>
      </c>
      <c r="M31" s="55" t="s">
        <v>1128</v>
      </c>
    </row>
    <row r="32" spans="1:13" x14ac:dyDescent="0.25">
      <c r="A32" s="53" t="s">
        <v>12</v>
      </c>
      <c r="B32" s="53" t="s">
        <v>13</v>
      </c>
      <c r="C32" s="53" t="s">
        <v>14</v>
      </c>
      <c r="D32" s="53" t="s">
        <v>435</v>
      </c>
      <c r="E32" s="53">
        <v>31095925572</v>
      </c>
      <c r="F32" s="60" t="s">
        <v>33</v>
      </c>
      <c r="G32" s="53">
        <v>6400</v>
      </c>
      <c r="H32" s="62">
        <v>45903</v>
      </c>
      <c r="I32" s="61" t="s">
        <v>966</v>
      </c>
      <c r="J32" s="61" t="s">
        <v>967</v>
      </c>
      <c r="K32" s="53">
        <v>352503352</v>
      </c>
      <c r="L32" s="60">
        <v>8084080392</v>
      </c>
      <c r="M32" s="55" t="s">
        <v>1129</v>
      </c>
    </row>
    <row r="33" spans="1:13" s="68" customFormat="1" x14ac:dyDescent="0.25">
      <c r="A33" s="61" t="s">
        <v>12</v>
      </c>
      <c r="B33" s="61" t="s">
        <v>13</v>
      </c>
      <c r="C33" s="61" t="s">
        <v>14</v>
      </c>
      <c r="D33" s="61" t="s">
        <v>31</v>
      </c>
      <c r="E33" s="61" t="s">
        <v>32</v>
      </c>
      <c r="F33" s="61" t="s">
        <v>33</v>
      </c>
      <c r="G33" s="53">
        <v>6400</v>
      </c>
      <c r="H33" s="62">
        <v>45903</v>
      </c>
      <c r="I33" s="61" t="s">
        <v>741</v>
      </c>
      <c r="J33" s="61" t="s">
        <v>22</v>
      </c>
      <c r="K33" s="53">
        <v>352503320</v>
      </c>
      <c r="L33" s="61">
        <v>9347726061</v>
      </c>
      <c r="M33" s="55" t="s">
        <v>1129</v>
      </c>
    </row>
    <row r="34" spans="1:13" x14ac:dyDescent="0.25">
      <c r="A34" s="53" t="s">
        <v>12</v>
      </c>
      <c r="B34" s="53" t="s">
        <v>13</v>
      </c>
      <c r="C34" s="53" t="s">
        <v>14</v>
      </c>
      <c r="D34" s="53" t="s">
        <v>36</v>
      </c>
      <c r="E34" s="53" t="s">
        <v>37</v>
      </c>
      <c r="F34" s="53" t="s">
        <v>38</v>
      </c>
      <c r="G34" s="53">
        <v>5200</v>
      </c>
      <c r="H34" s="62">
        <v>45903</v>
      </c>
      <c r="I34" s="53" t="s">
        <v>902</v>
      </c>
      <c r="J34" s="53" t="s">
        <v>901</v>
      </c>
      <c r="K34" s="53">
        <v>352503348</v>
      </c>
      <c r="L34" s="53">
        <v>9358936441</v>
      </c>
      <c r="M34" s="55" t="s">
        <v>1130</v>
      </c>
    </row>
    <row r="35" spans="1:13" x14ac:dyDescent="0.25">
      <c r="A35" s="53" t="s">
        <v>12</v>
      </c>
      <c r="B35" s="53" t="s">
        <v>13</v>
      </c>
      <c r="C35" s="53" t="s">
        <v>14</v>
      </c>
      <c r="D35" s="53" t="s">
        <v>95</v>
      </c>
      <c r="E35" s="53" t="s">
        <v>96</v>
      </c>
      <c r="F35" s="53" t="s">
        <v>33</v>
      </c>
      <c r="G35" s="63">
        <v>7500</v>
      </c>
      <c r="H35" s="62">
        <v>45904</v>
      </c>
      <c r="I35" s="61" t="s">
        <v>571</v>
      </c>
      <c r="J35" s="61" t="s">
        <v>59</v>
      </c>
      <c r="K35" s="53">
        <v>352503349</v>
      </c>
      <c r="L35" s="53">
        <v>8159025834</v>
      </c>
      <c r="M35" s="55" t="s">
        <v>1131</v>
      </c>
    </row>
    <row r="36" spans="1:13" x14ac:dyDescent="0.25">
      <c r="A36" s="53" t="s">
        <v>12</v>
      </c>
      <c r="B36" s="53" t="s">
        <v>13</v>
      </c>
      <c r="C36" s="53" t="s">
        <v>14</v>
      </c>
      <c r="D36" s="53" t="s">
        <v>936</v>
      </c>
      <c r="E36" s="54">
        <v>29230100027591</v>
      </c>
      <c r="F36" s="53" t="s">
        <v>937</v>
      </c>
      <c r="G36" s="63">
        <v>7500</v>
      </c>
      <c r="H36" s="62">
        <v>45904</v>
      </c>
      <c r="I36" s="61" t="s">
        <v>895</v>
      </c>
      <c r="J36" s="61" t="s">
        <v>896</v>
      </c>
      <c r="K36" s="53">
        <v>352503350</v>
      </c>
      <c r="L36" s="53">
        <v>6202164591</v>
      </c>
      <c r="M36" s="55" t="s">
        <v>1131</v>
      </c>
    </row>
    <row r="37" spans="1:13" x14ac:dyDescent="0.25">
      <c r="A37" s="53" t="s">
        <v>12</v>
      </c>
      <c r="B37" s="53" t="s">
        <v>13</v>
      </c>
      <c r="C37" s="53" t="s">
        <v>14</v>
      </c>
      <c r="D37" s="53" t="s">
        <v>152</v>
      </c>
      <c r="E37" s="53" t="s">
        <v>153</v>
      </c>
      <c r="F37" s="53" t="s">
        <v>154</v>
      </c>
      <c r="G37" s="63">
        <v>7500</v>
      </c>
      <c r="H37" s="62">
        <v>45904</v>
      </c>
      <c r="I37" s="61" t="s">
        <v>903</v>
      </c>
      <c r="J37" s="61" t="s">
        <v>904</v>
      </c>
      <c r="K37" s="60">
        <v>352503360</v>
      </c>
      <c r="L37" s="60">
        <v>6206444704</v>
      </c>
      <c r="M37" s="55" t="s">
        <v>1131</v>
      </c>
    </row>
    <row r="38" spans="1:13" x14ac:dyDescent="0.25">
      <c r="A38" s="53" t="s">
        <v>12</v>
      </c>
      <c r="B38" s="53" t="s">
        <v>13</v>
      </c>
      <c r="C38" s="53" t="s">
        <v>14</v>
      </c>
      <c r="D38" s="53" t="s">
        <v>993</v>
      </c>
      <c r="E38" s="69">
        <v>50100683547664</v>
      </c>
      <c r="F38" s="60" t="s">
        <v>994</v>
      </c>
      <c r="G38" s="61">
        <v>1500</v>
      </c>
      <c r="H38" s="62">
        <v>45904</v>
      </c>
      <c r="I38" s="61" t="s">
        <v>593</v>
      </c>
      <c r="J38" s="61" t="s">
        <v>76</v>
      </c>
      <c r="K38" s="53">
        <v>352503359</v>
      </c>
      <c r="L38" s="60">
        <v>8093441726</v>
      </c>
      <c r="M38" s="55" t="s">
        <v>1132</v>
      </c>
    </row>
    <row r="39" spans="1:13" x14ac:dyDescent="0.25">
      <c r="A39" s="53" t="s">
        <v>12</v>
      </c>
      <c r="B39" s="53" t="s">
        <v>13</v>
      </c>
      <c r="C39" s="53" t="s">
        <v>14</v>
      </c>
      <c r="D39" s="53" t="s">
        <v>993</v>
      </c>
      <c r="E39" s="69">
        <v>50100683547664</v>
      </c>
      <c r="F39" s="60" t="s">
        <v>994</v>
      </c>
      <c r="G39" s="61">
        <v>5200</v>
      </c>
      <c r="H39" s="62">
        <v>45904</v>
      </c>
      <c r="I39" s="61" t="s">
        <v>593</v>
      </c>
      <c r="J39" s="61" t="s">
        <v>76</v>
      </c>
      <c r="K39" s="53">
        <v>352503359</v>
      </c>
      <c r="L39" s="60">
        <v>8093441726</v>
      </c>
      <c r="M39" s="55" t="s">
        <v>1133</v>
      </c>
    </row>
    <row r="40" spans="1:13" x14ac:dyDescent="0.25">
      <c r="A40" s="53" t="s">
        <v>12</v>
      </c>
      <c r="B40" s="53" t="s">
        <v>13</v>
      </c>
      <c r="C40" s="53" t="s">
        <v>14</v>
      </c>
      <c r="D40" s="53" t="s">
        <v>144</v>
      </c>
      <c r="E40" s="53">
        <v>42542201947</v>
      </c>
      <c r="F40" s="53" t="s">
        <v>145</v>
      </c>
      <c r="G40" s="53">
        <v>1900</v>
      </c>
      <c r="H40" s="62">
        <v>45904</v>
      </c>
      <c r="I40" s="53" t="s">
        <v>652</v>
      </c>
      <c r="J40" s="53" t="s">
        <v>147</v>
      </c>
      <c r="K40" s="53">
        <v>352503358</v>
      </c>
      <c r="L40" s="53">
        <v>7765824237</v>
      </c>
      <c r="M40" s="55" t="s">
        <v>1132</v>
      </c>
    </row>
    <row r="41" spans="1:13" x14ac:dyDescent="0.25">
      <c r="A41" s="53" t="s">
        <v>12</v>
      </c>
      <c r="B41" s="53" t="s">
        <v>13</v>
      </c>
      <c r="C41" s="53" t="s">
        <v>14</v>
      </c>
      <c r="D41" s="53" t="s">
        <v>108</v>
      </c>
      <c r="E41" s="53" t="s">
        <v>109</v>
      </c>
      <c r="F41" s="53" t="s">
        <v>110</v>
      </c>
      <c r="G41" s="53">
        <v>3700</v>
      </c>
      <c r="H41" s="62">
        <v>45905</v>
      </c>
      <c r="I41" s="61" t="s">
        <v>898</v>
      </c>
      <c r="J41" s="61" t="s">
        <v>899</v>
      </c>
      <c r="K41" s="53">
        <v>352503398</v>
      </c>
      <c r="L41" s="53">
        <v>7870570436</v>
      </c>
      <c r="M41" s="55" t="s">
        <v>1134</v>
      </c>
    </row>
    <row r="42" spans="1:13" x14ac:dyDescent="0.25">
      <c r="A42" s="53" t="s">
        <v>12</v>
      </c>
      <c r="B42" s="53" t="s">
        <v>13</v>
      </c>
      <c r="C42" s="53" t="s">
        <v>14</v>
      </c>
      <c r="D42" s="53" t="s">
        <v>48</v>
      </c>
      <c r="E42" s="53" t="s">
        <v>49</v>
      </c>
      <c r="F42" s="53" t="s">
        <v>50</v>
      </c>
      <c r="G42" s="53">
        <v>3700</v>
      </c>
      <c r="H42" s="62">
        <v>45905</v>
      </c>
      <c r="I42" s="53" t="s">
        <v>572</v>
      </c>
      <c r="J42" s="53" t="s">
        <v>34</v>
      </c>
      <c r="K42" s="53">
        <v>352503397</v>
      </c>
      <c r="L42" s="53">
        <v>8520078561</v>
      </c>
      <c r="M42" s="55" t="s">
        <v>1134</v>
      </c>
    </row>
    <row r="43" spans="1:13" x14ac:dyDescent="0.25">
      <c r="A43" s="53" t="s">
        <v>12</v>
      </c>
      <c r="B43" s="53" t="s">
        <v>13</v>
      </c>
      <c r="C43" s="53" t="s">
        <v>14</v>
      </c>
      <c r="D43" s="53" t="s">
        <v>978</v>
      </c>
      <c r="E43" s="69">
        <v>922010007032459</v>
      </c>
      <c r="F43" s="53" t="s">
        <v>979</v>
      </c>
      <c r="G43" s="53">
        <v>1000</v>
      </c>
      <c r="H43" s="62">
        <v>45905</v>
      </c>
      <c r="I43" s="61" t="s">
        <v>667</v>
      </c>
      <c r="J43" s="53" t="s">
        <v>98</v>
      </c>
      <c r="K43" s="53">
        <v>352503392</v>
      </c>
      <c r="L43" s="53">
        <v>9002149111</v>
      </c>
      <c r="M43" s="55" t="s">
        <v>1135</v>
      </c>
    </row>
    <row r="44" spans="1:13" x14ac:dyDescent="0.25">
      <c r="A44" s="53" t="s">
        <v>12</v>
      </c>
      <c r="B44" s="53" t="s">
        <v>13</v>
      </c>
      <c r="C44" s="53" t="s">
        <v>14</v>
      </c>
      <c r="D44" s="53" t="s">
        <v>978</v>
      </c>
      <c r="E44" s="69">
        <v>922010007032459</v>
      </c>
      <c r="F44" s="53" t="s">
        <v>979</v>
      </c>
      <c r="G44" s="53">
        <v>1000</v>
      </c>
      <c r="H44" s="62">
        <v>45905</v>
      </c>
      <c r="I44" s="61" t="s">
        <v>667</v>
      </c>
      <c r="J44" s="53" t="s">
        <v>98</v>
      </c>
      <c r="K44" s="53">
        <v>352503392</v>
      </c>
      <c r="L44" s="53">
        <v>9002149111</v>
      </c>
      <c r="M44" s="55" t="s">
        <v>1136</v>
      </c>
    </row>
    <row r="45" spans="1:13" x14ac:dyDescent="0.25">
      <c r="A45" s="53" t="s">
        <v>12</v>
      </c>
      <c r="B45" s="53" t="s">
        <v>13</v>
      </c>
      <c r="C45" s="53" t="s">
        <v>14</v>
      </c>
      <c r="D45" s="53" t="s">
        <v>95</v>
      </c>
      <c r="E45" s="53" t="s">
        <v>96</v>
      </c>
      <c r="F45" s="53" t="s">
        <v>33</v>
      </c>
      <c r="G45" s="53">
        <v>1000</v>
      </c>
      <c r="H45" s="62">
        <v>45905</v>
      </c>
      <c r="I45" s="61" t="s">
        <v>571</v>
      </c>
      <c r="J45" s="61" t="s">
        <v>59</v>
      </c>
      <c r="K45" s="53">
        <v>352503349</v>
      </c>
      <c r="L45" s="53">
        <v>8159025834</v>
      </c>
      <c r="M45" s="55" t="s">
        <v>1136</v>
      </c>
    </row>
    <row r="46" spans="1:13" x14ac:dyDescent="0.25">
      <c r="A46" s="53" t="s">
        <v>12</v>
      </c>
      <c r="B46" s="53" t="s">
        <v>13</v>
      </c>
      <c r="C46" s="53" t="s">
        <v>14</v>
      </c>
      <c r="D46" s="53" t="s">
        <v>936</v>
      </c>
      <c r="E46" s="54">
        <v>29230100027591</v>
      </c>
      <c r="F46" s="53" t="s">
        <v>937</v>
      </c>
      <c r="G46" s="53">
        <v>1000</v>
      </c>
      <c r="H46" s="62">
        <v>45906</v>
      </c>
      <c r="I46" s="61" t="s">
        <v>895</v>
      </c>
      <c r="J46" s="61" t="s">
        <v>896</v>
      </c>
      <c r="K46" s="53">
        <v>352503421</v>
      </c>
      <c r="L46" s="53">
        <v>6202164591</v>
      </c>
      <c r="M46" s="55" t="s">
        <v>1136</v>
      </c>
    </row>
    <row r="47" spans="1:13" x14ac:dyDescent="0.25">
      <c r="A47" s="53" t="s">
        <v>12</v>
      </c>
      <c r="B47" s="53" t="s">
        <v>13</v>
      </c>
      <c r="C47" s="53" t="s">
        <v>14</v>
      </c>
      <c r="D47" s="53" t="s">
        <v>152</v>
      </c>
      <c r="E47" s="53" t="s">
        <v>153</v>
      </c>
      <c r="F47" s="53" t="s">
        <v>154</v>
      </c>
      <c r="G47" s="53">
        <v>1000</v>
      </c>
      <c r="H47" s="62">
        <v>45906</v>
      </c>
      <c r="I47" s="61" t="s">
        <v>903</v>
      </c>
      <c r="J47" s="61" t="s">
        <v>904</v>
      </c>
      <c r="K47" s="60">
        <v>352503422</v>
      </c>
      <c r="L47" s="60">
        <v>6206444704</v>
      </c>
      <c r="M47" s="55" t="s">
        <v>1136</v>
      </c>
    </row>
    <row r="48" spans="1:13" x14ac:dyDescent="0.25">
      <c r="A48" s="53" t="s">
        <v>12</v>
      </c>
      <c r="B48" s="53" t="s">
        <v>13</v>
      </c>
      <c r="C48" s="53" t="s">
        <v>14</v>
      </c>
      <c r="D48" s="53" t="s">
        <v>36</v>
      </c>
      <c r="E48" s="53" t="s">
        <v>37</v>
      </c>
      <c r="F48" s="53" t="s">
        <v>38</v>
      </c>
      <c r="G48" s="53">
        <v>5200</v>
      </c>
      <c r="H48" s="62">
        <v>45906</v>
      </c>
      <c r="I48" s="53" t="s">
        <v>902</v>
      </c>
      <c r="J48" s="53" t="s">
        <v>901</v>
      </c>
      <c r="K48" s="53">
        <v>352503361</v>
      </c>
      <c r="L48" s="53">
        <v>9358936441</v>
      </c>
      <c r="M48" s="55" t="s">
        <v>1137</v>
      </c>
    </row>
    <row r="49" spans="1:13" x14ac:dyDescent="0.25">
      <c r="A49" s="53" t="s">
        <v>12</v>
      </c>
      <c r="B49" s="53" t="s">
        <v>13</v>
      </c>
      <c r="C49" s="53" t="s">
        <v>14</v>
      </c>
      <c r="D49" s="53" t="s">
        <v>144</v>
      </c>
      <c r="E49" s="53">
        <v>42542201947</v>
      </c>
      <c r="F49" s="53" t="s">
        <v>145</v>
      </c>
      <c r="G49" s="53">
        <v>7700</v>
      </c>
      <c r="H49" s="62">
        <v>45906</v>
      </c>
      <c r="I49" s="53" t="s">
        <v>652</v>
      </c>
      <c r="J49" s="53" t="s">
        <v>147</v>
      </c>
      <c r="K49" s="53">
        <v>352503385</v>
      </c>
      <c r="L49" s="53">
        <v>7765824237</v>
      </c>
      <c r="M49" s="55" t="s">
        <v>1138</v>
      </c>
    </row>
    <row r="50" spans="1:13" x14ac:dyDescent="0.25">
      <c r="A50" s="53" t="s">
        <v>12</v>
      </c>
      <c r="B50" s="53" t="s">
        <v>13</v>
      </c>
      <c r="C50" s="53" t="s">
        <v>14</v>
      </c>
      <c r="D50" s="53" t="s">
        <v>95</v>
      </c>
      <c r="E50" s="53" t="s">
        <v>96</v>
      </c>
      <c r="F50" s="53" t="s">
        <v>33</v>
      </c>
      <c r="G50" s="53">
        <v>5200</v>
      </c>
      <c r="H50" s="62">
        <v>45906</v>
      </c>
      <c r="I50" s="61" t="s">
        <v>571</v>
      </c>
      <c r="J50" s="61" t="s">
        <v>59</v>
      </c>
      <c r="K50" s="53">
        <v>352503414</v>
      </c>
      <c r="L50" s="53">
        <v>8159025834</v>
      </c>
      <c r="M50" s="55" t="s">
        <v>1139</v>
      </c>
    </row>
    <row r="51" spans="1:13" s="68" customFormat="1" x14ac:dyDescent="0.25">
      <c r="A51" s="61" t="s">
        <v>12</v>
      </c>
      <c r="B51" s="61" t="s">
        <v>13</v>
      </c>
      <c r="C51" s="61" t="s">
        <v>14</v>
      </c>
      <c r="D51" s="61" t="s">
        <v>31</v>
      </c>
      <c r="E51" s="61" t="s">
        <v>32</v>
      </c>
      <c r="F51" s="61" t="s">
        <v>33</v>
      </c>
      <c r="G51" s="53">
        <v>2500</v>
      </c>
      <c r="H51" s="62">
        <v>45906</v>
      </c>
      <c r="I51" s="61" t="s">
        <v>741</v>
      </c>
      <c r="J51" s="61" t="s">
        <v>22</v>
      </c>
      <c r="K51" s="53">
        <v>352503378</v>
      </c>
      <c r="L51" s="61">
        <v>9347726061</v>
      </c>
      <c r="M51" s="55" t="s">
        <v>1140</v>
      </c>
    </row>
    <row r="52" spans="1:13" x14ac:dyDescent="0.25">
      <c r="A52" s="53" t="s">
        <v>12</v>
      </c>
      <c r="B52" s="53" t="s">
        <v>13</v>
      </c>
      <c r="C52" s="53" t="s">
        <v>14</v>
      </c>
      <c r="D52" s="53" t="s">
        <v>435</v>
      </c>
      <c r="E52" s="53">
        <v>31095925572</v>
      </c>
      <c r="F52" s="60" t="s">
        <v>33</v>
      </c>
      <c r="G52" s="53">
        <v>6400</v>
      </c>
      <c r="H52" s="62">
        <v>45908</v>
      </c>
      <c r="I52" s="61" t="s">
        <v>966</v>
      </c>
      <c r="J52" s="61" t="s">
        <v>967</v>
      </c>
      <c r="K52" s="53">
        <v>352503379</v>
      </c>
      <c r="L52" s="60">
        <v>8084080392</v>
      </c>
      <c r="M52" s="55" t="s">
        <v>1141</v>
      </c>
    </row>
    <row r="53" spans="1:13" x14ac:dyDescent="0.25">
      <c r="A53" s="53" t="s">
        <v>12</v>
      </c>
      <c r="B53" s="53" t="s">
        <v>13</v>
      </c>
      <c r="C53" s="53" t="s">
        <v>14</v>
      </c>
      <c r="D53" s="53" t="s">
        <v>993</v>
      </c>
      <c r="E53" s="69">
        <v>50100683547664</v>
      </c>
      <c r="F53" s="60" t="s">
        <v>994</v>
      </c>
      <c r="G53" s="61">
        <v>5200</v>
      </c>
      <c r="H53" s="62">
        <v>45908</v>
      </c>
      <c r="I53" s="61" t="s">
        <v>593</v>
      </c>
      <c r="J53" s="61" t="s">
        <v>76</v>
      </c>
      <c r="K53" s="53">
        <v>352503387</v>
      </c>
      <c r="L53" s="60">
        <v>8093441726</v>
      </c>
      <c r="M53" s="55" t="s">
        <v>1141</v>
      </c>
    </row>
    <row r="54" spans="1:13" x14ac:dyDescent="0.25">
      <c r="A54" s="53" t="s">
        <v>12</v>
      </c>
      <c r="B54" s="53" t="s">
        <v>13</v>
      </c>
      <c r="C54" s="53" t="s">
        <v>14</v>
      </c>
      <c r="D54" s="53" t="s">
        <v>36</v>
      </c>
      <c r="E54" s="53" t="s">
        <v>37</v>
      </c>
      <c r="F54" s="53" t="s">
        <v>38</v>
      </c>
      <c r="G54" s="53">
        <v>2000</v>
      </c>
      <c r="H54" s="62">
        <v>45908</v>
      </c>
      <c r="I54" s="53" t="s">
        <v>902</v>
      </c>
      <c r="J54" s="53" t="s">
        <v>901</v>
      </c>
      <c r="K54" s="53">
        <v>352503472</v>
      </c>
      <c r="L54" s="53">
        <v>9358936441</v>
      </c>
      <c r="M54" s="55" t="s">
        <v>1142</v>
      </c>
    </row>
    <row r="55" spans="1:13" x14ac:dyDescent="0.25">
      <c r="A55" s="53" t="s">
        <v>12</v>
      </c>
      <c r="B55" s="53" t="s">
        <v>13</v>
      </c>
      <c r="C55" s="53" t="s">
        <v>14</v>
      </c>
      <c r="D55" s="53" t="s">
        <v>36</v>
      </c>
      <c r="E55" s="53" t="s">
        <v>37</v>
      </c>
      <c r="F55" s="53" t="s">
        <v>38</v>
      </c>
      <c r="G55" s="53">
        <v>2200</v>
      </c>
      <c r="H55" s="62">
        <v>45908</v>
      </c>
      <c r="I55" s="53" t="s">
        <v>902</v>
      </c>
      <c r="J55" s="53" t="s">
        <v>901</v>
      </c>
      <c r="K55" s="53">
        <v>352503473</v>
      </c>
      <c r="L55" s="53">
        <v>9358936441</v>
      </c>
      <c r="M55" s="55" t="s">
        <v>1143</v>
      </c>
    </row>
    <row r="56" spans="1:13" s="68" customFormat="1" x14ac:dyDescent="0.25">
      <c r="A56" s="61" t="s">
        <v>12</v>
      </c>
      <c r="B56" s="61" t="s">
        <v>13</v>
      </c>
      <c r="C56" s="61" t="s">
        <v>14</v>
      </c>
      <c r="D56" s="61" t="s">
        <v>31</v>
      </c>
      <c r="E56" s="61" t="s">
        <v>32</v>
      </c>
      <c r="F56" s="61" t="s">
        <v>33</v>
      </c>
      <c r="G56" s="53">
        <v>6400</v>
      </c>
      <c r="H56" s="62">
        <v>45909</v>
      </c>
      <c r="I56" s="61" t="s">
        <v>741</v>
      </c>
      <c r="J56" s="61" t="s">
        <v>22</v>
      </c>
      <c r="K56" s="53">
        <v>352503468</v>
      </c>
      <c r="L56" s="61">
        <v>9347726061</v>
      </c>
      <c r="M56" s="55" t="s">
        <v>1144</v>
      </c>
    </row>
    <row r="57" spans="1:13" x14ac:dyDescent="0.25">
      <c r="A57" s="53" t="s">
        <v>12</v>
      </c>
      <c r="B57" s="53" t="s">
        <v>13</v>
      </c>
      <c r="C57" s="53" t="s">
        <v>14</v>
      </c>
      <c r="D57" s="53" t="s">
        <v>978</v>
      </c>
      <c r="E57" s="69">
        <v>922010007032459</v>
      </c>
      <c r="F57" s="53" t="s">
        <v>979</v>
      </c>
      <c r="G57" s="53">
        <v>5200</v>
      </c>
      <c r="H57" s="62">
        <v>45909</v>
      </c>
      <c r="I57" s="61" t="s">
        <v>667</v>
      </c>
      <c r="J57" s="53" t="s">
        <v>98</v>
      </c>
      <c r="K57" s="53">
        <v>352503392</v>
      </c>
      <c r="L57" s="53">
        <v>9002149111</v>
      </c>
      <c r="M57" s="55" t="s">
        <v>1145</v>
      </c>
    </row>
    <row r="58" spans="1:13" x14ac:dyDescent="0.25">
      <c r="A58" s="53" t="s">
        <v>12</v>
      </c>
      <c r="B58" s="53" t="s">
        <v>13</v>
      </c>
      <c r="C58" s="53" t="s">
        <v>14</v>
      </c>
      <c r="D58" s="53" t="s">
        <v>152</v>
      </c>
      <c r="E58" s="53" t="s">
        <v>153</v>
      </c>
      <c r="F58" s="53" t="s">
        <v>154</v>
      </c>
      <c r="G58" s="53">
        <v>5200</v>
      </c>
      <c r="H58" s="62">
        <v>45909</v>
      </c>
      <c r="I58" s="61" t="s">
        <v>903</v>
      </c>
      <c r="J58" s="61" t="s">
        <v>904</v>
      </c>
      <c r="K58" s="53">
        <v>352503422</v>
      </c>
      <c r="L58" s="60">
        <v>6206444704</v>
      </c>
      <c r="M58" s="55" t="s">
        <v>1145</v>
      </c>
    </row>
    <row r="59" spans="1:13" x14ac:dyDescent="0.25">
      <c r="A59" s="53" t="s">
        <v>12</v>
      </c>
      <c r="B59" s="53" t="s">
        <v>13</v>
      </c>
      <c r="C59" s="53" t="s">
        <v>14</v>
      </c>
      <c r="D59" s="53" t="s">
        <v>36</v>
      </c>
      <c r="E59" s="53" t="s">
        <v>37</v>
      </c>
      <c r="F59" s="53" t="s">
        <v>38</v>
      </c>
      <c r="G59" s="53">
        <v>2200</v>
      </c>
      <c r="H59" s="62">
        <v>45909</v>
      </c>
      <c r="I59" s="53" t="s">
        <v>902</v>
      </c>
      <c r="J59" s="53" t="s">
        <v>901</v>
      </c>
      <c r="K59" s="53">
        <v>352503483</v>
      </c>
      <c r="L59" s="53">
        <v>9358936441</v>
      </c>
      <c r="M59" s="55" t="s">
        <v>1146</v>
      </c>
    </row>
    <row r="60" spans="1:13" x14ac:dyDescent="0.25">
      <c r="A60" s="53" t="s">
        <v>12</v>
      </c>
      <c r="B60" s="53" t="s">
        <v>13</v>
      </c>
      <c r="C60" s="53" t="s">
        <v>14</v>
      </c>
      <c r="D60" s="53" t="s">
        <v>36</v>
      </c>
      <c r="E60" s="53" t="s">
        <v>37</v>
      </c>
      <c r="F60" s="53" t="s">
        <v>38</v>
      </c>
      <c r="G60" s="53">
        <v>2200</v>
      </c>
      <c r="H60" s="62">
        <v>45909</v>
      </c>
      <c r="I60" s="53" t="s">
        <v>902</v>
      </c>
      <c r="J60" s="53" t="s">
        <v>901</v>
      </c>
      <c r="K60" s="53">
        <v>352503489</v>
      </c>
      <c r="L60" s="53">
        <v>9358936441</v>
      </c>
      <c r="M60" s="55" t="s">
        <v>1146</v>
      </c>
    </row>
    <row r="61" spans="1:13" x14ac:dyDescent="0.25">
      <c r="A61" s="53" t="s">
        <v>12</v>
      </c>
      <c r="B61" s="53" t="s">
        <v>13</v>
      </c>
      <c r="C61" s="53" t="s">
        <v>14</v>
      </c>
      <c r="D61" s="53" t="s">
        <v>978</v>
      </c>
      <c r="E61" s="69">
        <v>922010007032459</v>
      </c>
      <c r="F61" s="53" t="s">
        <v>979</v>
      </c>
      <c r="G61" s="53">
        <v>1200</v>
      </c>
      <c r="H61" s="62">
        <v>45910</v>
      </c>
      <c r="I61" s="61" t="s">
        <v>667</v>
      </c>
      <c r="J61" s="53" t="s">
        <v>98</v>
      </c>
      <c r="K61" s="53">
        <v>352503495</v>
      </c>
      <c r="L61" s="53">
        <v>9002149111</v>
      </c>
      <c r="M61" s="55" t="s">
        <v>1148</v>
      </c>
    </row>
    <row r="62" spans="1:13" x14ac:dyDescent="0.25">
      <c r="A62" s="53" t="s">
        <v>12</v>
      </c>
      <c r="B62" s="53" t="s">
        <v>13</v>
      </c>
      <c r="C62" s="53" t="s">
        <v>14</v>
      </c>
      <c r="D62" s="53" t="s">
        <v>152</v>
      </c>
      <c r="E62" s="53" t="s">
        <v>153</v>
      </c>
      <c r="F62" s="53" t="s">
        <v>154</v>
      </c>
      <c r="G62" s="53">
        <v>1200</v>
      </c>
      <c r="H62" s="62">
        <v>45910</v>
      </c>
      <c r="I62" s="61" t="s">
        <v>903</v>
      </c>
      <c r="J62" s="61" t="s">
        <v>904</v>
      </c>
      <c r="K62" s="53">
        <v>352503496</v>
      </c>
      <c r="L62" s="60">
        <v>6206444704</v>
      </c>
      <c r="M62" s="55" t="s">
        <v>1148</v>
      </c>
    </row>
    <row r="63" spans="1:13" x14ac:dyDescent="0.25">
      <c r="A63" s="53" t="s">
        <v>12</v>
      </c>
      <c r="B63" s="53" t="s">
        <v>13</v>
      </c>
      <c r="C63" s="53" t="s">
        <v>14</v>
      </c>
      <c r="D63" s="53" t="s">
        <v>936</v>
      </c>
      <c r="E63" s="54">
        <v>29230100027591</v>
      </c>
      <c r="F63" s="53" t="s">
        <v>937</v>
      </c>
      <c r="G63" s="53">
        <v>6400</v>
      </c>
      <c r="H63" s="62">
        <v>45910</v>
      </c>
      <c r="I63" s="61" t="s">
        <v>895</v>
      </c>
      <c r="J63" s="61" t="s">
        <v>896</v>
      </c>
      <c r="K63" s="53">
        <v>352503421</v>
      </c>
      <c r="L63" s="53">
        <v>6202164591</v>
      </c>
      <c r="M63" s="55" t="s">
        <v>1147</v>
      </c>
    </row>
    <row r="64" spans="1:13" x14ac:dyDescent="0.25">
      <c r="A64" s="53" t="s">
        <v>12</v>
      </c>
      <c r="B64" s="53" t="s">
        <v>13</v>
      </c>
      <c r="C64" s="53" t="s">
        <v>14</v>
      </c>
      <c r="D64" s="53" t="s">
        <v>108</v>
      </c>
      <c r="E64" s="53" t="s">
        <v>109</v>
      </c>
      <c r="F64" s="53" t="s">
        <v>110</v>
      </c>
      <c r="G64" s="53">
        <v>4700</v>
      </c>
      <c r="H64" s="62">
        <v>45910</v>
      </c>
      <c r="I64" s="61" t="s">
        <v>898</v>
      </c>
      <c r="J64" s="61" t="s">
        <v>899</v>
      </c>
      <c r="K64" s="53">
        <v>352503411</v>
      </c>
      <c r="L64" s="53">
        <v>7870570436</v>
      </c>
      <c r="M64" s="55" t="s">
        <v>1134</v>
      </c>
    </row>
    <row r="65" spans="1:13" x14ac:dyDescent="0.25">
      <c r="A65" s="53" t="s">
        <v>12</v>
      </c>
      <c r="B65" s="53" t="s">
        <v>13</v>
      </c>
      <c r="C65" s="53" t="s">
        <v>14</v>
      </c>
      <c r="D65" s="53" t="s">
        <v>48</v>
      </c>
      <c r="E65" s="53" t="s">
        <v>49</v>
      </c>
      <c r="F65" s="53" t="s">
        <v>50</v>
      </c>
      <c r="G65" s="53">
        <v>4700</v>
      </c>
      <c r="H65" s="62">
        <v>45910</v>
      </c>
      <c r="I65" s="53" t="s">
        <v>572</v>
      </c>
      <c r="J65" s="53" t="s">
        <v>34</v>
      </c>
      <c r="K65" s="53">
        <v>352503412</v>
      </c>
      <c r="L65" s="53">
        <v>8520078561</v>
      </c>
      <c r="M65" s="55" t="s">
        <v>1134</v>
      </c>
    </row>
    <row r="66" spans="1:13" x14ac:dyDescent="0.25">
      <c r="A66" s="53" t="s">
        <v>12</v>
      </c>
      <c r="B66" s="53" t="s">
        <v>13</v>
      </c>
      <c r="C66" s="53" t="s">
        <v>14</v>
      </c>
      <c r="D66" s="53" t="s">
        <v>36</v>
      </c>
      <c r="E66" s="53" t="s">
        <v>37</v>
      </c>
      <c r="F66" s="53" t="s">
        <v>38</v>
      </c>
      <c r="G66" s="53">
        <v>2200</v>
      </c>
      <c r="H66" s="62">
        <v>45910</v>
      </c>
      <c r="I66" s="53" t="s">
        <v>902</v>
      </c>
      <c r="J66" s="53" t="s">
        <v>901</v>
      </c>
      <c r="K66" s="53">
        <v>352503523</v>
      </c>
      <c r="L66" s="53">
        <v>9358936441</v>
      </c>
      <c r="M66" s="55" t="s">
        <v>1149</v>
      </c>
    </row>
    <row r="67" spans="1:13" x14ac:dyDescent="0.25">
      <c r="A67" s="53" t="s">
        <v>12</v>
      </c>
      <c r="B67" s="53" t="s">
        <v>13</v>
      </c>
      <c r="C67" s="53" t="s">
        <v>14</v>
      </c>
      <c r="D67" s="53" t="s">
        <v>36</v>
      </c>
      <c r="E67" s="53" t="s">
        <v>37</v>
      </c>
      <c r="F67" s="53" t="s">
        <v>38</v>
      </c>
      <c r="G67" s="53">
        <v>2200</v>
      </c>
      <c r="H67" s="62">
        <v>45910</v>
      </c>
      <c r="I67" s="53" t="s">
        <v>902</v>
      </c>
      <c r="J67" s="53" t="s">
        <v>901</v>
      </c>
      <c r="K67" s="53">
        <v>352503523</v>
      </c>
      <c r="L67" s="53">
        <v>9358936441</v>
      </c>
      <c r="M67" s="55" t="s">
        <v>1149</v>
      </c>
    </row>
    <row r="68" spans="1:13" x14ac:dyDescent="0.25">
      <c r="A68" s="53" t="s">
        <v>12</v>
      </c>
      <c r="B68" s="53" t="s">
        <v>13</v>
      </c>
      <c r="C68" s="53" t="s">
        <v>14</v>
      </c>
      <c r="D68" s="53" t="s">
        <v>36</v>
      </c>
      <c r="E68" s="53" t="s">
        <v>37</v>
      </c>
      <c r="F68" s="53" t="s">
        <v>38</v>
      </c>
      <c r="G68" s="53">
        <v>2200</v>
      </c>
      <c r="H68" s="62">
        <v>45911</v>
      </c>
      <c r="I68" s="53" t="s">
        <v>902</v>
      </c>
      <c r="J68" s="53" t="s">
        <v>901</v>
      </c>
      <c r="K68" s="53">
        <v>352503556</v>
      </c>
      <c r="L68" s="53">
        <v>9358936441</v>
      </c>
      <c r="M68" s="55" t="s">
        <v>1150</v>
      </c>
    </row>
    <row r="69" spans="1:13" x14ac:dyDescent="0.25">
      <c r="A69" s="53" t="s">
        <v>12</v>
      </c>
      <c r="B69" s="53" t="s">
        <v>13</v>
      </c>
      <c r="C69" s="53" t="s">
        <v>14</v>
      </c>
      <c r="D69" s="53" t="s">
        <v>36</v>
      </c>
      <c r="E69" s="53" t="s">
        <v>37</v>
      </c>
      <c r="F69" s="53" t="s">
        <v>38</v>
      </c>
      <c r="G69" s="53">
        <v>2200</v>
      </c>
      <c r="H69" s="62">
        <v>45911</v>
      </c>
      <c r="I69" s="53" t="s">
        <v>902</v>
      </c>
      <c r="J69" s="53" t="s">
        <v>901</v>
      </c>
      <c r="K69" s="53">
        <v>352503557</v>
      </c>
      <c r="L69" s="53">
        <v>9358936441</v>
      </c>
      <c r="M69" s="55" t="s">
        <v>1150</v>
      </c>
    </row>
    <row r="70" spans="1:13" x14ac:dyDescent="0.25">
      <c r="A70" s="53" t="s">
        <v>12</v>
      </c>
      <c r="B70" s="53" t="s">
        <v>13</v>
      </c>
      <c r="C70" s="53" t="s">
        <v>14</v>
      </c>
      <c r="D70" s="53" t="s">
        <v>95</v>
      </c>
      <c r="E70" s="53" t="s">
        <v>96</v>
      </c>
      <c r="F70" s="53" t="s">
        <v>33</v>
      </c>
      <c r="G70" s="53">
        <v>5200</v>
      </c>
      <c r="H70" s="62">
        <v>45911</v>
      </c>
      <c r="I70" s="61" t="s">
        <v>571</v>
      </c>
      <c r="J70" s="61" t="s">
        <v>59</v>
      </c>
      <c r="K70" s="53">
        <v>352503467</v>
      </c>
      <c r="L70" s="53">
        <v>8159025834</v>
      </c>
      <c r="M70" s="55" t="s">
        <v>1151</v>
      </c>
    </row>
    <row r="71" spans="1:13" x14ac:dyDescent="0.25">
      <c r="A71" s="53" t="s">
        <v>12</v>
      </c>
      <c r="B71" s="53" t="s">
        <v>13</v>
      </c>
      <c r="C71" s="53" t="s">
        <v>14</v>
      </c>
      <c r="D71" s="53" t="s">
        <v>993</v>
      </c>
      <c r="E71" s="69">
        <v>50100683547664</v>
      </c>
      <c r="F71" s="60" t="s">
        <v>994</v>
      </c>
      <c r="G71" s="61">
        <v>5200</v>
      </c>
      <c r="H71" s="62">
        <v>45911</v>
      </c>
      <c r="I71" s="61" t="s">
        <v>593</v>
      </c>
      <c r="J71" s="61" t="s">
        <v>76</v>
      </c>
      <c r="K71" s="53">
        <v>352503478</v>
      </c>
      <c r="L71" s="60">
        <v>8093441726</v>
      </c>
      <c r="M71" s="55" t="s">
        <v>1151</v>
      </c>
    </row>
    <row r="72" spans="1:13" x14ac:dyDescent="0.25">
      <c r="A72" s="53" t="s">
        <v>12</v>
      </c>
      <c r="B72" s="53" t="s">
        <v>13</v>
      </c>
      <c r="C72" s="53" t="s">
        <v>14</v>
      </c>
      <c r="D72" s="53" t="s">
        <v>936</v>
      </c>
      <c r="E72" s="54">
        <v>29230100027591</v>
      </c>
      <c r="F72" s="53" t="s">
        <v>937</v>
      </c>
      <c r="G72" s="53">
        <v>6000</v>
      </c>
      <c r="H72" s="62">
        <v>45911</v>
      </c>
      <c r="I72" s="61" t="s">
        <v>895</v>
      </c>
      <c r="J72" s="61" t="s">
        <v>896</v>
      </c>
      <c r="K72" s="53">
        <v>352503530</v>
      </c>
      <c r="L72" s="53">
        <v>6202164591</v>
      </c>
      <c r="M72" s="55" t="s">
        <v>1152</v>
      </c>
    </row>
    <row r="73" spans="1:13" x14ac:dyDescent="0.25">
      <c r="A73" s="53" t="s">
        <v>12</v>
      </c>
      <c r="B73" s="53" t="s">
        <v>13</v>
      </c>
      <c r="C73" s="53" t="s">
        <v>14</v>
      </c>
      <c r="D73" s="53" t="s">
        <v>144</v>
      </c>
      <c r="E73" s="53">
        <v>42542201947</v>
      </c>
      <c r="F73" s="53" t="s">
        <v>145</v>
      </c>
      <c r="G73" s="53">
        <v>6400</v>
      </c>
      <c r="H73" s="62">
        <v>45911</v>
      </c>
      <c r="I73" s="53" t="s">
        <v>652</v>
      </c>
      <c r="J73" s="53" t="s">
        <v>147</v>
      </c>
      <c r="K73" s="53">
        <v>352503461</v>
      </c>
      <c r="L73" s="53">
        <v>7765824237</v>
      </c>
      <c r="M73" s="55" t="s">
        <v>1153</v>
      </c>
    </row>
    <row r="74" spans="1:13" x14ac:dyDescent="0.25">
      <c r="A74" s="53" t="s">
        <v>12</v>
      </c>
      <c r="B74" s="53" t="s">
        <v>13</v>
      </c>
      <c r="C74" s="53" t="s">
        <v>14</v>
      </c>
      <c r="D74" s="53" t="s">
        <v>48</v>
      </c>
      <c r="E74" s="53" t="s">
        <v>49</v>
      </c>
      <c r="F74" s="53" t="s">
        <v>50</v>
      </c>
      <c r="G74" s="53">
        <v>3700</v>
      </c>
      <c r="H74" s="62">
        <v>45912</v>
      </c>
      <c r="I74" s="53" t="s">
        <v>572</v>
      </c>
      <c r="J74" s="53" t="s">
        <v>34</v>
      </c>
      <c r="K74" s="53">
        <v>352503558</v>
      </c>
      <c r="L74" s="53">
        <v>8520078561</v>
      </c>
      <c r="M74" s="55" t="s">
        <v>1154</v>
      </c>
    </row>
    <row r="75" spans="1:13" x14ac:dyDescent="0.25">
      <c r="A75" s="53" t="s">
        <v>12</v>
      </c>
      <c r="B75" s="53" t="s">
        <v>13</v>
      </c>
      <c r="C75" s="53" t="s">
        <v>14</v>
      </c>
      <c r="D75" s="53" t="s">
        <v>435</v>
      </c>
      <c r="E75" s="53">
        <v>31095925572</v>
      </c>
      <c r="F75" s="60" t="s">
        <v>33</v>
      </c>
      <c r="G75" s="53">
        <v>6400</v>
      </c>
      <c r="H75" s="62">
        <v>45912</v>
      </c>
      <c r="I75" s="61" t="s">
        <v>966</v>
      </c>
      <c r="J75" s="61" t="s">
        <v>967</v>
      </c>
      <c r="K75" s="53">
        <v>352503479</v>
      </c>
      <c r="L75" s="60">
        <v>8084080392</v>
      </c>
      <c r="M75" s="55" t="s">
        <v>359</v>
      </c>
    </row>
    <row r="76" spans="1:13" x14ac:dyDescent="0.25">
      <c r="A76" s="53" t="s">
        <v>12</v>
      </c>
      <c r="B76" s="53" t="s">
        <v>13</v>
      </c>
      <c r="C76" s="53" t="s">
        <v>14</v>
      </c>
      <c r="D76" s="53" t="s">
        <v>36</v>
      </c>
      <c r="E76" s="53" t="s">
        <v>37</v>
      </c>
      <c r="F76" s="53" t="s">
        <v>38</v>
      </c>
      <c r="G76" s="53">
        <v>2200</v>
      </c>
      <c r="H76" s="62">
        <v>45912</v>
      </c>
      <c r="I76" s="53" t="s">
        <v>902</v>
      </c>
      <c r="J76" s="53" t="s">
        <v>901</v>
      </c>
      <c r="K76" s="53">
        <v>352503581</v>
      </c>
      <c r="L76" s="53">
        <v>9358936441</v>
      </c>
      <c r="M76" s="55" t="s">
        <v>1155</v>
      </c>
    </row>
    <row r="77" spans="1:13" x14ac:dyDescent="0.25">
      <c r="A77" s="53" t="s">
        <v>12</v>
      </c>
      <c r="B77" s="53" t="s">
        <v>13</v>
      </c>
      <c r="C77" s="53" t="s">
        <v>14</v>
      </c>
      <c r="D77" s="53" t="s">
        <v>36</v>
      </c>
      <c r="E77" s="53" t="s">
        <v>37</v>
      </c>
      <c r="F77" s="53" t="s">
        <v>38</v>
      </c>
      <c r="G77" s="53">
        <v>2200</v>
      </c>
      <c r="H77" s="62">
        <v>45912</v>
      </c>
      <c r="I77" s="53" t="s">
        <v>902</v>
      </c>
      <c r="J77" s="53" t="s">
        <v>901</v>
      </c>
      <c r="K77" s="53">
        <v>352503582</v>
      </c>
      <c r="L77" s="53">
        <v>9358936441</v>
      </c>
      <c r="M77" s="55" t="s">
        <v>1155</v>
      </c>
    </row>
    <row r="78" spans="1:13" x14ac:dyDescent="0.25">
      <c r="A78" s="53" t="s">
        <v>12</v>
      </c>
      <c r="B78" s="53" t="s">
        <v>13</v>
      </c>
      <c r="C78" s="53" t="s">
        <v>14</v>
      </c>
      <c r="D78" s="53" t="s">
        <v>108</v>
      </c>
      <c r="E78" s="53" t="s">
        <v>109</v>
      </c>
      <c r="F78" s="53" t="s">
        <v>110</v>
      </c>
      <c r="G78" s="53">
        <v>5450</v>
      </c>
      <c r="H78" s="62">
        <v>45915</v>
      </c>
      <c r="I78" s="61" t="s">
        <v>898</v>
      </c>
      <c r="J78" s="61" t="s">
        <v>899</v>
      </c>
      <c r="K78" s="53">
        <v>352503625</v>
      </c>
      <c r="L78" s="53">
        <v>7870570436</v>
      </c>
      <c r="M78" s="55" t="s">
        <v>1156</v>
      </c>
    </row>
    <row r="79" spans="1:13" x14ac:dyDescent="0.25">
      <c r="A79" s="53" t="s">
        <v>12</v>
      </c>
      <c r="B79" s="53" t="s">
        <v>13</v>
      </c>
      <c r="C79" s="53" t="s">
        <v>14</v>
      </c>
      <c r="D79" s="53" t="s">
        <v>48</v>
      </c>
      <c r="E79" s="53" t="s">
        <v>49</v>
      </c>
      <c r="F79" s="53" t="s">
        <v>50</v>
      </c>
      <c r="G79" s="53">
        <v>5450</v>
      </c>
      <c r="H79" s="62">
        <v>45915</v>
      </c>
      <c r="I79" s="53" t="s">
        <v>572</v>
      </c>
      <c r="J79" s="53" t="s">
        <v>34</v>
      </c>
      <c r="K79" s="53">
        <v>352503626</v>
      </c>
      <c r="L79" s="53">
        <v>8520078561</v>
      </c>
      <c r="M79" s="55" t="s">
        <v>1156</v>
      </c>
    </row>
    <row r="80" spans="1:13" x14ac:dyDescent="0.25">
      <c r="A80" s="53" t="s">
        <v>12</v>
      </c>
      <c r="B80" s="53" t="s">
        <v>13</v>
      </c>
      <c r="C80" s="53" t="s">
        <v>14</v>
      </c>
      <c r="D80" s="53" t="s">
        <v>95</v>
      </c>
      <c r="E80" s="53" t="s">
        <v>96</v>
      </c>
      <c r="F80" s="53" t="s">
        <v>33</v>
      </c>
      <c r="G80" s="53">
        <v>5450</v>
      </c>
      <c r="H80" s="62">
        <v>45915</v>
      </c>
      <c r="I80" s="61" t="s">
        <v>571</v>
      </c>
      <c r="J80" s="61" t="s">
        <v>59</v>
      </c>
      <c r="K80" s="53">
        <v>352503565</v>
      </c>
      <c r="L80" s="53">
        <v>8159025834</v>
      </c>
      <c r="M80" s="55" t="s">
        <v>1156</v>
      </c>
    </row>
    <row r="81" spans="1:13" x14ac:dyDescent="0.25">
      <c r="A81" s="53" t="s">
        <v>12</v>
      </c>
      <c r="B81" s="53" t="s">
        <v>13</v>
      </c>
      <c r="C81" s="53" t="s">
        <v>14</v>
      </c>
      <c r="D81" s="53" t="s">
        <v>993</v>
      </c>
      <c r="E81" s="69">
        <v>50100683547664</v>
      </c>
      <c r="F81" s="60" t="s">
        <v>994</v>
      </c>
      <c r="G81" s="53">
        <v>5450</v>
      </c>
      <c r="H81" s="62">
        <v>45915</v>
      </c>
      <c r="I81" s="61" t="s">
        <v>593</v>
      </c>
      <c r="J81" s="61" t="s">
        <v>76</v>
      </c>
      <c r="K81" s="53">
        <v>352503564</v>
      </c>
      <c r="L81" s="60">
        <v>8093441726</v>
      </c>
      <c r="M81" s="55" t="s">
        <v>1156</v>
      </c>
    </row>
    <row r="82" spans="1:13" x14ac:dyDescent="0.25">
      <c r="A82" s="53" t="s">
        <v>12</v>
      </c>
      <c r="B82" s="53" t="s">
        <v>13</v>
      </c>
      <c r="C82" s="53" t="s">
        <v>14</v>
      </c>
      <c r="D82" s="53" t="s">
        <v>144</v>
      </c>
      <c r="E82" s="53">
        <v>42542201947</v>
      </c>
      <c r="F82" s="53" t="s">
        <v>145</v>
      </c>
      <c r="G82" s="53">
        <v>5450</v>
      </c>
      <c r="H82" s="62">
        <v>45915</v>
      </c>
      <c r="I82" s="53" t="s">
        <v>652</v>
      </c>
      <c r="J82" s="53" t="s">
        <v>147</v>
      </c>
      <c r="K82" s="53">
        <v>352503562</v>
      </c>
      <c r="L82" s="53">
        <v>7765824237</v>
      </c>
      <c r="M82" s="55" t="s">
        <v>1156</v>
      </c>
    </row>
    <row r="83" spans="1:13" s="68" customFormat="1" x14ac:dyDescent="0.25">
      <c r="A83" s="61" t="s">
        <v>12</v>
      </c>
      <c r="B83" s="61" t="s">
        <v>13</v>
      </c>
      <c r="C83" s="61" t="s">
        <v>14</v>
      </c>
      <c r="D83" s="61" t="s">
        <v>31</v>
      </c>
      <c r="E83" s="61" t="s">
        <v>32</v>
      </c>
      <c r="F83" s="61" t="s">
        <v>33</v>
      </c>
      <c r="G83" s="53">
        <v>3500</v>
      </c>
      <c r="H83" s="62">
        <v>45915</v>
      </c>
      <c r="I83" s="61" t="s">
        <v>741</v>
      </c>
      <c r="J83" s="61" t="s">
        <v>22</v>
      </c>
      <c r="K83" s="53">
        <v>352503627</v>
      </c>
      <c r="L83" s="61">
        <v>9347726061</v>
      </c>
      <c r="M83" s="55" t="s">
        <v>1156</v>
      </c>
    </row>
    <row r="84" spans="1:13" x14ac:dyDescent="0.25">
      <c r="A84" s="53" t="s">
        <v>12</v>
      </c>
      <c r="B84" s="53" t="s">
        <v>13</v>
      </c>
      <c r="C84" s="53" t="s">
        <v>14</v>
      </c>
      <c r="D84" s="53" t="s">
        <v>435</v>
      </c>
      <c r="E84" s="53">
        <v>31095925572</v>
      </c>
      <c r="F84" s="60" t="s">
        <v>33</v>
      </c>
      <c r="G84" s="53">
        <v>3500</v>
      </c>
      <c r="H84" s="62">
        <v>45915</v>
      </c>
      <c r="I84" s="61" t="s">
        <v>966</v>
      </c>
      <c r="J84" s="61" t="s">
        <v>967</v>
      </c>
      <c r="K84" s="53">
        <v>352503583</v>
      </c>
      <c r="L84" s="60">
        <v>8084080392</v>
      </c>
      <c r="M84" s="55" t="s">
        <v>1156</v>
      </c>
    </row>
    <row r="85" spans="1:13" x14ac:dyDescent="0.25">
      <c r="A85" s="53" t="s">
        <v>12</v>
      </c>
      <c r="B85" s="53" t="s">
        <v>13</v>
      </c>
      <c r="C85" s="53" t="s">
        <v>14</v>
      </c>
      <c r="D85" s="53" t="s">
        <v>36</v>
      </c>
      <c r="E85" s="53" t="s">
        <v>37</v>
      </c>
      <c r="F85" s="53" t="s">
        <v>38</v>
      </c>
      <c r="G85" s="53">
        <v>7700</v>
      </c>
      <c r="H85" s="62">
        <v>45915</v>
      </c>
      <c r="I85" s="53" t="s">
        <v>902</v>
      </c>
      <c r="J85" s="53" t="s">
        <v>901</v>
      </c>
      <c r="K85" s="53">
        <v>352503582</v>
      </c>
      <c r="L85" s="53">
        <v>9358936441</v>
      </c>
      <c r="M85" s="55" t="s">
        <v>1157</v>
      </c>
    </row>
    <row r="86" spans="1:13" s="68" customFormat="1" x14ac:dyDescent="0.25">
      <c r="A86" s="61" t="s">
        <v>12</v>
      </c>
      <c r="B86" s="61" t="s">
        <v>13</v>
      </c>
      <c r="C86" s="61" t="s">
        <v>14</v>
      </c>
      <c r="D86" s="61" t="s">
        <v>31</v>
      </c>
      <c r="E86" s="61" t="s">
        <v>32</v>
      </c>
      <c r="F86" s="61" t="s">
        <v>33</v>
      </c>
      <c r="G86" s="53">
        <v>450</v>
      </c>
      <c r="H86" s="62">
        <v>45916</v>
      </c>
      <c r="I86" s="61" t="s">
        <v>741</v>
      </c>
      <c r="J86" s="61" t="s">
        <v>22</v>
      </c>
      <c r="K86" s="53">
        <v>352503644</v>
      </c>
      <c r="L86" s="61">
        <v>9347726061</v>
      </c>
      <c r="M86" s="55" t="s">
        <v>1156</v>
      </c>
    </row>
    <row r="87" spans="1:13" x14ac:dyDescent="0.25">
      <c r="A87" s="53" t="s">
        <v>12</v>
      </c>
      <c r="B87" s="53" t="s">
        <v>13</v>
      </c>
      <c r="C87" s="53" t="s">
        <v>14</v>
      </c>
      <c r="D87" s="53" t="s">
        <v>936</v>
      </c>
      <c r="E87" s="54">
        <v>29230100027591</v>
      </c>
      <c r="F87" s="53" t="s">
        <v>937</v>
      </c>
      <c r="G87" s="53">
        <v>5450</v>
      </c>
      <c r="H87" s="62">
        <v>45916</v>
      </c>
      <c r="I87" s="61" t="s">
        <v>895</v>
      </c>
      <c r="J87" s="61" t="s">
        <v>896</v>
      </c>
      <c r="K87" s="53">
        <v>352503655</v>
      </c>
      <c r="L87" s="53">
        <v>6202164591</v>
      </c>
      <c r="M87" s="55" t="s">
        <v>371</v>
      </c>
    </row>
    <row r="88" spans="1:13" x14ac:dyDescent="0.25">
      <c r="A88" s="53" t="s">
        <v>12</v>
      </c>
      <c r="B88" s="53" t="s">
        <v>13</v>
      </c>
      <c r="C88" s="53" t="s">
        <v>14</v>
      </c>
      <c r="D88" s="53" t="s">
        <v>144</v>
      </c>
      <c r="E88" s="53">
        <v>42542201947</v>
      </c>
      <c r="F88" s="53" t="s">
        <v>145</v>
      </c>
      <c r="G88" s="53">
        <v>5450</v>
      </c>
      <c r="H88" s="62">
        <v>45916</v>
      </c>
      <c r="I88" s="53" t="s">
        <v>652</v>
      </c>
      <c r="J88" s="53" t="s">
        <v>147</v>
      </c>
      <c r="K88" s="53">
        <v>352503642</v>
      </c>
      <c r="L88" s="53">
        <v>7765824237</v>
      </c>
      <c r="M88" s="55" t="s">
        <v>371</v>
      </c>
    </row>
    <row r="89" spans="1:13" x14ac:dyDescent="0.25">
      <c r="A89" s="53" t="s">
        <v>12</v>
      </c>
      <c r="B89" s="53" t="s">
        <v>13</v>
      </c>
      <c r="C89" s="53" t="s">
        <v>14</v>
      </c>
      <c r="D89" s="53" t="s">
        <v>48</v>
      </c>
      <c r="E89" s="53" t="s">
        <v>49</v>
      </c>
      <c r="F89" s="53" t="s">
        <v>50</v>
      </c>
      <c r="G89" s="53">
        <v>5450</v>
      </c>
      <c r="H89" s="62">
        <v>45916</v>
      </c>
      <c r="I89" s="53" t="s">
        <v>572</v>
      </c>
      <c r="J89" s="53" t="s">
        <v>34</v>
      </c>
      <c r="K89" s="53">
        <v>352503646</v>
      </c>
      <c r="L89" s="53">
        <v>8520078561</v>
      </c>
      <c r="M89" s="55" t="s">
        <v>371</v>
      </c>
    </row>
    <row r="90" spans="1:13" x14ac:dyDescent="0.25">
      <c r="A90" s="53" t="s">
        <v>12</v>
      </c>
      <c r="B90" s="53" t="s">
        <v>13</v>
      </c>
      <c r="C90" s="53" t="s">
        <v>14</v>
      </c>
      <c r="D90" s="53" t="s">
        <v>435</v>
      </c>
      <c r="E90" s="53">
        <v>31095925572</v>
      </c>
      <c r="F90" s="60" t="s">
        <v>33</v>
      </c>
      <c r="G90" s="53">
        <v>4950</v>
      </c>
      <c r="H90" s="62">
        <v>45916</v>
      </c>
      <c r="I90" s="61" t="s">
        <v>966</v>
      </c>
      <c r="J90" s="61" t="s">
        <v>967</v>
      </c>
      <c r="K90" s="53">
        <v>352503648</v>
      </c>
      <c r="L90" s="60">
        <v>8084080392</v>
      </c>
      <c r="M90" s="55" t="s">
        <v>1158</v>
      </c>
    </row>
    <row r="91" spans="1:13" x14ac:dyDescent="0.25">
      <c r="A91" s="53" t="s">
        <v>12</v>
      </c>
      <c r="B91" s="53" t="s">
        <v>13</v>
      </c>
      <c r="C91" s="53" t="s">
        <v>14</v>
      </c>
      <c r="D91" s="53" t="s">
        <v>108</v>
      </c>
      <c r="E91" s="53" t="s">
        <v>109</v>
      </c>
      <c r="F91" s="53" t="s">
        <v>110</v>
      </c>
      <c r="G91" s="53">
        <v>1900</v>
      </c>
      <c r="H91" s="62">
        <v>45916</v>
      </c>
      <c r="I91" s="61" t="s">
        <v>898</v>
      </c>
      <c r="J91" s="61" t="s">
        <v>899</v>
      </c>
      <c r="K91" s="53">
        <v>352503656</v>
      </c>
      <c r="L91" s="53">
        <v>7870570436</v>
      </c>
      <c r="M91" s="55" t="s">
        <v>1159</v>
      </c>
    </row>
    <row r="92" spans="1:13" s="68" customFormat="1" x14ac:dyDescent="0.25">
      <c r="A92" s="61" t="s">
        <v>12</v>
      </c>
      <c r="B92" s="61" t="s">
        <v>13</v>
      </c>
      <c r="C92" s="61" t="s">
        <v>14</v>
      </c>
      <c r="D92" s="61" t="s">
        <v>31</v>
      </c>
      <c r="E92" s="61" t="s">
        <v>32</v>
      </c>
      <c r="F92" s="61" t="s">
        <v>33</v>
      </c>
      <c r="G92" s="53">
        <v>1900</v>
      </c>
      <c r="H92" s="62">
        <v>45916</v>
      </c>
      <c r="I92" s="61" t="s">
        <v>741</v>
      </c>
      <c r="J92" s="61" t="s">
        <v>22</v>
      </c>
      <c r="K92" s="53">
        <v>352503657</v>
      </c>
      <c r="L92" s="61">
        <v>9347726061</v>
      </c>
      <c r="M92" s="55" t="s">
        <v>1159</v>
      </c>
    </row>
    <row r="93" spans="1:13" x14ac:dyDescent="0.25">
      <c r="A93" s="53" t="s">
        <v>12</v>
      </c>
      <c r="B93" s="53" t="s">
        <v>13</v>
      </c>
      <c r="C93" s="53" t="s">
        <v>14</v>
      </c>
      <c r="D93" s="53" t="s">
        <v>95</v>
      </c>
      <c r="E93" s="53" t="s">
        <v>96</v>
      </c>
      <c r="F93" s="53" t="s">
        <v>33</v>
      </c>
      <c r="G93" s="53">
        <v>1500</v>
      </c>
      <c r="H93" s="62">
        <v>45916</v>
      </c>
      <c r="I93" s="61" t="s">
        <v>571</v>
      </c>
      <c r="J93" s="61" t="s">
        <v>59</v>
      </c>
      <c r="K93" s="53">
        <v>352503658</v>
      </c>
      <c r="L93" s="53">
        <v>8159025834</v>
      </c>
      <c r="M93" s="55" t="s">
        <v>1159</v>
      </c>
    </row>
    <row r="94" spans="1:13" x14ac:dyDescent="0.25">
      <c r="A94" s="53" t="s">
        <v>12</v>
      </c>
      <c r="B94" s="53" t="s">
        <v>13</v>
      </c>
      <c r="C94" s="53" t="s">
        <v>14</v>
      </c>
      <c r="D94" s="53" t="s">
        <v>993</v>
      </c>
      <c r="E94" s="69">
        <v>50100683547664</v>
      </c>
      <c r="F94" s="60" t="s">
        <v>994</v>
      </c>
      <c r="G94" s="53">
        <v>1900</v>
      </c>
      <c r="H94" s="62">
        <v>45916</v>
      </c>
      <c r="I94" s="61" t="s">
        <v>593</v>
      </c>
      <c r="J94" s="61" t="s">
        <v>76</v>
      </c>
      <c r="K94" s="53">
        <v>352503659</v>
      </c>
      <c r="L94" s="60">
        <v>8093441726</v>
      </c>
      <c r="M94" s="55" t="s">
        <v>1159</v>
      </c>
    </row>
    <row r="95" spans="1:13" x14ac:dyDescent="0.25">
      <c r="A95" s="53" t="s">
        <v>12</v>
      </c>
      <c r="B95" s="53" t="s">
        <v>13</v>
      </c>
      <c r="C95" s="53" t="s">
        <v>14</v>
      </c>
      <c r="D95" s="53" t="s">
        <v>95</v>
      </c>
      <c r="E95" s="53" t="s">
        <v>96</v>
      </c>
      <c r="F95" s="53" t="s">
        <v>33</v>
      </c>
      <c r="G95" s="53">
        <v>5200</v>
      </c>
      <c r="H95" s="62">
        <v>45916</v>
      </c>
      <c r="I95" s="61" t="s">
        <v>571</v>
      </c>
      <c r="J95" s="61" t="s">
        <v>59</v>
      </c>
      <c r="K95" s="53">
        <v>352503658</v>
      </c>
      <c r="L95" s="53">
        <v>8159025834</v>
      </c>
      <c r="M95" s="55" t="s">
        <v>1160</v>
      </c>
    </row>
    <row r="96" spans="1:13" x14ac:dyDescent="0.25">
      <c r="A96" s="53" t="s">
        <v>12</v>
      </c>
      <c r="B96" s="53" t="s">
        <v>13</v>
      </c>
      <c r="C96" s="53" t="s">
        <v>14</v>
      </c>
      <c r="D96" s="53" t="s">
        <v>435</v>
      </c>
      <c r="E96" s="53">
        <v>31095925572</v>
      </c>
      <c r="F96" s="60" t="s">
        <v>33</v>
      </c>
      <c r="G96" s="53">
        <v>450</v>
      </c>
      <c r="H96" s="62">
        <v>45917</v>
      </c>
      <c r="I96" s="61" t="s">
        <v>966</v>
      </c>
      <c r="J96" s="61" t="s">
        <v>967</v>
      </c>
      <c r="K96" s="53">
        <v>352503648</v>
      </c>
      <c r="L96" s="60">
        <v>8084080392</v>
      </c>
      <c r="M96" s="55" t="s">
        <v>1156</v>
      </c>
    </row>
    <row r="97" spans="1:13" x14ac:dyDescent="0.25">
      <c r="A97" s="53" t="s">
        <v>12</v>
      </c>
      <c r="B97" s="53" t="s">
        <v>13</v>
      </c>
      <c r="C97" s="53" t="s">
        <v>14</v>
      </c>
      <c r="D97" s="53" t="s">
        <v>993</v>
      </c>
      <c r="E97" s="69">
        <v>50100683547664</v>
      </c>
      <c r="F97" s="60" t="s">
        <v>994</v>
      </c>
      <c r="G97" s="53">
        <v>5450</v>
      </c>
      <c r="H97" s="62">
        <v>45917</v>
      </c>
      <c r="I97" s="61" t="s">
        <v>593</v>
      </c>
      <c r="J97" s="61" t="s">
        <v>76</v>
      </c>
      <c r="K97" s="53">
        <v>352503659</v>
      </c>
      <c r="L97" s="60">
        <v>8093441726</v>
      </c>
      <c r="M97" s="55" t="s">
        <v>373</v>
      </c>
    </row>
    <row r="98" spans="1:13" x14ac:dyDescent="0.25">
      <c r="A98" s="53" t="s">
        <v>12</v>
      </c>
      <c r="B98" s="53" t="s">
        <v>13</v>
      </c>
      <c r="C98" s="53" t="s">
        <v>14</v>
      </c>
      <c r="D98" s="53" t="s">
        <v>36</v>
      </c>
      <c r="E98" s="53" t="s">
        <v>37</v>
      </c>
      <c r="F98" s="53" t="s">
        <v>38</v>
      </c>
      <c r="G98" s="53">
        <v>5450</v>
      </c>
      <c r="H98" s="62">
        <v>45917</v>
      </c>
      <c r="I98" s="53" t="s">
        <v>902</v>
      </c>
      <c r="J98" s="53" t="s">
        <v>901</v>
      </c>
      <c r="K98" s="53">
        <v>352503638</v>
      </c>
      <c r="L98" s="53">
        <v>9358936441</v>
      </c>
      <c r="M98" s="55" t="s">
        <v>373</v>
      </c>
    </row>
    <row r="99" spans="1:13" x14ac:dyDescent="0.25">
      <c r="A99" s="53" t="s">
        <v>12</v>
      </c>
      <c r="B99" s="53" t="s">
        <v>13</v>
      </c>
      <c r="C99" s="53" t="s">
        <v>14</v>
      </c>
      <c r="D99" s="53" t="s">
        <v>108</v>
      </c>
      <c r="E99" s="53" t="s">
        <v>109</v>
      </c>
      <c r="F99" s="53" t="s">
        <v>110</v>
      </c>
      <c r="G99" s="53">
        <v>5200</v>
      </c>
      <c r="H99" s="62">
        <v>45917</v>
      </c>
      <c r="I99" s="61" t="s">
        <v>898</v>
      </c>
      <c r="J99" s="61" t="s">
        <v>899</v>
      </c>
      <c r="K99" s="53">
        <v>352503656</v>
      </c>
      <c r="L99" s="53">
        <v>7870570436</v>
      </c>
      <c r="M99" s="55" t="s">
        <v>1161</v>
      </c>
    </row>
    <row r="100" spans="1:13" x14ac:dyDescent="0.25">
      <c r="A100" s="53" t="s">
        <v>12</v>
      </c>
      <c r="B100" s="53" t="s">
        <v>13</v>
      </c>
      <c r="C100" s="53" t="s">
        <v>14</v>
      </c>
      <c r="D100" s="53" t="s">
        <v>936</v>
      </c>
      <c r="E100" s="54">
        <v>29230100027591</v>
      </c>
      <c r="F100" s="53" t="s">
        <v>937</v>
      </c>
      <c r="G100" s="53">
        <v>1900</v>
      </c>
      <c r="H100" s="62">
        <v>45917</v>
      </c>
      <c r="I100" s="61" t="s">
        <v>895</v>
      </c>
      <c r="J100" s="61" t="s">
        <v>896</v>
      </c>
      <c r="K100" s="53">
        <v>352503693</v>
      </c>
      <c r="L100" s="53">
        <v>6202164591</v>
      </c>
      <c r="M100" s="55" t="s">
        <v>1162</v>
      </c>
    </row>
    <row r="101" spans="1:13" x14ac:dyDescent="0.25">
      <c r="A101" s="53" t="s">
        <v>12</v>
      </c>
      <c r="B101" s="53" t="s">
        <v>13</v>
      </c>
      <c r="C101" s="53" t="s">
        <v>14</v>
      </c>
      <c r="D101" s="53" t="s">
        <v>144</v>
      </c>
      <c r="E101" s="53">
        <v>42542201947</v>
      </c>
      <c r="F101" s="53" t="s">
        <v>145</v>
      </c>
      <c r="G101" s="53">
        <v>1900</v>
      </c>
      <c r="H101" s="62">
        <v>45917</v>
      </c>
      <c r="I101" s="53" t="s">
        <v>652</v>
      </c>
      <c r="J101" s="53" t="s">
        <v>147</v>
      </c>
      <c r="K101" s="53">
        <v>352503691</v>
      </c>
      <c r="L101" s="53">
        <v>7765824237</v>
      </c>
      <c r="M101" s="55" t="s">
        <v>1162</v>
      </c>
    </row>
    <row r="102" spans="1:13" x14ac:dyDescent="0.25">
      <c r="A102" s="53" t="s">
        <v>12</v>
      </c>
      <c r="B102" s="53" t="s">
        <v>13</v>
      </c>
      <c r="C102" s="53" t="s">
        <v>14</v>
      </c>
      <c r="D102" s="53" t="s">
        <v>48</v>
      </c>
      <c r="E102" s="53" t="s">
        <v>49</v>
      </c>
      <c r="F102" s="53" t="s">
        <v>50</v>
      </c>
      <c r="G102" s="53">
        <v>1900</v>
      </c>
      <c r="H102" s="62">
        <v>45917</v>
      </c>
      <c r="I102" s="53" t="s">
        <v>572</v>
      </c>
      <c r="J102" s="53" t="s">
        <v>34</v>
      </c>
      <c r="K102" s="53">
        <v>352503692</v>
      </c>
      <c r="L102" s="53">
        <v>8520078561</v>
      </c>
      <c r="M102" s="55" t="s">
        <v>1162</v>
      </c>
    </row>
    <row r="103" spans="1:13" x14ac:dyDescent="0.25">
      <c r="A103" s="53" t="s">
        <v>12</v>
      </c>
      <c r="B103" s="53" t="s">
        <v>13</v>
      </c>
      <c r="C103" s="53" t="s">
        <v>14</v>
      </c>
      <c r="D103" s="53" t="s">
        <v>936</v>
      </c>
      <c r="E103" s="54">
        <v>29230100027591</v>
      </c>
      <c r="F103" s="53" t="s">
        <v>937</v>
      </c>
      <c r="G103" s="53">
        <v>5450</v>
      </c>
      <c r="H103" s="62">
        <v>45918</v>
      </c>
      <c r="I103" s="61" t="s">
        <v>895</v>
      </c>
      <c r="J103" s="61" t="s">
        <v>896</v>
      </c>
      <c r="K103" s="53">
        <v>352503693</v>
      </c>
      <c r="L103" s="53">
        <v>6202164591</v>
      </c>
      <c r="M103" s="55" t="s">
        <v>1163</v>
      </c>
    </row>
    <row r="104" spans="1:13" x14ac:dyDescent="0.25">
      <c r="A104" s="53" t="s">
        <v>12</v>
      </c>
      <c r="B104" s="53" t="s">
        <v>13</v>
      </c>
      <c r="C104" s="53" t="s">
        <v>14</v>
      </c>
      <c r="D104" s="53" t="s">
        <v>95</v>
      </c>
      <c r="E104" s="53" t="s">
        <v>96</v>
      </c>
      <c r="F104" s="53" t="s">
        <v>33</v>
      </c>
      <c r="G104" s="53">
        <v>3950</v>
      </c>
      <c r="H104" s="62">
        <v>45918</v>
      </c>
      <c r="I104" s="61" t="s">
        <v>571</v>
      </c>
      <c r="J104" s="61" t="s">
        <v>59</v>
      </c>
      <c r="K104" s="53">
        <v>352503669</v>
      </c>
      <c r="L104" s="53">
        <v>8159025834</v>
      </c>
      <c r="M104" s="55" t="s">
        <v>1208</v>
      </c>
    </row>
    <row r="105" spans="1:13" s="68" customFormat="1" x14ac:dyDescent="0.25">
      <c r="A105" s="61" t="s">
        <v>12</v>
      </c>
      <c r="B105" s="61" t="s">
        <v>13</v>
      </c>
      <c r="C105" s="61" t="s">
        <v>14</v>
      </c>
      <c r="D105" s="61" t="s">
        <v>31</v>
      </c>
      <c r="E105" s="61" t="s">
        <v>32</v>
      </c>
      <c r="F105" s="61" t="s">
        <v>33</v>
      </c>
      <c r="G105" s="53">
        <v>5200</v>
      </c>
      <c r="H105" s="62">
        <v>45918</v>
      </c>
      <c r="I105" s="61" t="s">
        <v>741</v>
      </c>
      <c r="J105" s="61" t="s">
        <v>22</v>
      </c>
      <c r="K105" s="53">
        <v>352503657</v>
      </c>
      <c r="L105" s="61">
        <v>9347726061</v>
      </c>
      <c r="M105" s="55" t="s">
        <v>1164</v>
      </c>
    </row>
    <row r="106" spans="1:13" x14ac:dyDescent="0.25">
      <c r="A106" s="53" t="s">
        <v>12</v>
      </c>
      <c r="B106" s="53" t="s">
        <v>13</v>
      </c>
      <c r="C106" s="53" t="s">
        <v>14</v>
      </c>
      <c r="D106" s="53" t="s">
        <v>36</v>
      </c>
      <c r="E106" s="53" t="s">
        <v>37</v>
      </c>
      <c r="F106" s="53" t="s">
        <v>38</v>
      </c>
      <c r="G106" s="53">
        <v>1900</v>
      </c>
      <c r="H106" s="62">
        <v>45918</v>
      </c>
      <c r="I106" s="53" t="s">
        <v>902</v>
      </c>
      <c r="J106" s="53" t="s">
        <v>901</v>
      </c>
      <c r="K106" s="53">
        <v>352503711</v>
      </c>
      <c r="L106" s="53">
        <v>9358936441</v>
      </c>
      <c r="M106" s="55" t="s">
        <v>1165</v>
      </c>
    </row>
    <row r="107" spans="1:13" x14ac:dyDescent="0.25">
      <c r="A107" s="53" t="s">
        <v>12</v>
      </c>
      <c r="B107" s="53" t="s">
        <v>13</v>
      </c>
      <c r="C107" s="53" t="s">
        <v>14</v>
      </c>
      <c r="D107" s="53" t="s">
        <v>993</v>
      </c>
      <c r="E107" s="69">
        <v>50100683547664</v>
      </c>
      <c r="F107" s="60" t="s">
        <v>994</v>
      </c>
      <c r="G107" s="53">
        <v>1900</v>
      </c>
      <c r="H107" s="62">
        <v>45918</v>
      </c>
      <c r="I107" s="61" t="s">
        <v>593</v>
      </c>
      <c r="J107" s="61" t="s">
        <v>76</v>
      </c>
      <c r="K107" s="53">
        <v>352503712</v>
      </c>
      <c r="L107" s="60">
        <v>8093441726</v>
      </c>
      <c r="M107" s="55" t="s">
        <v>1165</v>
      </c>
    </row>
    <row r="108" spans="1:13" x14ac:dyDescent="0.25">
      <c r="A108" s="53" t="s">
        <v>12</v>
      </c>
      <c r="B108" s="53" t="s">
        <v>13</v>
      </c>
      <c r="C108" s="53" t="s">
        <v>14</v>
      </c>
      <c r="D108" s="53" t="s">
        <v>936</v>
      </c>
      <c r="E108" s="54">
        <v>29230100027591</v>
      </c>
      <c r="F108" s="53" t="s">
        <v>937</v>
      </c>
      <c r="G108" s="53">
        <v>1900</v>
      </c>
      <c r="H108" s="62">
        <v>45919</v>
      </c>
      <c r="I108" s="61" t="s">
        <v>895</v>
      </c>
      <c r="J108" s="61" t="s">
        <v>896</v>
      </c>
      <c r="K108" s="53">
        <v>352503717</v>
      </c>
      <c r="L108" s="53">
        <v>6202164591</v>
      </c>
      <c r="M108" s="55" t="s">
        <v>1166</v>
      </c>
    </row>
    <row r="109" spans="1:13" x14ac:dyDescent="0.25">
      <c r="A109" s="53" t="s">
        <v>12</v>
      </c>
      <c r="B109" s="53" t="s">
        <v>13</v>
      </c>
      <c r="C109" s="53" t="s">
        <v>14</v>
      </c>
      <c r="D109" s="53" t="s">
        <v>95</v>
      </c>
      <c r="E109" s="53" t="s">
        <v>96</v>
      </c>
      <c r="F109" s="53" t="s">
        <v>33</v>
      </c>
      <c r="G109" s="53">
        <v>1900</v>
      </c>
      <c r="H109" s="62">
        <v>45919</v>
      </c>
      <c r="I109" s="61" t="s">
        <v>571</v>
      </c>
      <c r="J109" s="61" t="s">
        <v>59</v>
      </c>
      <c r="K109" s="53">
        <v>352503716</v>
      </c>
      <c r="L109" s="53">
        <v>8159025834</v>
      </c>
      <c r="M109" s="55" t="s">
        <v>1166</v>
      </c>
    </row>
    <row r="110" spans="1:13" x14ac:dyDescent="0.25">
      <c r="A110" s="53" t="s">
        <v>12</v>
      </c>
      <c r="B110" s="53" t="s">
        <v>13</v>
      </c>
      <c r="C110" s="53" t="s">
        <v>14</v>
      </c>
      <c r="D110" s="53" t="s">
        <v>48</v>
      </c>
      <c r="E110" s="53" t="s">
        <v>49</v>
      </c>
      <c r="F110" s="53" t="s">
        <v>50</v>
      </c>
      <c r="G110" s="53">
        <v>4950</v>
      </c>
      <c r="H110" s="62">
        <v>45919</v>
      </c>
      <c r="I110" s="53" t="s">
        <v>572</v>
      </c>
      <c r="J110" s="53" t="s">
        <v>34</v>
      </c>
      <c r="K110" s="53">
        <v>352503692</v>
      </c>
      <c r="L110" s="53">
        <v>8520078561</v>
      </c>
      <c r="M110" s="55" t="s">
        <v>1167</v>
      </c>
    </row>
    <row r="111" spans="1:13" x14ac:dyDescent="0.25">
      <c r="A111" s="53" t="s">
        <v>12</v>
      </c>
      <c r="B111" s="53" t="s">
        <v>13</v>
      </c>
      <c r="C111" s="53" t="s">
        <v>14</v>
      </c>
      <c r="D111" s="53" t="s">
        <v>36</v>
      </c>
      <c r="E111" s="53" t="s">
        <v>37</v>
      </c>
      <c r="F111" s="53" t="s">
        <v>38</v>
      </c>
      <c r="G111" s="53">
        <v>5450</v>
      </c>
      <c r="H111" s="62">
        <v>45920</v>
      </c>
      <c r="I111" s="53" t="s">
        <v>902</v>
      </c>
      <c r="J111" s="53" t="s">
        <v>901</v>
      </c>
      <c r="K111" s="53">
        <v>352503711</v>
      </c>
      <c r="L111" s="53">
        <v>9358936441</v>
      </c>
      <c r="M111" s="55" t="s">
        <v>1168</v>
      </c>
    </row>
    <row r="112" spans="1:13" x14ac:dyDescent="0.25">
      <c r="A112" s="53" t="s">
        <v>12</v>
      </c>
      <c r="B112" s="53" t="s">
        <v>13</v>
      </c>
      <c r="C112" s="53" t="s">
        <v>14</v>
      </c>
      <c r="D112" s="53" t="s">
        <v>108</v>
      </c>
      <c r="E112" s="53" t="s">
        <v>109</v>
      </c>
      <c r="F112" s="53" t="s">
        <v>110</v>
      </c>
      <c r="G112" s="53">
        <v>3950</v>
      </c>
      <c r="H112" s="62">
        <v>45920</v>
      </c>
      <c r="I112" s="61" t="s">
        <v>898</v>
      </c>
      <c r="J112" s="61" t="s">
        <v>899</v>
      </c>
      <c r="K112" s="53">
        <v>352503695</v>
      </c>
      <c r="L112" s="53">
        <v>7870570436</v>
      </c>
      <c r="M112" s="55" t="s">
        <v>1209</v>
      </c>
    </row>
    <row r="113" spans="1:13" x14ac:dyDescent="0.25">
      <c r="A113" s="53" t="s">
        <v>12</v>
      </c>
      <c r="B113" s="53" t="s">
        <v>13</v>
      </c>
      <c r="C113" s="53" t="s">
        <v>14</v>
      </c>
      <c r="D113" s="53" t="s">
        <v>144</v>
      </c>
      <c r="E113" s="53">
        <v>42542201947</v>
      </c>
      <c r="F113" s="53" t="s">
        <v>145</v>
      </c>
      <c r="G113" s="53">
        <v>5450</v>
      </c>
      <c r="H113" s="62">
        <v>45920</v>
      </c>
      <c r="I113" s="53" t="s">
        <v>652</v>
      </c>
      <c r="J113" s="53" t="s">
        <v>147</v>
      </c>
      <c r="K113" s="53">
        <v>352503691</v>
      </c>
      <c r="L113" s="53">
        <v>7765824237</v>
      </c>
      <c r="M113" s="55" t="s">
        <v>1168</v>
      </c>
    </row>
    <row r="114" spans="1:13" x14ac:dyDescent="0.25">
      <c r="A114" s="53" t="s">
        <v>12</v>
      </c>
      <c r="B114" s="53" t="s">
        <v>13</v>
      </c>
      <c r="C114" s="53" t="s">
        <v>14</v>
      </c>
      <c r="D114" s="53" t="s">
        <v>936</v>
      </c>
      <c r="E114" s="54">
        <v>29230100027591</v>
      </c>
      <c r="F114" s="53" t="s">
        <v>937</v>
      </c>
      <c r="G114" s="53">
        <v>5550</v>
      </c>
      <c r="H114" s="62">
        <v>45920</v>
      </c>
      <c r="I114" s="61" t="s">
        <v>895</v>
      </c>
      <c r="J114" s="61" t="s">
        <v>896</v>
      </c>
      <c r="K114" s="53">
        <v>352503739</v>
      </c>
      <c r="L114" s="53">
        <v>6202164591</v>
      </c>
      <c r="M114" s="55" t="s">
        <v>1169</v>
      </c>
    </row>
    <row r="115" spans="1:13" x14ac:dyDescent="0.25">
      <c r="A115" s="53" t="s">
        <v>12</v>
      </c>
      <c r="B115" s="53" t="s">
        <v>13</v>
      </c>
      <c r="C115" s="53" t="s">
        <v>14</v>
      </c>
      <c r="D115" s="53" t="s">
        <v>993</v>
      </c>
      <c r="E115" s="69">
        <v>50100683547664</v>
      </c>
      <c r="F115" s="60" t="s">
        <v>994</v>
      </c>
      <c r="G115" s="53">
        <v>6000</v>
      </c>
      <c r="H115" s="62">
        <v>45920</v>
      </c>
      <c r="I115" s="61" t="s">
        <v>593</v>
      </c>
      <c r="J115" s="61" t="s">
        <v>76</v>
      </c>
      <c r="K115" s="53">
        <v>352503712</v>
      </c>
      <c r="L115" s="60">
        <v>8093441726</v>
      </c>
      <c r="M115" s="55" t="s">
        <v>1170</v>
      </c>
    </row>
    <row r="116" spans="1:13" x14ac:dyDescent="0.25">
      <c r="A116" s="53" t="s">
        <v>12</v>
      </c>
      <c r="B116" s="53" t="s">
        <v>13</v>
      </c>
      <c r="C116" s="53" t="s">
        <v>14</v>
      </c>
      <c r="D116" s="53" t="s">
        <v>993</v>
      </c>
      <c r="E116" s="69">
        <v>50100683547664</v>
      </c>
      <c r="F116" s="60" t="s">
        <v>994</v>
      </c>
      <c r="G116" s="53">
        <v>1500</v>
      </c>
      <c r="H116" s="62">
        <v>45920</v>
      </c>
      <c r="I116" s="61" t="s">
        <v>593</v>
      </c>
      <c r="J116" s="61" t="s">
        <v>76</v>
      </c>
      <c r="K116" s="53">
        <v>352503712</v>
      </c>
      <c r="L116" s="60">
        <v>8093441726</v>
      </c>
      <c r="M116" s="55" t="s">
        <v>1170</v>
      </c>
    </row>
    <row r="117" spans="1:13" x14ac:dyDescent="0.25">
      <c r="A117" s="53" t="s">
        <v>12</v>
      </c>
      <c r="B117" s="53" t="s">
        <v>13</v>
      </c>
      <c r="C117" s="53" t="s">
        <v>14</v>
      </c>
      <c r="D117" s="53" t="s">
        <v>435</v>
      </c>
      <c r="E117" s="53">
        <v>31095925572</v>
      </c>
      <c r="F117" s="60" t="s">
        <v>33</v>
      </c>
      <c r="G117" s="53">
        <v>5200</v>
      </c>
      <c r="H117" s="62">
        <v>45922</v>
      </c>
      <c r="I117" s="61" t="s">
        <v>966</v>
      </c>
      <c r="J117" s="61" t="s">
        <v>967</v>
      </c>
      <c r="K117" s="53">
        <v>352503783</v>
      </c>
      <c r="L117" s="60">
        <v>8084080392</v>
      </c>
      <c r="M117" s="55" t="s">
        <v>1172</v>
      </c>
    </row>
    <row r="118" spans="1:13" x14ac:dyDescent="0.25">
      <c r="A118" s="53" t="s">
        <v>12</v>
      </c>
      <c r="B118" s="53" t="s">
        <v>13</v>
      </c>
      <c r="C118" s="53" t="s">
        <v>14</v>
      </c>
      <c r="D118" s="53" t="s">
        <v>435</v>
      </c>
      <c r="E118" s="53">
        <v>31095925572</v>
      </c>
      <c r="F118" s="60" t="s">
        <v>33</v>
      </c>
      <c r="G118" s="53">
        <v>5200</v>
      </c>
      <c r="H118" s="62">
        <v>45922</v>
      </c>
      <c r="I118" s="61" t="s">
        <v>966</v>
      </c>
      <c r="J118" s="61" t="s">
        <v>967</v>
      </c>
      <c r="K118" s="53">
        <v>352503783</v>
      </c>
      <c r="L118" s="60">
        <v>8084080392</v>
      </c>
      <c r="M118" s="55" t="s">
        <v>1173</v>
      </c>
    </row>
    <row r="119" spans="1:13" x14ac:dyDescent="0.25">
      <c r="A119" s="53" t="s">
        <v>12</v>
      </c>
      <c r="B119" s="53" t="s">
        <v>13</v>
      </c>
      <c r="C119" s="53" t="s">
        <v>14</v>
      </c>
      <c r="D119" s="53" t="s">
        <v>95</v>
      </c>
      <c r="E119" s="53" t="s">
        <v>96</v>
      </c>
      <c r="F119" s="53" t="s">
        <v>33</v>
      </c>
      <c r="G119" s="53">
        <v>5450</v>
      </c>
      <c r="H119" s="62">
        <v>45922</v>
      </c>
      <c r="I119" s="61" t="s">
        <v>571</v>
      </c>
      <c r="J119" s="61" t="s">
        <v>59</v>
      </c>
      <c r="K119" s="53">
        <v>352503740</v>
      </c>
      <c r="L119" s="53">
        <v>8159025834</v>
      </c>
      <c r="M119" s="55" t="s">
        <v>1171</v>
      </c>
    </row>
    <row r="120" spans="1:13" x14ac:dyDescent="0.25">
      <c r="A120" s="53" t="s">
        <v>12</v>
      </c>
      <c r="B120" s="53" t="s">
        <v>13</v>
      </c>
      <c r="C120" s="53" t="s">
        <v>14</v>
      </c>
      <c r="D120" s="53" t="s">
        <v>108</v>
      </c>
      <c r="E120" s="53" t="s">
        <v>109</v>
      </c>
      <c r="F120" s="53" t="s">
        <v>110</v>
      </c>
      <c r="G120" s="53">
        <v>5450</v>
      </c>
      <c r="H120" s="62">
        <v>45922</v>
      </c>
      <c r="I120" s="61" t="s">
        <v>898</v>
      </c>
      <c r="J120" s="61" t="s">
        <v>899</v>
      </c>
      <c r="K120" s="53">
        <v>352503771</v>
      </c>
      <c r="L120" s="53">
        <v>7870570436</v>
      </c>
      <c r="M120" s="55" t="s">
        <v>1171</v>
      </c>
    </row>
    <row r="121" spans="1:13" x14ac:dyDescent="0.25">
      <c r="A121" s="53" t="s">
        <v>12</v>
      </c>
      <c r="B121" s="53" t="s">
        <v>13</v>
      </c>
      <c r="C121" s="53" t="s">
        <v>14</v>
      </c>
      <c r="D121" s="53" t="s">
        <v>36</v>
      </c>
      <c r="E121" s="53" t="s">
        <v>37</v>
      </c>
      <c r="F121" s="53" t="s">
        <v>38</v>
      </c>
      <c r="G121" s="53">
        <v>1500</v>
      </c>
      <c r="H121" s="62">
        <v>45922</v>
      </c>
      <c r="I121" s="53" t="s">
        <v>902</v>
      </c>
      <c r="J121" s="53" t="s">
        <v>901</v>
      </c>
      <c r="K121" s="53">
        <v>352503787</v>
      </c>
      <c r="L121" s="53">
        <v>9358936441</v>
      </c>
      <c r="M121" s="55" t="s">
        <v>1174</v>
      </c>
    </row>
    <row r="122" spans="1:13" x14ac:dyDescent="0.25">
      <c r="A122" s="53" t="s">
        <v>12</v>
      </c>
      <c r="B122" s="53" t="s">
        <v>13</v>
      </c>
      <c r="C122" s="53" t="s">
        <v>14</v>
      </c>
      <c r="D122" s="53" t="s">
        <v>144</v>
      </c>
      <c r="E122" s="53">
        <v>42542201947</v>
      </c>
      <c r="F122" s="53" t="s">
        <v>145</v>
      </c>
      <c r="G122" s="53">
        <v>1500</v>
      </c>
      <c r="H122" s="62">
        <v>45922</v>
      </c>
      <c r="I122" s="53" t="s">
        <v>652</v>
      </c>
      <c r="J122" s="53" t="s">
        <v>147</v>
      </c>
      <c r="K122" s="53">
        <v>352503788</v>
      </c>
      <c r="L122" s="53">
        <v>7765824237</v>
      </c>
      <c r="M122" s="55" t="s">
        <v>1174</v>
      </c>
    </row>
    <row r="123" spans="1:13" x14ac:dyDescent="0.25">
      <c r="A123" s="53" t="s">
        <v>12</v>
      </c>
      <c r="B123" s="53" t="s">
        <v>13</v>
      </c>
      <c r="C123" s="53" t="s">
        <v>14</v>
      </c>
      <c r="D123" s="53" t="s">
        <v>36</v>
      </c>
      <c r="E123" s="53" t="s">
        <v>37</v>
      </c>
      <c r="F123" s="53" t="s">
        <v>38</v>
      </c>
      <c r="G123" s="53">
        <v>5450</v>
      </c>
      <c r="H123" s="62">
        <v>45922</v>
      </c>
      <c r="I123" s="53" t="s">
        <v>902</v>
      </c>
      <c r="J123" s="53" t="s">
        <v>901</v>
      </c>
      <c r="K123" s="53">
        <v>352503787</v>
      </c>
      <c r="L123" s="53">
        <v>9358936441</v>
      </c>
      <c r="M123" s="55" t="s">
        <v>1171</v>
      </c>
    </row>
    <row r="124" spans="1:13" x14ac:dyDescent="0.25">
      <c r="A124" s="53" t="s">
        <v>12</v>
      </c>
      <c r="B124" s="53" t="s">
        <v>13</v>
      </c>
      <c r="C124" s="53" t="s">
        <v>14</v>
      </c>
      <c r="D124" s="53" t="s">
        <v>144</v>
      </c>
      <c r="E124" s="53">
        <v>42542201947</v>
      </c>
      <c r="F124" s="53" t="s">
        <v>145</v>
      </c>
      <c r="G124" s="53">
        <v>5200</v>
      </c>
      <c r="H124" s="62">
        <v>45922</v>
      </c>
      <c r="I124" s="53" t="s">
        <v>652</v>
      </c>
      <c r="J124" s="53" t="s">
        <v>147</v>
      </c>
      <c r="K124" s="53">
        <v>352503788</v>
      </c>
      <c r="L124" s="53">
        <v>7765824237</v>
      </c>
      <c r="M124" s="55" t="s">
        <v>1173</v>
      </c>
    </row>
    <row r="125" spans="1:13" x14ac:dyDescent="0.25">
      <c r="A125" s="61" t="s">
        <v>12</v>
      </c>
      <c r="B125" s="61" t="s">
        <v>13</v>
      </c>
      <c r="C125" s="61" t="s">
        <v>14</v>
      </c>
      <c r="D125" s="61" t="s">
        <v>31</v>
      </c>
      <c r="E125" s="61" t="s">
        <v>32</v>
      </c>
      <c r="F125" s="61" t="s">
        <v>33</v>
      </c>
      <c r="G125" s="53">
        <v>1000</v>
      </c>
      <c r="H125" s="62">
        <v>45922</v>
      </c>
      <c r="I125" s="61" t="s">
        <v>741</v>
      </c>
      <c r="J125" s="61" t="s">
        <v>22</v>
      </c>
      <c r="K125" s="53">
        <v>352503773</v>
      </c>
      <c r="L125" s="61">
        <v>9347726061</v>
      </c>
      <c r="M125" s="55" t="s">
        <v>1175</v>
      </c>
    </row>
    <row r="126" spans="1:13" x14ac:dyDescent="0.25">
      <c r="A126" s="53" t="s">
        <v>12</v>
      </c>
      <c r="B126" s="53" t="s">
        <v>13</v>
      </c>
      <c r="C126" s="53" t="s">
        <v>14</v>
      </c>
      <c r="D126" s="53" t="s">
        <v>108</v>
      </c>
      <c r="E126" s="53" t="s">
        <v>109</v>
      </c>
      <c r="F126" s="53" t="s">
        <v>110</v>
      </c>
      <c r="G126" s="53">
        <v>1500</v>
      </c>
      <c r="H126" s="62">
        <v>45923</v>
      </c>
      <c r="I126" s="61" t="s">
        <v>898</v>
      </c>
      <c r="J126" s="61" t="s">
        <v>899</v>
      </c>
      <c r="K126" s="53">
        <v>352503812</v>
      </c>
      <c r="L126" s="53">
        <v>7870570436</v>
      </c>
      <c r="M126" s="55" t="s">
        <v>1176</v>
      </c>
    </row>
    <row r="127" spans="1:13" x14ac:dyDescent="0.25">
      <c r="A127" s="53" t="s">
        <v>12</v>
      </c>
      <c r="B127" s="53" t="s">
        <v>13</v>
      </c>
      <c r="C127" s="53" t="s">
        <v>14</v>
      </c>
      <c r="D127" s="53" t="s">
        <v>95</v>
      </c>
      <c r="E127" s="53" t="s">
        <v>96</v>
      </c>
      <c r="F127" s="53" t="s">
        <v>33</v>
      </c>
      <c r="G127" s="53">
        <v>1500</v>
      </c>
      <c r="H127" s="62">
        <v>45923</v>
      </c>
      <c r="I127" s="61" t="s">
        <v>571</v>
      </c>
      <c r="J127" s="61" t="s">
        <v>59</v>
      </c>
      <c r="K127" s="53">
        <v>352503813</v>
      </c>
      <c r="L127" s="53">
        <v>8159025834</v>
      </c>
      <c r="M127" s="55" t="s">
        <v>1176</v>
      </c>
    </row>
    <row r="128" spans="1:13" x14ac:dyDescent="0.25">
      <c r="A128" s="53" t="s">
        <v>12</v>
      </c>
      <c r="B128" s="53" t="s">
        <v>13</v>
      </c>
      <c r="C128" s="53" t="s">
        <v>14</v>
      </c>
      <c r="D128" s="53" t="s">
        <v>95</v>
      </c>
      <c r="E128" s="53" t="s">
        <v>96</v>
      </c>
      <c r="F128" s="53" t="s">
        <v>33</v>
      </c>
      <c r="G128" s="53">
        <v>5450</v>
      </c>
      <c r="H128" s="62">
        <v>45923</v>
      </c>
      <c r="I128" s="61" t="s">
        <v>571</v>
      </c>
      <c r="J128" s="61" t="s">
        <v>59</v>
      </c>
      <c r="K128" s="53">
        <v>352503813</v>
      </c>
      <c r="L128" s="53">
        <v>8159025834</v>
      </c>
      <c r="M128" s="55" t="s">
        <v>392</v>
      </c>
    </row>
    <row r="129" spans="1:13" x14ac:dyDescent="0.25">
      <c r="A129" s="53" t="s">
        <v>12</v>
      </c>
      <c r="B129" s="53" t="s">
        <v>13</v>
      </c>
      <c r="C129" s="53" t="s">
        <v>14</v>
      </c>
      <c r="D129" s="53" t="s">
        <v>936</v>
      </c>
      <c r="E129" s="54">
        <v>29230100027591</v>
      </c>
      <c r="F129" s="53" t="s">
        <v>937</v>
      </c>
      <c r="G129" s="53">
        <v>5450</v>
      </c>
      <c r="H129" s="62">
        <v>45923</v>
      </c>
      <c r="I129" s="61" t="s">
        <v>895</v>
      </c>
      <c r="J129" s="61" t="s">
        <v>896</v>
      </c>
      <c r="K129" s="53">
        <v>352503799</v>
      </c>
      <c r="L129" s="53">
        <v>6202164591</v>
      </c>
      <c r="M129" s="55" t="s">
        <v>392</v>
      </c>
    </row>
    <row r="130" spans="1:13" x14ac:dyDescent="0.25">
      <c r="A130" s="53" t="s">
        <v>12</v>
      </c>
      <c r="B130" s="53" t="s">
        <v>13</v>
      </c>
      <c r="C130" s="53" t="s">
        <v>14</v>
      </c>
      <c r="D130" s="53" t="s">
        <v>435</v>
      </c>
      <c r="E130" s="53">
        <v>31095925572</v>
      </c>
      <c r="F130" s="60" t="s">
        <v>33</v>
      </c>
      <c r="G130" s="53">
        <v>6400</v>
      </c>
      <c r="H130" s="62">
        <v>45923</v>
      </c>
      <c r="I130" s="61" t="s">
        <v>966</v>
      </c>
      <c r="J130" s="61" t="s">
        <v>967</v>
      </c>
      <c r="K130" s="53">
        <v>352503803</v>
      </c>
      <c r="L130" s="60">
        <v>8084080392</v>
      </c>
      <c r="M130" s="55" t="s">
        <v>393</v>
      </c>
    </row>
    <row r="131" spans="1:13" x14ac:dyDescent="0.25">
      <c r="A131" s="53" t="s">
        <v>12</v>
      </c>
      <c r="B131" s="53" t="s">
        <v>13</v>
      </c>
      <c r="C131" s="53" t="s">
        <v>14</v>
      </c>
      <c r="D131" s="53" t="s">
        <v>108</v>
      </c>
      <c r="E131" s="53" t="s">
        <v>109</v>
      </c>
      <c r="F131" s="53" t="s">
        <v>110</v>
      </c>
      <c r="G131" s="53">
        <v>7700</v>
      </c>
      <c r="H131" s="62">
        <v>45923</v>
      </c>
      <c r="I131" s="61" t="s">
        <v>898</v>
      </c>
      <c r="J131" s="61" t="s">
        <v>899</v>
      </c>
      <c r="K131" s="53">
        <v>352503812</v>
      </c>
      <c r="L131" s="53">
        <v>7870570436</v>
      </c>
      <c r="M131" s="55" t="s">
        <v>1177</v>
      </c>
    </row>
    <row r="132" spans="1:13" x14ac:dyDescent="0.25">
      <c r="A132" s="53" t="s">
        <v>12</v>
      </c>
      <c r="B132" s="53" t="s">
        <v>13</v>
      </c>
      <c r="C132" s="53" t="s">
        <v>14</v>
      </c>
      <c r="D132" s="53" t="s">
        <v>36</v>
      </c>
      <c r="E132" s="53" t="s">
        <v>37</v>
      </c>
      <c r="F132" s="53" t="s">
        <v>38</v>
      </c>
      <c r="G132" s="53">
        <v>1900</v>
      </c>
      <c r="H132" s="62">
        <v>45924</v>
      </c>
      <c r="I132" s="53" t="s">
        <v>902</v>
      </c>
      <c r="J132" s="53" t="s">
        <v>901</v>
      </c>
      <c r="K132" s="53">
        <v>352503814</v>
      </c>
      <c r="L132" s="53">
        <v>9358936441</v>
      </c>
      <c r="M132" s="55" t="s">
        <v>1176</v>
      </c>
    </row>
    <row r="133" spans="1:13" x14ac:dyDescent="0.25">
      <c r="A133" s="53" t="s">
        <v>12</v>
      </c>
      <c r="B133" s="53" t="s">
        <v>13</v>
      </c>
      <c r="C133" s="53" t="s">
        <v>14</v>
      </c>
      <c r="D133" s="53" t="s">
        <v>36</v>
      </c>
      <c r="E133" s="53" t="s">
        <v>37</v>
      </c>
      <c r="F133" s="53" t="s">
        <v>38</v>
      </c>
      <c r="G133" s="53">
        <v>7500</v>
      </c>
      <c r="H133" s="62">
        <v>45924</v>
      </c>
      <c r="I133" s="53" t="s">
        <v>902</v>
      </c>
      <c r="J133" s="53" t="s">
        <v>901</v>
      </c>
      <c r="K133" s="53">
        <v>352503814</v>
      </c>
      <c r="L133" s="53">
        <v>9358936441</v>
      </c>
      <c r="M133" s="55" t="s">
        <v>1178</v>
      </c>
    </row>
    <row r="134" spans="1:13" x14ac:dyDescent="0.25">
      <c r="A134" s="53" t="s">
        <v>12</v>
      </c>
      <c r="B134" s="53" t="s">
        <v>13</v>
      </c>
      <c r="C134" s="53" t="s">
        <v>14</v>
      </c>
      <c r="D134" s="53" t="s">
        <v>993</v>
      </c>
      <c r="E134" s="69">
        <v>50100683547664</v>
      </c>
      <c r="F134" s="60" t="s">
        <v>994</v>
      </c>
      <c r="G134" s="53">
        <v>6400</v>
      </c>
      <c r="H134" s="62">
        <v>45924</v>
      </c>
      <c r="I134" s="61" t="s">
        <v>593</v>
      </c>
      <c r="J134" s="61" t="s">
        <v>76</v>
      </c>
      <c r="K134" s="53">
        <v>352503774</v>
      </c>
      <c r="L134" s="60">
        <v>8093441726</v>
      </c>
      <c r="M134" s="55" t="s">
        <v>398</v>
      </c>
    </row>
    <row r="135" spans="1:13" x14ac:dyDescent="0.25">
      <c r="A135" s="53" t="s">
        <v>12</v>
      </c>
      <c r="B135" s="53" t="s">
        <v>13</v>
      </c>
      <c r="C135" s="53" t="s">
        <v>14</v>
      </c>
      <c r="D135" s="53" t="s">
        <v>144</v>
      </c>
      <c r="E135" s="53">
        <v>42542201947</v>
      </c>
      <c r="F135" s="53" t="s">
        <v>145</v>
      </c>
      <c r="G135" s="53">
        <v>3950</v>
      </c>
      <c r="H135" s="62">
        <v>45924</v>
      </c>
      <c r="I135" s="53" t="s">
        <v>652</v>
      </c>
      <c r="J135" s="53" t="s">
        <v>147</v>
      </c>
      <c r="K135" s="53">
        <v>352503827</v>
      </c>
      <c r="L135" s="53">
        <v>7765824237</v>
      </c>
      <c r="M135" s="55" t="s">
        <v>1210</v>
      </c>
    </row>
    <row r="136" spans="1:13" x14ac:dyDescent="0.25">
      <c r="A136" s="53" t="s">
        <v>12</v>
      </c>
      <c r="B136" s="53" t="s">
        <v>13</v>
      </c>
      <c r="C136" s="53" t="s">
        <v>14</v>
      </c>
      <c r="D136" s="53" t="s">
        <v>936</v>
      </c>
      <c r="E136" s="54">
        <v>29230100027591</v>
      </c>
      <c r="F136" s="53" t="s">
        <v>937</v>
      </c>
      <c r="G136" s="53">
        <v>5450</v>
      </c>
      <c r="H136" s="62">
        <v>45924</v>
      </c>
      <c r="I136" s="61" t="s">
        <v>895</v>
      </c>
      <c r="J136" s="61" t="s">
        <v>896</v>
      </c>
      <c r="K136" s="53">
        <v>352503828</v>
      </c>
      <c r="L136" s="53">
        <v>6202164591</v>
      </c>
      <c r="M136" s="55" t="s">
        <v>1179</v>
      </c>
    </row>
    <row r="137" spans="1:13" x14ac:dyDescent="0.25">
      <c r="A137" s="53" t="s">
        <v>12</v>
      </c>
      <c r="B137" s="53" t="s">
        <v>13</v>
      </c>
      <c r="C137" s="53" t="s">
        <v>14</v>
      </c>
      <c r="D137" s="53" t="s">
        <v>108</v>
      </c>
      <c r="E137" s="53" t="s">
        <v>109</v>
      </c>
      <c r="F137" s="53" t="s">
        <v>110</v>
      </c>
      <c r="G137" s="53">
        <v>5450</v>
      </c>
      <c r="H137" s="62">
        <v>45924</v>
      </c>
      <c r="I137" s="61" t="s">
        <v>898</v>
      </c>
      <c r="J137" s="61" t="s">
        <v>899</v>
      </c>
      <c r="K137" s="53">
        <v>352503837</v>
      </c>
      <c r="L137" s="53">
        <v>7870570436</v>
      </c>
      <c r="M137" s="55" t="s">
        <v>1179</v>
      </c>
    </row>
    <row r="138" spans="1:13" x14ac:dyDescent="0.25">
      <c r="A138" s="53" t="s">
        <v>12</v>
      </c>
      <c r="B138" s="53" t="s">
        <v>13</v>
      </c>
      <c r="C138" s="53" t="s">
        <v>14</v>
      </c>
      <c r="D138" s="53" t="s">
        <v>95</v>
      </c>
      <c r="E138" s="53" t="s">
        <v>96</v>
      </c>
      <c r="F138" s="53" t="s">
        <v>33</v>
      </c>
      <c r="G138" s="53">
        <v>1500</v>
      </c>
      <c r="H138" s="62">
        <v>45924</v>
      </c>
      <c r="I138" s="61" t="s">
        <v>571</v>
      </c>
      <c r="J138" s="61" t="s">
        <v>59</v>
      </c>
      <c r="K138" s="53">
        <v>352503840</v>
      </c>
      <c r="L138" s="53">
        <v>8159025834</v>
      </c>
      <c r="M138" s="55" t="s">
        <v>1180</v>
      </c>
    </row>
    <row r="139" spans="1:13" x14ac:dyDescent="0.25">
      <c r="A139" s="53" t="s">
        <v>12</v>
      </c>
      <c r="B139" s="53" t="s">
        <v>13</v>
      </c>
      <c r="C139" s="53" t="s">
        <v>14</v>
      </c>
      <c r="D139" s="53" t="s">
        <v>95</v>
      </c>
      <c r="E139" s="53" t="s">
        <v>96</v>
      </c>
      <c r="F139" s="53" t="s">
        <v>33</v>
      </c>
      <c r="G139" s="53">
        <v>7700</v>
      </c>
      <c r="H139" s="62">
        <v>45924</v>
      </c>
      <c r="I139" s="61" t="s">
        <v>571</v>
      </c>
      <c r="J139" s="61" t="s">
        <v>59</v>
      </c>
      <c r="K139" s="53">
        <v>352503840</v>
      </c>
      <c r="L139" s="53">
        <v>8159025834</v>
      </c>
      <c r="M139" s="55" t="s">
        <v>1181</v>
      </c>
    </row>
    <row r="140" spans="1:13" x14ac:dyDescent="0.25">
      <c r="A140" s="53" t="s">
        <v>12</v>
      </c>
      <c r="B140" s="53" t="s">
        <v>13</v>
      </c>
      <c r="C140" s="53" t="s">
        <v>14</v>
      </c>
      <c r="D140" s="53" t="s">
        <v>48</v>
      </c>
      <c r="E140" s="53" t="s">
        <v>49</v>
      </c>
      <c r="F140" s="53" t="s">
        <v>50</v>
      </c>
      <c r="G140" s="53">
        <v>5000</v>
      </c>
      <c r="H140" s="62">
        <v>45924</v>
      </c>
      <c r="I140" s="53" t="s">
        <v>903</v>
      </c>
      <c r="J140" s="53" t="s">
        <v>904</v>
      </c>
      <c r="K140" s="53">
        <v>352503836</v>
      </c>
      <c r="L140" s="53">
        <v>8520078561</v>
      </c>
      <c r="M140" s="55" t="s">
        <v>1182</v>
      </c>
    </row>
    <row r="141" spans="1:13" x14ac:dyDescent="0.25">
      <c r="A141" s="53" t="s">
        <v>12</v>
      </c>
      <c r="B141" s="53" t="s">
        <v>13</v>
      </c>
      <c r="C141" s="53" t="s">
        <v>14</v>
      </c>
      <c r="D141" s="53" t="s">
        <v>435</v>
      </c>
      <c r="E141" s="53">
        <v>31095925572</v>
      </c>
      <c r="F141" s="60" t="s">
        <v>33</v>
      </c>
      <c r="G141" s="53">
        <v>5000</v>
      </c>
      <c r="H141" s="62">
        <v>45924</v>
      </c>
      <c r="I141" s="61" t="s">
        <v>966</v>
      </c>
      <c r="J141" s="61" t="s">
        <v>967</v>
      </c>
      <c r="K141" s="53">
        <v>352503833</v>
      </c>
      <c r="L141" s="60">
        <v>8084080392</v>
      </c>
      <c r="M141" s="77" t="s">
        <v>690</v>
      </c>
    </row>
    <row r="142" spans="1:13" x14ac:dyDescent="0.25">
      <c r="A142" s="53" t="s">
        <v>12</v>
      </c>
      <c r="B142" s="53" t="s">
        <v>13</v>
      </c>
      <c r="C142" s="53" t="s">
        <v>14</v>
      </c>
      <c r="D142" s="53" t="s">
        <v>108</v>
      </c>
      <c r="E142" s="53" t="s">
        <v>109</v>
      </c>
      <c r="F142" s="53" t="s">
        <v>110</v>
      </c>
      <c r="G142" s="53">
        <v>5000</v>
      </c>
      <c r="H142" s="62">
        <v>45924</v>
      </c>
      <c r="I142" s="61" t="s">
        <v>898</v>
      </c>
      <c r="J142" s="61" t="s">
        <v>899</v>
      </c>
      <c r="K142" s="53">
        <v>352503837</v>
      </c>
      <c r="L142" s="53">
        <v>7870570436</v>
      </c>
      <c r="M142" s="77" t="s">
        <v>690</v>
      </c>
    </row>
    <row r="143" spans="1:13" x14ac:dyDescent="0.25">
      <c r="A143" s="53" t="s">
        <v>12</v>
      </c>
      <c r="B143" s="53" t="s">
        <v>13</v>
      </c>
      <c r="C143" s="53" t="s">
        <v>14</v>
      </c>
      <c r="D143" s="53" t="s">
        <v>36</v>
      </c>
      <c r="E143" s="53" t="s">
        <v>37</v>
      </c>
      <c r="F143" s="53" t="s">
        <v>38</v>
      </c>
      <c r="G143" s="53">
        <v>1000</v>
      </c>
      <c r="H143" s="62">
        <v>45925</v>
      </c>
      <c r="I143" s="53" t="s">
        <v>902</v>
      </c>
      <c r="J143" s="53" t="s">
        <v>901</v>
      </c>
      <c r="K143" s="53">
        <v>352503843</v>
      </c>
      <c r="L143" s="53">
        <v>9358936441</v>
      </c>
      <c r="M143" s="55" t="s">
        <v>1183</v>
      </c>
    </row>
    <row r="144" spans="1:13" x14ac:dyDescent="0.25">
      <c r="A144" s="61" t="s">
        <v>12</v>
      </c>
      <c r="B144" s="61" t="s">
        <v>13</v>
      </c>
      <c r="C144" s="61" t="s">
        <v>14</v>
      </c>
      <c r="D144" s="61" t="s">
        <v>31</v>
      </c>
      <c r="E144" s="61" t="s">
        <v>32</v>
      </c>
      <c r="F144" s="61" t="s">
        <v>33</v>
      </c>
      <c r="G144" s="53">
        <v>5450</v>
      </c>
      <c r="H144" s="62">
        <v>45925</v>
      </c>
      <c r="I144" s="61" t="s">
        <v>741</v>
      </c>
      <c r="J144" s="61" t="s">
        <v>22</v>
      </c>
      <c r="K144" s="53">
        <v>352503773</v>
      </c>
      <c r="L144" s="61">
        <v>9347726061</v>
      </c>
      <c r="M144" s="55" t="s">
        <v>1184</v>
      </c>
    </row>
    <row r="145" spans="1:13" x14ac:dyDescent="0.25">
      <c r="A145" s="53" t="s">
        <v>12</v>
      </c>
      <c r="B145" s="53" t="s">
        <v>13</v>
      </c>
      <c r="C145" s="53" t="s">
        <v>14</v>
      </c>
      <c r="D145" s="53" t="s">
        <v>993</v>
      </c>
      <c r="E145" s="69">
        <v>50100683547664</v>
      </c>
      <c r="F145" s="60" t="s">
        <v>994</v>
      </c>
      <c r="G145" s="53">
        <v>5450</v>
      </c>
      <c r="H145" s="62">
        <v>45925</v>
      </c>
      <c r="I145" s="61" t="s">
        <v>593</v>
      </c>
      <c r="J145" s="61" t="s">
        <v>76</v>
      </c>
      <c r="K145" s="53">
        <v>352503774</v>
      </c>
      <c r="L145" s="60">
        <v>8093441726</v>
      </c>
      <c r="M145" s="55" t="s">
        <v>1184</v>
      </c>
    </row>
    <row r="146" spans="1:13" x14ac:dyDescent="0.25">
      <c r="A146" s="53" t="s">
        <v>12</v>
      </c>
      <c r="B146" s="53" t="s">
        <v>13</v>
      </c>
      <c r="C146" s="53" t="s">
        <v>14</v>
      </c>
      <c r="D146" s="53" t="s">
        <v>108</v>
      </c>
      <c r="E146" s="53" t="s">
        <v>109</v>
      </c>
      <c r="F146" s="53" t="s">
        <v>110</v>
      </c>
      <c r="G146" s="53">
        <v>5450</v>
      </c>
      <c r="H146" s="62">
        <v>45925</v>
      </c>
      <c r="I146" s="61" t="s">
        <v>898</v>
      </c>
      <c r="J146" s="61" t="s">
        <v>899</v>
      </c>
      <c r="K146" s="53">
        <v>352503859</v>
      </c>
      <c r="L146" s="53">
        <v>7870570436</v>
      </c>
      <c r="M146" s="55" t="s">
        <v>1184</v>
      </c>
    </row>
    <row r="147" spans="1:13" x14ac:dyDescent="0.25">
      <c r="A147" s="53" t="s">
        <v>12</v>
      </c>
      <c r="B147" s="53" t="s">
        <v>13</v>
      </c>
      <c r="C147" s="53" t="s">
        <v>14</v>
      </c>
      <c r="D147" s="53" t="s">
        <v>36</v>
      </c>
      <c r="E147" s="53" t="s">
        <v>37</v>
      </c>
      <c r="F147" s="53" t="s">
        <v>38</v>
      </c>
      <c r="G147" s="53">
        <v>5450</v>
      </c>
      <c r="H147" s="62">
        <v>45925</v>
      </c>
      <c r="I147" s="53" t="s">
        <v>902</v>
      </c>
      <c r="J147" s="53" t="s">
        <v>901</v>
      </c>
      <c r="K147" s="53">
        <v>352503843</v>
      </c>
      <c r="L147" s="53">
        <v>9358936441</v>
      </c>
      <c r="M147" s="55" t="s">
        <v>1184</v>
      </c>
    </row>
    <row r="148" spans="1:13" x14ac:dyDescent="0.25">
      <c r="A148" s="53" t="s">
        <v>12</v>
      </c>
      <c r="B148" s="53" t="s">
        <v>13</v>
      </c>
      <c r="C148" s="53" t="s">
        <v>14</v>
      </c>
      <c r="D148" s="53" t="s">
        <v>936</v>
      </c>
      <c r="E148" s="54">
        <v>29230100027591</v>
      </c>
      <c r="F148" s="53" t="s">
        <v>937</v>
      </c>
      <c r="G148" s="53">
        <v>1900</v>
      </c>
      <c r="H148" s="62">
        <v>45925</v>
      </c>
      <c r="I148" s="61" t="s">
        <v>895</v>
      </c>
      <c r="J148" s="61" t="s">
        <v>896</v>
      </c>
      <c r="K148" s="53">
        <v>352503866</v>
      </c>
      <c r="L148" s="53">
        <v>6202164591</v>
      </c>
      <c r="M148" s="55" t="s">
        <v>1186</v>
      </c>
    </row>
    <row r="149" spans="1:13" x14ac:dyDescent="0.25">
      <c r="A149" s="53" t="s">
        <v>12</v>
      </c>
      <c r="B149" s="53" t="s">
        <v>13</v>
      </c>
      <c r="C149" s="53" t="s">
        <v>14</v>
      </c>
      <c r="D149" s="53" t="s">
        <v>144</v>
      </c>
      <c r="E149" s="53">
        <v>42542201947</v>
      </c>
      <c r="F149" s="53" t="s">
        <v>145</v>
      </c>
      <c r="G149" s="53">
        <v>1900</v>
      </c>
      <c r="H149" s="62">
        <v>45925</v>
      </c>
      <c r="I149" s="53" t="s">
        <v>652</v>
      </c>
      <c r="J149" s="53" t="s">
        <v>147</v>
      </c>
      <c r="K149" s="53">
        <v>352503867</v>
      </c>
      <c r="L149" s="53">
        <v>7765824237</v>
      </c>
      <c r="M149" s="55" t="s">
        <v>1186</v>
      </c>
    </row>
    <row r="150" spans="1:13" x14ac:dyDescent="0.25">
      <c r="A150" s="53" t="s">
        <v>12</v>
      </c>
      <c r="B150" s="53" t="s">
        <v>13</v>
      </c>
      <c r="C150" s="53" t="s">
        <v>14</v>
      </c>
      <c r="D150" s="53" t="s">
        <v>466</v>
      </c>
      <c r="E150" s="53" t="s">
        <v>467</v>
      </c>
      <c r="F150" s="53" t="s">
        <v>468</v>
      </c>
      <c r="G150" s="53">
        <v>10000</v>
      </c>
      <c r="H150" s="62">
        <v>45925</v>
      </c>
      <c r="I150" s="53" t="s">
        <v>1185</v>
      </c>
      <c r="J150" s="53" t="s">
        <v>470</v>
      </c>
      <c r="K150" s="53">
        <v>352503865</v>
      </c>
      <c r="L150" s="53">
        <v>8687714453</v>
      </c>
      <c r="M150" s="77" t="s">
        <v>690</v>
      </c>
    </row>
    <row r="151" spans="1:13" x14ac:dyDescent="0.25">
      <c r="A151" s="61" t="s">
        <v>12</v>
      </c>
      <c r="B151" s="61" t="s">
        <v>13</v>
      </c>
      <c r="C151" s="61" t="s">
        <v>14</v>
      </c>
      <c r="D151" s="61" t="s">
        <v>31</v>
      </c>
      <c r="E151" s="61" t="s">
        <v>32</v>
      </c>
      <c r="F151" s="61" t="s">
        <v>33</v>
      </c>
      <c r="G151" s="53">
        <v>1900</v>
      </c>
      <c r="H151" s="62">
        <v>45926</v>
      </c>
      <c r="I151" s="61" t="s">
        <v>741</v>
      </c>
      <c r="J151" s="61" t="s">
        <v>22</v>
      </c>
      <c r="K151" s="53">
        <v>352503900</v>
      </c>
      <c r="L151" s="61">
        <v>9347726061</v>
      </c>
      <c r="M151" s="55" t="s">
        <v>1187</v>
      </c>
    </row>
    <row r="152" spans="1:13" x14ac:dyDescent="0.25">
      <c r="A152" s="53" t="s">
        <v>12</v>
      </c>
      <c r="B152" s="53" t="s">
        <v>13</v>
      </c>
      <c r="C152" s="53" t="s">
        <v>14</v>
      </c>
      <c r="D152" s="53" t="s">
        <v>993</v>
      </c>
      <c r="E152" s="69">
        <v>50100683547664</v>
      </c>
      <c r="F152" s="60" t="s">
        <v>994</v>
      </c>
      <c r="G152" s="53">
        <v>1900</v>
      </c>
      <c r="H152" s="62">
        <v>45926</v>
      </c>
      <c r="I152" s="61" t="s">
        <v>593</v>
      </c>
      <c r="J152" s="61" t="s">
        <v>76</v>
      </c>
      <c r="K152" s="53">
        <v>352503901</v>
      </c>
      <c r="L152" s="60">
        <v>8093441726</v>
      </c>
      <c r="M152" s="55" t="s">
        <v>1187</v>
      </c>
    </row>
    <row r="153" spans="1:13" x14ac:dyDescent="0.25">
      <c r="A153" s="53" t="s">
        <v>12</v>
      </c>
      <c r="B153" s="53" t="s">
        <v>13</v>
      </c>
      <c r="C153" s="53" t="s">
        <v>14</v>
      </c>
      <c r="D153" s="53" t="s">
        <v>108</v>
      </c>
      <c r="E153" s="53" t="s">
        <v>109</v>
      </c>
      <c r="F153" s="53" t="s">
        <v>110</v>
      </c>
      <c r="G153" s="53">
        <v>7500</v>
      </c>
      <c r="H153" s="62">
        <v>45927</v>
      </c>
      <c r="I153" s="61" t="s">
        <v>898</v>
      </c>
      <c r="J153" s="61" t="s">
        <v>899</v>
      </c>
      <c r="K153" s="53">
        <v>352503887</v>
      </c>
      <c r="L153" s="53">
        <v>7870570436</v>
      </c>
      <c r="M153" s="55" t="s">
        <v>1188</v>
      </c>
    </row>
    <row r="154" spans="1:13" x14ac:dyDescent="0.25">
      <c r="A154" s="61" t="s">
        <v>12</v>
      </c>
      <c r="B154" s="61" t="s">
        <v>13</v>
      </c>
      <c r="C154" s="61" t="s">
        <v>14</v>
      </c>
      <c r="D154" s="61" t="s">
        <v>31</v>
      </c>
      <c r="E154" s="61" t="s">
        <v>32</v>
      </c>
      <c r="F154" s="61" t="s">
        <v>33</v>
      </c>
      <c r="G154" s="53">
        <v>7500</v>
      </c>
      <c r="H154" s="62">
        <v>45927</v>
      </c>
      <c r="I154" s="61" t="s">
        <v>741</v>
      </c>
      <c r="J154" s="61" t="s">
        <v>22</v>
      </c>
      <c r="K154" s="53">
        <v>352503900</v>
      </c>
      <c r="L154" s="61">
        <v>9347726061</v>
      </c>
      <c r="M154" s="55" t="s">
        <v>1188</v>
      </c>
    </row>
    <row r="155" spans="1:13" x14ac:dyDescent="0.25">
      <c r="A155" s="53" t="s">
        <v>12</v>
      </c>
      <c r="B155" s="53" t="s">
        <v>13</v>
      </c>
      <c r="C155" s="53" t="s">
        <v>14</v>
      </c>
      <c r="D155" s="53" t="s">
        <v>144</v>
      </c>
      <c r="E155" s="53">
        <v>42542201947</v>
      </c>
      <c r="F155" s="53" t="s">
        <v>145</v>
      </c>
      <c r="G155" s="53">
        <v>5450</v>
      </c>
      <c r="H155" s="62">
        <v>45927</v>
      </c>
      <c r="I155" s="53" t="s">
        <v>652</v>
      </c>
      <c r="J155" s="53" t="s">
        <v>147</v>
      </c>
      <c r="K155" s="53">
        <v>352503867</v>
      </c>
      <c r="L155" s="53">
        <v>7765824237</v>
      </c>
      <c r="M155" s="55" t="s">
        <v>1189</v>
      </c>
    </row>
    <row r="156" spans="1:13" x14ac:dyDescent="0.25">
      <c r="A156" s="53" t="s">
        <v>12</v>
      </c>
      <c r="B156" s="53" t="s">
        <v>13</v>
      </c>
      <c r="C156" s="53" t="s">
        <v>14</v>
      </c>
      <c r="D156" s="53" t="s">
        <v>936</v>
      </c>
      <c r="E156" s="54">
        <v>29230100027591</v>
      </c>
      <c r="F156" s="53" t="s">
        <v>937</v>
      </c>
      <c r="G156" s="53">
        <v>5450</v>
      </c>
      <c r="H156" s="62">
        <v>45927</v>
      </c>
      <c r="I156" s="61" t="s">
        <v>895</v>
      </c>
      <c r="J156" s="61" t="s">
        <v>896</v>
      </c>
      <c r="K156" s="53">
        <v>352503866</v>
      </c>
      <c r="L156" s="53">
        <v>6202164591</v>
      </c>
      <c r="M156" s="55" t="s">
        <v>1189</v>
      </c>
    </row>
    <row r="157" spans="1:13" x14ac:dyDescent="0.25">
      <c r="A157" s="53" t="s">
        <v>12</v>
      </c>
      <c r="B157" s="53" t="s">
        <v>13</v>
      </c>
      <c r="C157" s="53" t="s">
        <v>14</v>
      </c>
      <c r="D157" s="53" t="s">
        <v>95</v>
      </c>
      <c r="E157" s="53" t="s">
        <v>96</v>
      </c>
      <c r="F157" s="53" t="s">
        <v>33</v>
      </c>
      <c r="G157" s="53">
        <v>5450</v>
      </c>
      <c r="H157" s="62">
        <v>45927</v>
      </c>
      <c r="I157" s="61" t="s">
        <v>571</v>
      </c>
      <c r="J157" s="61" t="s">
        <v>59</v>
      </c>
      <c r="K157" s="53">
        <v>352503857</v>
      </c>
      <c r="L157" s="53">
        <v>8159025834</v>
      </c>
      <c r="M157" s="55" t="s">
        <v>1189</v>
      </c>
    </row>
    <row r="158" spans="1:13" x14ac:dyDescent="0.25">
      <c r="A158" s="53" t="s">
        <v>12</v>
      </c>
      <c r="B158" s="53" t="s">
        <v>13</v>
      </c>
      <c r="C158" s="53" t="s">
        <v>14</v>
      </c>
      <c r="D158" s="53" t="s">
        <v>435</v>
      </c>
      <c r="E158" s="53">
        <v>31095925572</v>
      </c>
      <c r="F158" s="60" t="s">
        <v>33</v>
      </c>
      <c r="G158" s="53">
        <v>3900</v>
      </c>
      <c r="H158" s="62">
        <v>45927</v>
      </c>
      <c r="I158" s="61" t="s">
        <v>966</v>
      </c>
      <c r="J158" s="61" t="s">
        <v>967</v>
      </c>
      <c r="K158" s="53">
        <v>352503886</v>
      </c>
      <c r="L158" s="60">
        <v>8084080392</v>
      </c>
      <c r="M158" s="55" t="s">
        <v>1189</v>
      </c>
    </row>
    <row r="159" spans="1:13" x14ac:dyDescent="0.25">
      <c r="A159" s="53" t="s">
        <v>12</v>
      </c>
      <c r="B159" s="53" t="s">
        <v>13</v>
      </c>
      <c r="C159" s="53" t="s">
        <v>14</v>
      </c>
      <c r="D159" s="53" t="s">
        <v>993</v>
      </c>
      <c r="E159" s="69">
        <v>50100683547664</v>
      </c>
      <c r="F159" s="60" t="s">
        <v>994</v>
      </c>
      <c r="G159" s="53">
        <v>5450</v>
      </c>
      <c r="H159" s="62">
        <v>45927</v>
      </c>
      <c r="I159" s="61" t="s">
        <v>593</v>
      </c>
      <c r="J159" s="61" t="s">
        <v>76</v>
      </c>
      <c r="K159" s="53">
        <v>352503901</v>
      </c>
      <c r="L159" s="60">
        <v>8093441726</v>
      </c>
      <c r="M159" s="55" t="s">
        <v>1189</v>
      </c>
    </row>
    <row r="160" spans="1:13" x14ac:dyDescent="0.25">
      <c r="A160" s="53" t="s">
        <v>12</v>
      </c>
      <c r="B160" s="53" t="s">
        <v>13</v>
      </c>
      <c r="C160" s="53" t="s">
        <v>14</v>
      </c>
      <c r="D160" s="53" t="s">
        <v>36</v>
      </c>
      <c r="E160" s="53" t="s">
        <v>37</v>
      </c>
      <c r="F160" s="53" t="s">
        <v>38</v>
      </c>
      <c r="G160" s="53">
        <v>5200</v>
      </c>
      <c r="H160" s="62">
        <v>45927</v>
      </c>
      <c r="I160" s="53" t="s">
        <v>902</v>
      </c>
      <c r="J160" s="53" t="s">
        <v>901</v>
      </c>
      <c r="K160" s="53">
        <v>352503888</v>
      </c>
      <c r="L160" s="53">
        <v>9358936441</v>
      </c>
      <c r="M160" s="55" t="s">
        <v>1190</v>
      </c>
    </row>
    <row r="161" spans="1:13" x14ac:dyDescent="0.25">
      <c r="A161" s="53" t="s">
        <v>12</v>
      </c>
      <c r="B161" s="53" t="s">
        <v>13</v>
      </c>
      <c r="C161" s="53" t="s">
        <v>14</v>
      </c>
      <c r="D161" s="53" t="s">
        <v>48</v>
      </c>
      <c r="E161" s="53" t="s">
        <v>49</v>
      </c>
      <c r="F161" s="53" t="s">
        <v>50</v>
      </c>
      <c r="G161" s="53">
        <v>3000</v>
      </c>
      <c r="H161" s="62">
        <v>45927</v>
      </c>
      <c r="I161" s="53" t="s">
        <v>903</v>
      </c>
      <c r="J161" s="53" t="s">
        <v>904</v>
      </c>
      <c r="K161" s="53">
        <v>352503836</v>
      </c>
      <c r="L161" s="53">
        <v>8520078561</v>
      </c>
      <c r="M161" s="55" t="s">
        <v>1191</v>
      </c>
    </row>
    <row r="162" spans="1:13" x14ac:dyDescent="0.25">
      <c r="A162" s="53" t="s">
        <v>12</v>
      </c>
      <c r="B162" s="53" t="s">
        <v>13</v>
      </c>
      <c r="C162" s="53" t="s">
        <v>14</v>
      </c>
      <c r="D162" s="53" t="s">
        <v>108</v>
      </c>
      <c r="E162" s="53" t="s">
        <v>109</v>
      </c>
      <c r="F162" s="53" t="s">
        <v>110</v>
      </c>
      <c r="G162" s="53">
        <v>1000</v>
      </c>
      <c r="H162" s="62">
        <v>45928</v>
      </c>
      <c r="I162" s="61" t="s">
        <v>898</v>
      </c>
      <c r="J162" s="61" t="s">
        <v>899</v>
      </c>
      <c r="K162" s="53">
        <v>352503938</v>
      </c>
      <c r="L162" s="53">
        <v>7870570436</v>
      </c>
      <c r="M162" s="55" t="s">
        <v>1192</v>
      </c>
    </row>
    <row r="163" spans="1:13" x14ac:dyDescent="0.25">
      <c r="A163" s="61" t="s">
        <v>12</v>
      </c>
      <c r="B163" s="61" t="s">
        <v>13</v>
      </c>
      <c r="C163" s="61" t="s">
        <v>14</v>
      </c>
      <c r="D163" s="61" t="s">
        <v>31</v>
      </c>
      <c r="E163" s="61" t="s">
        <v>32</v>
      </c>
      <c r="F163" s="61" t="s">
        <v>33</v>
      </c>
      <c r="G163" s="53">
        <v>1000</v>
      </c>
      <c r="H163" s="62">
        <v>45928</v>
      </c>
      <c r="I163" s="61" t="s">
        <v>741</v>
      </c>
      <c r="J163" s="61" t="s">
        <v>22</v>
      </c>
      <c r="K163" s="53">
        <v>352503900</v>
      </c>
      <c r="L163" s="61">
        <v>9347726061</v>
      </c>
      <c r="M163" s="55" t="s">
        <v>1192</v>
      </c>
    </row>
    <row r="164" spans="1:13" x14ac:dyDescent="0.25">
      <c r="A164" s="53" t="s">
        <v>12</v>
      </c>
      <c r="B164" s="53" t="s">
        <v>13</v>
      </c>
      <c r="C164" s="53" t="s">
        <v>14</v>
      </c>
      <c r="D164" s="53" t="s">
        <v>48</v>
      </c>
      <c r="E164" s="53" t="s">
        <v>49</v>
      </c>
      <c r="F164" s="53" t="s">
        <v>50</v>
      </c>
      <c r="G164" s="53">
        <v>6400</v>
      </c>
      <c r="H164" s="62">
        <v>45928</v>
      </c>
      <c r="I164" s="53" t="s">
        <v>572</v>
      </c>
      <c r="J164" s="53" t="s">
        <v>34</v>
      </c>
      <c r="K164" s="53">
        <v>352503738</v>
      </c>
      <c r="L164" s="53">
        <v>8520078561</v>
      </c>
      <c r="M164" s="55" t="s">
        <v>1193</v>
      </c>
    </row>
    <row r="165" spans="1:13" x14ac:dyDescent="0.25">
      <c r="A165" s="53" t="s">
        <v>12</v>
      </c>
      <c r="B165" s="53" t="s">
        <v>13</v>
      </c>
      <c r="C165" s="53" t="s">
        <v>14</v>
      </c>
      <c r="D165" s="53" t="s">
        <v>936</v>
      </c>
      <c r="E165" s="54">
        <v>29230100027591</v>
      </c>
      <c r="F165" s="53" t="s">
        <v>937</v>
      </c>
      <c r="G165" s="53">
        <v>4950</v>
      </c>
      <c r="H165" s="62">
        <v>45929</v>
      </c>
      <c r="I165" s="61" t="s">
        <v>895</v>
      </c>
      <c r="J165" s="61" t="s">
        <v>896</v>
      </c>
      <c r="K165" s="53">
        <v>352503976</v>
      </c>
      <c r="L165" s="53">
        <v>6202164591</v>
      </c>
      <c r="M165" s="55" t="s">
        <v>1194</v>
      </c>
    </row>
    <row r="166" spans="1:13" x14ac:dyDescent="0.25">
      <c r="A166" s="53" t="s">
        <v>12</v>
      </c>
      <c r="B166" s="53" t="s">
        <v>13</v>
      </c>
      <c r="C166" s="53" t="s">
        <v>14</v>
      </c>
      <c r="D166" s="53" t="s">
        <v>993</v>
      </c>
      <c r="E166" s="69">
        <v>50100683547664</v>
      </c>
      <c r="F166" s="60" t="s">
        <v>994</v>
      </c>
      <c r="G166" s="53">
        <v>1900</v>
      </c>
      <c r="H166" s="62">
        <v>45929</v>
      </c>
      <c r="I166" s="61" t="s">
        <v>593</v>
      </c>
      <c r="J166" s="61" t="s">
        <v>76</v>
      </c>
      <c r="K166" s="53">
        <v>352503977</v>
      </c>
      <c r="L166" s="60">
        <v>8093441726</v>
      </c>
      <c r="M166" s="55" t="s">
        <v>1195</v>
      </c>
    </row>
    <row r="167" spans="1:13" x14ac:dyDescent="0.25">
      <c r="A167" s="53" t="s">
        <v>12</v>
      </c>
      <c r="B167" s="53" t="s">
        <v>13</v>
      </c>
      <c r="C167" s="53" t="s">
        <v>14</v>
      </c>
      <c r="D167" s="53" t="s">
        <v>36</v>
      </c>
      <c r="E167" s="53" t="s">
        <v>37</v>
      </c>
      <c r="F167" s="53" t="s">
        <v>38</v>
      </c>
      <c r="G167" s="53">
        <v>5700</v>
      </c>
      <c r="H167" s="62">
        <v>45929</v>
      </c>
      <c r="I167" s="53" t="s">
        <v>902</v>
      </c>
      <c r="J167" s="53" t="s">
        <v>901</v>
      </c>
      <c r="K167" s="53">
        <v>352503949</v>
      </c>
      <c r="L167" s="53">
        <v>9358936441</v>
      </c>
      <c r="M167" s="55" t="s">
        <v>1196</v>
      </c>
    </row>
    <row r="168" spans="1:13" x14ac:dyDescent="0.25">
      <c r="A168" s="53" t="s">
        <v>12</v>
      </c>
      <c r="B168" s="53" t="s">
        <v>13</v>
      </c>
      <c r="C168" s="53" t="s">
        <v>14</v>
      </c>
      <c r="D168" s="53" t="s">
        <v>144</v>
      </c>
      <c r="E168" s="53">
        <v>42542201947</v>
      </c>
      <c r="F168" s="53" t="s">
        <v>145</v>
      </c>
      <c r="G168" s="53">
        <v>5450</v>
      </c>
      <c r="H168" s="62">
        <v>45929</v>
      </c>
      <c r="I168" s="53" t="s">
        <v>652</v>
      </c>
      <c r="J168" s="53" t="s">
        <v>147</v>
      </c>
      <c r="K168" s="53">
        <v>352503950</v>
      </c>
      <c r="L168" s="53">
        <v>7765824237</v>
      </c>
      <c r="M168" s="55" t="s">
        <v>1197</v>
      </c>
    </row>
    <row r="169" spans="1:13" x14ac:dyDescent="0.25">
      <c r="A169" s="53" t="s">
        <v>12</v>
      </c>
      <c r="B169" s="53" t="s">
        <v>13</v>
      </c>
      <c r="C169" s="53" t="s">
        <v>14</v>
      </c>
      <c r="D169" s="53" t="s">
        <v>435</v>
      </c>
      <c r="E169" s="53">
        <v>31095925572</v>
      </c>
      <c r="F169" s="60" t="s">
        <v>33</v>
      </c>
      <c r="G169" s="53">
        <v>5450</v>
      </c>
      <c r="H169" s="62">
        <v>45929</v>
      </c>
      <c r="I169" s="61" t="s">
        <v>966</v>
      </c>
      <c r="J169" s="61" t="s">
        <v>967</v>
      </c>
      <c r="K169" s="53">
        <v>352503951</v>
      </c>
      <c r="L169" s="60">
        <v>8084080392</v>
      </c>
      <c r="M169" s="55" t="s">
        <v>1197</v>
      </c>
    </row>
    <row r="170" spans="1:13" x14ac:dyDescent="0.25">
      <c r="A170" s="53" t="s">
        <v>12</v>
      </c>
      <c r="B170" s="53" t="s">
        <v>13</v>
      </c>
      <c r="C170" s="53" t="s">
        <v>14</v>
      </c>
      <c r="D170" s="53" t="s">
        <v>95</v>
      </c>
      <c r="E170" s="53" t="s">
        <v>96</v>
      </c>
      <c r="F170" s="53" t="s">
        <v>33</v>
      </c>
      <c r="G170" s="53">
        <v>5450</v>
      </c>
      <c r="H170" s="62">
        <v>45929</v>
      </c>
      <c r="I170" s="61" t="s">
        <v>571</v>
      </c>
      <c r="J170" s="61" t="s">
        <v>59</v>
      </c>
      <c r="K170" s="53">
        <v>352503952</v>
      </c>
      <c r="L170" s="53">
        <v>8159025834</v>
      </c>
      <c r="M170" s="55" t="s">
        <v>1197</v>
      </c>
    </row>
    <row r="171" spans="1:13" x14ac:dyDescent="0.25">
      <c r="A171" s="53" t="s">
        <v>12</v>
      </c>
      <c r="B171" s="53" t="s">
        <v>13</v>
      </c>
      <c r="C171" s="53" t="s">
        <v>14</v>
      </c>
      <c r="D171" s="53" t="s">
        <v>48</v>
      </c>
      <c r="E171" s="53" t="s">
        <v>49</v>
      </c>
      <c r="F171" s="53" t="s">
        <v>50</v>
      </c>
      <c r="G171" s="53">
        <v>6300</v>
      </c>
      <c r="H171" s="62">
        <v>45929</v>
      </c>
      <c r="I171" s="53" t="s">
        <v>572</v>
      </c>
      <c r="J171" s="53" t="s">
        <v>34</v>
      </c>
      <c r="K171" s="53">
        <v>352503942</v>
      </c>
      <c r="L171" s="53">
        <v>8520078561</v>
      </c>
      <c r="M171" s="55" t="s">
        <v>1198</v>
      </c>
    </row>
    <row r="172" spans="1:13" x14ac:dyDescent="0.25">
      <c r="A172" s="53" t="s">
        <v>12</v>
      </c>
      <c r="B172" s="53" t="s">
        <v>13</v>
      </c>
      <c r="C172" s="53" t="s">
        <v>14</v>
      </c>
      <c r="D172" s="53" t="s">
        <v>36</v>
      </c>
      <c r="E172" s="53" t="s">
        <v>37</v>
      </c>
      <c r="F172" s="53" t="s">
        <v>38</v>
      </c>
      <c r="G172" s="53">
        <v>1900</v>
      </c>
      <c r="H172" s="62">
        <v>45930</v>
      </c>
      <c r="I172" s="53" t="s">
        <v>902</v>
      </c>
      <c r="J172" s="53" t="s">
        <v>901</v>
      </c>
      <c r="K172" s="53">
        <v>352503995</v>
      </c>
      <c r="L172" s="53">
        <v>9358936441</v>
      </c>
      <c r="M172" s="55" t="s">
        <v>1199</v>
      </c>
    </row>
    <row r="173" spans="1:13" x14ac:dyDescent="0.25">
      <c r="A173" s="53" t="s">
        <v>12</v>
      </c>
      <c r="B173" s="53" t="s">
        <v>13</v>
      </c>
      <c r="C173" s="53" t="s">
        <v>14</v>
      </c>
      <c r="D173" s="53" t="s">
        <v>993</v>
      </c>
      <c r="E173" s="69">
        <v>50100683547664</v>
      </c>
      <c r="F173" s="60" t="s">
        <v>994</v>
      </c>
      <c r="G173" s="53">
        <v>5400</v>
      </c>
      <c r="H173" s="62">
        <v>45930</v>
      </c>
      <c r="I173" s="61" t="s">
        <v>593</v>
      </c>
      <c r="J173" s="61" t="s">
        <v>76</v>
      </c>
      <c r="K173" s="53">
        <v>352503977</v>
      </c>
      <c r="L173" s="60">
        <v>8093441726</v>
      </c>
      <c r="M173" s="55" t="s">
        <v>1200</v>
      </c>
    </row>
  </sheetData>
  <autoFilter ref="A1:M173"/>
  <pageMargins left="0.7" right="0.7" top="0.75" bottom="0.75" header="0.3" footer="0.3"/>
  <pageSetup orientation="portrait" r:id="rId1"/>
  <ignoredErrors>
    <ignoredError sqref="C2:C4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1"/>
  <sheetViews>
    <sheetView workbookViewId="0">
      <pane ySplit="1" topLeftCell="A2" activePane="bottomLeft" state="frozen"/>
      <selection pane="bottomLeft"/>
    </sheetView>
  </sheetViews>
  <sheetFormatPr defaultRowHeight="12" x14ac:dyDescent="0.25"/>
  <cols>
    <col min="1" max="1" width="17.77734375" style="59" customWidth="1"/>
    <col min="2" max="2" width="9.77734375" style="59" customWidth="1"/>
    <col min="3" max="3" width="13" style="59" customWidth="1"/>
    <col min="4" max="4" width="14" style="59" bestFit="1" customWidth="1"/>
    <col min="5" max="5" width="15.33203125" style="59" bestFit="1" customWidth="1"/>
    <col min="6" max="6" width="12.44140625" style="59" bestFit="1" customWidth="1"/>
    <col min="7" max="7" width="9" style="59" customWidth="1"/>
    <col min="8" max="8" width="13.33203125" style="59" bestFit="1" customWidth="1"/>
    <col min="9" max="9" width="15" style="59" bestFit="1" customWidth="1"/>
    <col min="10" max="10" width="10.77734375" style="59" bestFit="1" customWidth="1"/>
    <col min="11" max="11" width="9" style="59" customWidth="1"/>
    <col min="12" max="12" width="12.109375" style="59" customWidth="1"/>
    <col min="13" max="13" width="54.88671875" style="59" bestFit="1" customWidth="1"/>
    <col min="14" max="16384" width="8.88671875" style="59"/>
  </cols>
  <sheetData>
    <row r="1" spans="1:13" ht="24" x14ac:dyDescent="0.25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7" t="s">
        <v>7</v>
      </c>
      <c r="I1" s="56" t="s">
        <v>8</v>
      </c>
      <c r="J1" s="56" t="s">
        <v>9</v>
      </c>
      <c r="K1" s="56" t="s">
        <v>10</v>
      </c>
      <c r="L1" s="56" t="s">
        <v>949</v>
      </c>
      <c r="M1" s="58" t="s">
        <v>11</v>
      </c>
    </row>
    <row r="2" spans="1:13" x14ac:dyDescent="0.25">
      <c r="A2" s="53" t="s">
        <v>12</v>
      </c>
      <c r="B2" s="53" t="s">
        <v>13</v>
      </c>
      <c r="C2" s="53" t="s">
        <v>14</v>
      </c>
      <c r="D2" s="53" t="s">
        <v>48</v>
      </c>
      <c r="E2" s="53" t="s">
        <v>49</v>
      </c>
      <c r="F2" s="53" t="s">
        <v>50</v>
      </c>
      <c r="G2" s="53">
        <v>6100</v>
      </c>
      <c r="H2" s="62">
        <v>45934</v>
      </c>
      <c r="I2" s="53" t="s">
        <v>572</v>
      </c>
      <c r="J2" s="53" t="s">
        <v>34</v>
      </c>
      <c r="K2" s="53">
        <v>352503979</v>
      </c>
      <c r="L2" s="53">
        <v>8520078561</v>
      </c>
      <c r="M2" s="55" t="s">
        <v>1201</v>
      </c>
    </row>
    <row r="3" spans="1:13" x14ac:dyDescent="0.25">
      <c r="A3" s="61" t="s">
        <v>12</v>
      </c>
      <c r="B3" s="61" t="s">
        <v>13</v>
      </c>
      <c r="C3" s="61" t="s">
        <v>14</v>
      </c>
      <c r="D3" s="61" t="s">
        <v>31</v>
      </c>
      <c r="E3" s="61" t="s">
        <v>32</v>
      </c>
      <c r="F3" s="61" t="s">
        <v>33</v>
      </c>
      <c r="G3" s="53">
        <v>1000</v>
      </c>
      <c r="H3" s="62">
        <v>45934</v>
      </c>
      <c r="I3" s="61" t="s">
        <v>741</v>
      </c>
      <c r="J3" s="61" t="s">
        <v>22</v>
      </c>
      <c r="K3" s="53">
        <v>352504047</v>
      </c>
      <c r="L3" s="61">
        <v>9347726061</v>
      </c>
      <c r="M3" s="55" t="s">
        <v>1202</v>
      </c>
    </row>
    <row r="4" spans="1:13" x14ac:dyDescent="0.25">
      <c r="A4" s="53" t="s">
        <v>12</v>
      </c>
      <c r="B4" s="53" t="s">
        <v>13</v>
      </c>
      <c r="C4" s="53" t="s">
        <v>14</v>
      </c>
      <c r="D4" s="53" t="s">
        <v>144</v>
      </c>
      <c r="E4" s="53">
        <v>42542201947</v>
      </c>
      <c r="F4" s="53" t="s">
        <v>145</v>
      </c>
      <c r="G4" s="53">
        <v>7500</v>
      </c>
      <c r="H4" s="62">
        <v>45934</v>
      </c>
      <c r="I4" s="53" t="s">
        <v>652</v>
      </c>
      <c r="J4" s="53" t="s">
        <v>147</v>
      </c>
      <c r="K4" s="53">
        <v>352504048</v>
      </c>
      <c r="L4" s="53">
        <v>7765824237</v>
      </c>
      <c r="M4" s="55" t="s">
        <v>1203</v>
      </c>
    </row>
    <row r="5" spans="1:13" x14ac:dyDescent="0.25">
      <c r="A5" s="53" t="s">
        <v>12</v>
      </c>
      <c r="B5" s="53" t="s">
        <v>13</v>
      </c>
      <c r="C5" s="53" t="s">
        <v>14</v>
      </c>
      <c r="D5" s="53" t="s">
        <v>435</v>
      </c>
      <c r="E5" s="53">
        <v>31095925572</v>
      </c>
      <c r="F5" s="60" t="s">
        <v>33</v>
      </c>
      <c r="G5" s="53">
        <v>5450</v>
      </c>
      <c r="H5" s="62">
        <v>45934</v>
      </c>
      <c r="I5" s="61" t="s">
        <v>966</v>
      </c>
      <c r="J5" s="61" t="s">
        <v>967</v>
      </c>
      <c r="K5" s="53">
        <v>352504049</v>
      </c>
      <c r="L5" s="60">
        <v>8084080392</v>
      </c>
      <c r="M5" s="55" t="s">
        <v>1204</v>
      </c>
    </row>
    <row r="6" spans="1:13" x14ac:dyDescent="0.25">
      <c r="A6" s="53" t="s">
        <v>12</v>
      </c>
      <c r="B6" s="53" t="s">
        <v>13</v>
      </c>
      <c r="C6" s="53" t="s">
        <v>14</v>
      </c>
      <c r="D6" s="53" t="s">
        <v>95</v>
      </c>
      <c r="E6" s="53" t="s">
        <v>96</v>
      </c>
      <c r="F6" s="53" t="s">
        <v>33</v>
      </c>
      <c r="G6" s="53">
        <v>5450</v>
      </c>
      <c r="H6" s="62">
        <v>45934</v>
      </c>
      <c r="I6" s="61" t="s">
        <v>571</v>
      </c>
      <c r="J6" s="61" t="s">
        <v>59</v>
      </c>
      <c r="K6" s="53">
        <v>352504050</v>
      </c>
      <c r="L6" s="53">
        <v>8159025834</v>
      </c>
      <c r="M6" s="55" t="s">
        <v>1204</v>
      </c>
    </row>
    <row r="7" spans="1:13" x14ac:dyDescent="0.25">
      <c r="A7" s="53" t="s">
        <v>12</v>
      </c>
      <c r="B7" s="53" t="s">
        <v>13</v>
      </c>
      <c r="C7" s="53" t="s">
        <v>14</v>
      </c>
      <c r="D7" s="53" t="s">
        <v>936</v>
      </c>
      <c r="E7" s="54">
        <v>29230100027591</v>
      </c>
      <c r="F7" s="53" t="s">
        <v>937</v>
      </c>
      <c r="G7" s="53">
        <v>3950</v>
      </c>
      <c r="H7" s="62">
        <v>45934</v>
      </c>
      <c r="I7" s="61" t="s">
        <v>895</v>
      </c>
      <c r="J7" s="61" t="s">
        <v>896</v>
      </c>
      <c r="K7" s="53">
        <v>352503976</v>
      </c>
      <c r="L7" s="53">
        <v>6202164591</v>
      </c>
      <c r="M7" s="55" t="s">
        <v>1211</v>
      </c>
    </row>
    <row r="8" spans="1:13" x14ac:dyDescent="0.25">
      <c r="A8" s="53" t="s">
        <v>12</v>
      </c>
      <c r="B8" s="53" t="s">
        <v>13</v>
      </c>
      <c r="C8" s="53" t="s">
        <v>14</v>
      </c>
      <c r="D8" s="53" t="s">
        <v>48</v>
      </c>
      <c r="E8" s="53" t="s">
        <v>49</v>
      </c>
      <c r="F8" s="53" t="s">
        <v>50</v>
      </c>
      <c r="G8" s="53">
        <v>1000</v>
      </c>
      <c r="H8" s="62">
        <v>45936</v>
      </c>
      <c r="I8" s="53" t="s">
        <v>572</v>
      </c>
      <c r="J8" s="53" t="s">
        <v>34</v>
      </c>
      <c r="K8" s="53">
        <v>352504066</v>
      </c>
      <c r="L8" s="53">
        <v>8520078561</v>
      </c>
      <c r="M8" s="55" t="s">
        <v>1205</v>
      </c>
    </row>
    <row r="9" spans="1:13" x14ac:dyDescent="0.25">
      <c r="A9" s="53" t="s">
        <v>12</v>
      </c>
      <c r="B9" s="53" t="s">
        <v>13</v>
      </c>
      <c r="C9" s="53" t="s">
        <v>14</v>
      </c>
      <c r="D9" s="53" t="s">
        <v>144</v>
      </c>
      <c r="E9" s="53">
        <v>42542201947</v>
      </c>
      <c r="F9" s="53" t="s">
        <v>145</v>
      </c>
      <c r="G9" s="53">
        <v>1000</v>
      </c>
      <c r="H9" s="62">
        <v>45936</v>
      </c>
      <c r="I9" s="53" t="s">
        <v>652</v>
      </c>
      <c r="J9" s="53" t="s">
        <v>147</v>
      </c>
      <c r="K9" s="53">
        <v>352504067</v>
      </c>
      <c r="L9" s="53">
        <v>7765824237</v>
      </c>
      <c r="M9" s="55" t="s">
        <v>1205</v>
      </c>
    </row>
    <row r="10" spans="1:13" x14ac:dyDescent="0.25">
      <c r="A10" s="53" t="s">
        <v>12</v>
      </c>
      <c r="B10" s="53" t="s">
        <v>13</v>
      </c>
      <c r="C10" s="53" t="s">
        <v>14</v>
      </c>
      <c r="D10" s="53" t="s">
        <v>435</v>
      </c>
      <c r="E10" s="53">
        <v>31095925572</v>
      </c>
      <c r="F10" s="60" t="s">
        <v>33</v>
      </c>
      <c r="G10" s="53">
        <v>5200</v>
      </c>
      <c r="H10" s="62">
        <v>45936</v>
      </c>
      <c r="I10" s="61" t="s">
        <v>966</v>
      </c>
      <c r="J10" s="61" t="s">
        <v>967</v>
      </c>
      <c r="K10" s="53">
        <v>352504068</v>
      </c>
      <c r="L10" s="60">
        <v>8084080392</v>
      </c>
      <c r="M10" s="55" t="s">
        <v>1206</v>
      </c>
    </row>
    <row r="11" spans="1:13" x14ac:dyDescent="0.25">
      <c r="A11" s="53" t="s">
        <v>12</v>
      </c>
      <c r="B11" s="53" t="s">
        <v>13</v>
      </c>
      <c r="C11" s="53" t="s">
        <v>14</v>
      </c>
      <c r="D11" s="53" t="s">
        <v>36</v>
      </c>
      <c r="E11" s="53" t="s">
        <v>37</v>
      </c>
      <c r="F11" s="53" t="s">
        <v>38</v>
      </c>
      <c r="G11" s="53">
        <v>4500</v>
      </c>
      <c r="H11" s="62">
        <v>45936</v>
      </c>
      <c r="I11" s="53" t="s">
        <v>902</v>
      </c>
      <c r="J11" s="53" t="s">
        <v>901</v>
      </c>
      <c r="K11" s="53">
        <v>352503995</v>
      </c>
      <c r="L11" s="53">
        <v>9358936441</v>
      </c>
      <c r="M11" s="55" t="s">
        <v>1215</v>
      </c>
    </row>
    <row r="12" spans="1:13" x14ac:dyDescent="0.25">
      <c r="A12" s="53" t="s">
        <v>12</v>
      </c>
      <c r="B12" s="53" t="s">
        <v>13</v>
      </c>
      <c r="C12" s="53" t="s">
        <v>14</v>
      </c>
      <c r="D12" s="53" t="s">
        <v>95</v>
      </c>
      <c r="E12" s="53" t="s">
        <v>96</v>
      </c>
      <c r="F12" s="53" t="s">
        <v>33</v>
      </c>
      <c r="G12" s="53">
        <v>4500</v>
      </c>
      <c r="H12" s="62">
        <v>45936</v>
      </c>
      <c r="I12" s="61" t="s">
        <v>571</v>
      </c>
      <c r="J12" s="61" t="s">
        <v>59</v>
      </c>
      <c r="K12" s="53">
        <v>352504069</v>
      </c>
      <c r="L12" s="53">
        <v>8159025834</v>
      </c>
      <c r="M12" s="55" t="s">
        <v>1207</v>
      </c>
    </row>
    <row r="13" spans="1:13" x14ac:dyDescent="0.25">
      <c r="A13" s="53" t="s">
        <v>12</v>
      </c>
      <c r="B13" s="53" t="s">
        <v>13</v>
      </c>
      <c r="C13" s="53" t="s">
        <v>14</v>
      </c>
      <c r="D13" s="53" t="s">
        <v>936</v>
      </c>
      <c r="E13" s="54">
        <v>29230100027591</v>
      </c>
      <c r="F13" s="53" t="s">
        <v>937</v>
      </c>
      <c r="G13" s="53">
        <v>4500</v>
      </c>
      <c r="H13" s="62">
        <v>45936</v>
      </c>
      <c r="I13" s="61" t="s">
        <v>895</v>
      </c>
      <c r="J13" s="61" t="s">
        <v>896</v>
      </c>
      <c r="K13" s="53">
        <v>352504070</v>
      </c>
      <c r="L13" s="53">
        <v>6202164591</v>
      </c>
      <c r="M13" s="55" t="s">
        <v>1207</v>
      </c>
    </row>
    <row r="14" spans="1:13" x14ac:dyDescent="0.25">
      <c r="A14" s="53" t="s">
        <v>12</v>
      </c>
      <c r="B14" s="53" t="s">
        <v>13</v>
      </c>
      <c r="C14" s="53" t="s">
        <v>14</v>
      </c>
      <c r="D14" s="53" t="s">
        <v>993</v>
      </c>
      <c r="E14" s="69">
        <v>50100683547664</v>
      </c>
      <c r="F14" s="60" t="s">
        <v>994</v>
      </c>
      <c r="G14" s="53">
        <v>3500</v>
      </c>
      <c r="H14" s="62">
        <v>45937</v>
      </c>
      <c r="I14" s="61" t="s">
        <v>593</v>
      </c>
      <c r="J14" s="61" t="s">
        <v>76</v>
      </c>
      <c r="K14" s="53">
        <v>352504086</v>
      </c>
      <c r="L14" s="60">
        <v>8093441726</v>
      </c>
      <c r="M14" s="55" t="s">
        <v>1212</v>
      </c>
    </row>
    <row r="15" spans="1:13" x14ac:dyDescent="0.25">
      <c r="A15" s="53" t="s">
        <v>12</v>
      </c>
      <c r="B15" s="53" t="s">
        <v>13</v>
      </c>
      <c r="C15" s="53" t="s">
        <v>14</v>
      </c>
      <c r="D15" s="53" t="s">
        <v>36</v>
      </c>
      <c r="E15" s="53" t="s">
        <v>37</v>
      </c>
      <c r="F15" s="53" t="s">
        <v>38</v>
      </c>
      <c r="G15" s="53">
        <v>1500</v>
      </c>
      <c r="H15" s="62">
        <v>45937</v>
      </c>
      <c r="I15" s="53" t="s">
        <v>902</v>
      </c>
      <c r="J15" s="53" t="s">
        <v>901</v>
      </c>
      <c r="K15" s="53">
        <v>352504094</v>
      </c>
      <c r="L15" s="53">
        <v>9358936441</v>
      </c>
      <c r="M15" s="55" t="s">
        <v>1215</v>
      </c>
    </row>
    <row r="16" spans="1:13" x14ac:dyDescent="0.25">
      <c r="A16" s="53" t="s">
        <v>12</v>
      </c>
      <c r="B16" s="53" t="s">
        <v>13</v>
      </c>
      <c r="C16" s="53" t="s">
        <v>14</v>
      </c>
      <c r="D16" s="53" t="s">
        <v>95</v>
      </c>
      <c r="E16" s="53" t="s">
        <v>96</v>
      </c>
      <c r="F16" s="53" t="s">
        <v>33</v>
      </c>
      <c r="G16" s="53">
        <v>1000</v>
      </c>
      <c r="H16" s="62">
        <v>45937</v>
      </c>
      <c r="I16" s="61" t="s">
        <v>571</v>
      </c>
      <c r="J16" s="61" t="s">
        <v>59</v>
      </c>
      <c r="K16" s="53">
        <v>352504096</v>
      </c>
      <c r="L16" s="53">
        <v>8159025834</v>
      </c>
      <c r="M16" s="55" t="s">
        <v>1207</v>
      </c>
    </row>
    <row r="17" spans="1:13" x14ac:dyDescent="0.25">
      <c r="A17" s="53" t="s">
        <v>12</v>
      </c>
      <c r="B17" s="53" t="s">
        <v>13</v>
      </c>
      <c r="C17" s="53" t="s">
        <v>14</v>
      </c>
      <c r="D17" s="53" t="s">
        <v>936</v>
      </c>
      <c r="E17" s="54">
        <v>29230100027591</v>
      </c>
      <c r="F17" s="53" t="s">
        <v>937</v>
      </c>
      <c r="G17" s="53">
        <v>1000</v>
      </c>
      <c r="H17" s="62">
        <v>45937</v>
      </c>
      <c r="I17" s="61" t="s">
        <v>895</v>
      </c>
      <c r="J17" s="61" t="s">
        <v>896</v>
      </c>
      <c r="K17" s="53">
        <v>352504095</v>
      </c>
      <c r="L17" s="53">
        <v>6202164591</v>
      </c>
      <c r="M17" s="55" t="s">
        <v>1207</v>
      </c>
    </row>
    <row r="18" spans="1:13" x14ac:dyDescent="0.25">
      <c r="A18" s="53" t="s">
        <v>12</v>
      </c>
      <c r="B18" s="53" t="s">
        <v>13</v>
      </c>
      <c r="C18" s="53" t="s">
        <v>14</v>
      </c>
      <c r="D18" s="53" t="s">
        <v>144</v>
      </c>
      <c r="E18" s="53">
        <v>42542201947</v>
      </c>
      <c r="F18" s="53" t="s">
        <v>145</v>
      </c>
      <c r="G18" s="53">
        <v>6400</v>
      </c>
      <c r="H18" s="62">
        <v>45937</v>
      </c>
      <c r="I18" s="53" t="s">
        <v>652</v>
      </c>
      <c r="J18" s="53" t="s">
        <v>147</v>
      </c>
      <c r="K18" s="53">
        <v>352504067</v>
      </c>
      <c r="L18" s="53">
        <v>7765824237</v>
      </c>
      <c r="M18" s="55" t="s">
        <v>1213</v>
      </c>
    </row>
    <row r="19" spans="1:13" x14ac:dyDescent="0.25">
      <c r="A19" s="53" t="s">
        <v>12</v>
      </c>
      <c r="B19" s="53" t="s">
        <v>13</v>
      </c>
      <c r="C19" s="53" t="s">
        <v>14</v>
      </c>
      <c r="D19" s="53" t="s">
        <v>95</v>
      </c>
      <c r="E19" s="53" t="s">
        <v>96</v>
      </c>
      <c r="F19" s="53" t="s">
        <v>33</v>
      </c>
      <c r="G19" s="53">
        <v>5200</v>
      </c>
      <c r="H19" s="62">
        <v>45937</v>
      </c>
      <c r="I19" s="61" t="s">
        <v>571</v>
      </c>
      <c r="J19" s="61" t="s">
        <v>59</v>
      </c>
      <c r="K19" s="53">
        <v>352504096</v>
      </c>
      <c r="L19" s="53">
        <v>8159025834</v>
      </c>
      <c r="M19" s="55" t="s">
        <v>422</v>
      </c>
    </row>
    <row r="20" spans="1:13" x14ac:dyDescent="0.25">
      <c r="A20" s="53" t="s">
        <v>12</v>
      </c>
      <c r="B20" s="53" t="s">
        <v>13</v>
      </c>
      <c r="C20" s="53" t="s">
        <v>14</v>
      </c>
      <c r="D20" s="53" t="s">
        <v>993</v>
      </c>
      <c r="E20" s="69">
        <v>50100683547664</v>
      </c>
      <c r="F20" s="60" t="s">
        <v>994</v>
      </c>
      <c r="G20" s="53">
        <v>5200</v>
      </c>
      <c r="H20" s="62">
        <v>45937</v>
      </c>
      <c r="I20" s="61" t="s">
        <v>593</v>
      </c>
      <c r="J20" s="61" t="s">
        <v>76</v>
      </c>
      <c r="K20" s="53">
        <v>352504086</v>
      </c>
      <c r="L20" s="60">
        <v>8093441726</v>
      </c>
      <c r="M20" s="55" t="s">
        <v>422</v>
      </c>
    </row>
    <row r="21" spans="1:13" x14ac:dyDescent="0.25">
      <c r="A21" s="53" t="s">
        <v>12</v>
      </c>
      <c r="B21" s="53" t="s">
        <v>13</v>
      </c>
      <c r="C21" s="53" t="s">
        <v>14</v>
      </c>
      <c r="D21" s="53" t="s">
        <v>36</v>
      </c>
      <c r="E21" s="53" t="s">
        <v>37</v>
      </c>
      <c r="F21" s="53" t="s">
        <v>38</v>
      </c>
      <c r="G21" s="53">
        <v>5450</v>
      </c>
      <c r="H21" s="62">
        <v>45937</v>
      </c>
      <c r="I21" s="53" t="s">
        <v>902</v>
      </c>
      <c r="J21" s="53" t="s">
        <v>901</v>
      </c>
      <c r="K21" s="53">
        <v>352504094</v>
      </c>
      <c r="L21" s="53">
        <v>9358936441</v>
      </c>
      <c r="M21" s="55" t="s">
        <v>1214</v>
      </c>
    </row>
    <row r="22" spans="1:13" x14ac:dyDescent="0.25">
      <c r="A22" s="53" t="s">
        <v>12</v>
      </c>
      <c r="B22" s="53" t="s">
        <v>13</v>
      </c>
      <c r="C22" s="53" t="s">
        <v>14</v>
      </c>
      <c r="D22" s="53" t="s">
        <v>936</v>
      </c>
      <c r="E22" s="54">
        <v>29230100027591</v>
      </c>
      <c r="F22" s="53" t="s">
        <v>937</v>
      </c>
      <c r="G22" s="53">
        <v>5450</v>
      </c>
      <c r="H22" s="62">
        <v>45937</v>
      </c>
      <c r="I22" s="61" t="s">
        <v>895</v>
      </c>
      <c r="J22" s="61" t="s">
        <v>896</v>
      </c>
      <c r="K22" s="53">
        <v>352504095</v>
      </c>
      <c r="L22" s="53">
        <v>6202164591</v>
      </c>
      <c r="M22" s="55" t="s">
        <v>1214</v>
      </c>
    </row>
    <row r="23" spans="1:13" x14ac:dyDescent="0.25">
      <c r="A23" s="53" t="s">
        <v>12</v>
      </c>
      <c r="B23" s="53" t="s">
        <v>13</v>
      </c>
      <c r="C23" s="53" t="s">
        <v>14</v>
      </c>
      <c r="D23" s="53" t="s">
        <v>993</v>
      </c>
      <c r="E23" s="69">
        <v>50100683547664</v>
      </c>
      <c r="F23" s="60" t="s">
        <v>994</v>
      </c>
      <c r="G23" s="53">
        <v>1500</v>
      </c>
      <c r="H23" s="62">
        <v>45938</v>
      </c>
      <c r="I23" s="61" t="s">
        <v>593</v>
      </c>
      <c r="J23" s="61" t="s">
        <v>76</v>
      </c>
      <c r="K23" s="53">
        <v>352504118</v>
      </c>
      <c r="L23" s="60">
        <v>8093441726</v>
      </c>
      <c r="M23" s="55" t="s">
        <v>1216</v>
      </c>
    </row>
    <row r="24" spans="1:13" x14ac:dyDescent="0.25">
      <c r="A24" s="61" t="s">
        <v>12</v>
      </c>
      <c r="B24" s="61" t="s">
        <v>13</v>
      </c>
      <c r="C24" s="61" t="s">
        <v>14</v>
      </c>
      <c r="D24" s="61" t="s">
        <v>31</v>
      </c>
      <c r="E24" s="61" t="s">
        <v>32</v>
      </c>
      <c r="F24" s="61" t="s">
        <v>33</v>
      </c>
      <c r="G24" s="53">
        <v>7500</v>
      </c>
      <c r="H24" s="62">
        <v>45938</v>
      </c>
      <c r="I24" s="61" t="s">
        <v>741</v>
      </c>
      <c r="J24" s="61" t="s">
        <v>22</v>
      </c>
      <c r="K24" s="53">
        <v>352504047</v>
      </c>
      <c r="L24" s="61">
        <v>9347726061</v>
      </c>
      <c r="M24" s="55" t="s">
        <v>1217</v>
      </c>
    </row>
    <row r="25" spans="1:13" x14ac:dyDescent="0.25">
      <c r="A25" s="53" t="s">
        <v>12</v>
      </c>
      <c r="B25" s="53" t="s">
        <v>13</v>
      </c>
      <c r="C25" s="53" t="s">
        <v>14</v>
      </c>
      <c r="D25" s="53" t="s">
        <v>95</v>
      </c>
      <c r="E25" s="53" t="s">
        <v>96</v>
      </c>
      <c r="F25" s="53" t="s">
        <v>33</v>
      </c>
      <c r="G25" s="53">
        <v>6000</v>
      </c>
      <c r="H25" s="62">
        <v>45938</v>
      </c>
      <c r="I25" s="61" t="s">
        <v>571</v>
      </c>
      <c r="J25" s="61" t="s">
        <v>59</v>
      </c>
      <c r="K25" s="53">
        <v>352504119</v>
      </c>
      <c r="L25" s="53">
        <v>8159025834</v>
      </c>
      <c r="M25" s="55" t="s">
        <v>1218</v>
      </c>
    </row>
    <row r="26" spans="1:13" x14ac:dyDescent="0.25">
      <c r="A26" s="53" t="s">
        <v>12</v>
      </c>
      <c r="B26" s="53" t="s">
        <v>13</v>
      </c>
      <c r="C26" s="53" t="s">
        <v>14</v>
      </c>
      <c r="D26" s="53" t="s">
        <v>936</v>
      </c>
      <c r="E26" s="54">
        <v>29230100027591</v>
      </c>
      <c r="F26" s="53" t="s">
        <v>937</v>
      </c>
      <c r="G26" s="53">
        <v>7500</v>
      </c>
      <c r="H26" s="62">
        <v>45938</v>
      </c>
      <c r="I26" s="61" t="s">
        <v>895</v>
      </c>
      <c r="J26" s="61" t="s">
        <v>896</v>
      </c>
      <c r="K26" s="53">
        <v>352504124</v>
      </c>
      <c r="L26" s="53">
        <v>6202164591</v>
      </c>
      <c r="M26" s="55" t="s">
        <v>1219</v>
      </c>
    </row>
    <row r="27" spans="1:13" x14ac:dyDescent="0.25">
      <c r="A27" s="53" t="s">
        <v>12</v>
      </c>
      <c r="B27" s="53" t="s">
        <v>13</v>
      </c>
      <c r="C27" s="53" t="s">
        <v>14</v>
      </c>
      <c r="D27" s="53" t="s">
        <v>36</v>
      </c>
      <c r="E27" s="53" t="s">
        <v>37</v>
      </c>
      <c r="F27" s="53" t="s">
        <v>38</v>
      </c>
      <c r="G27" s="53">
        <v>5200</v>
      </c>
      <c r="H27" s="62">
        <v>45938</v>
      </c>
      <c r="I27" s="53" t="s">
        <v>902</v>
      </c>
      <c r="J27" s="53" t="s">
        <v>901</v>
      </c>
      <c r="K27" s="53">
        <v>352504125</v>
      </c>
      <c r="L27" s="53">
        <v>9358936441</v>
      </c>
      <c r="M27" s="55" t="s">
        <v>1220</v>
      </c>
    </row>
    <row r="28" spans="1:13" x14ac:dyDescent="0.25">
      <c r="A28" s="53" t="s">
        <v>12</v>
      </c>
      <c r="B28" s="53" t="s">
        <v>13</v>
      </c>
      <c r="C28" s="53" t="s">
        <v>14</v>
      </c>
      <c r="D28" s="53" t="s">
        <v>435</v>
      </c>
      <c r="E28" s="53">
        <v>31095925572</v>
      </c>
      <c r="F28" s="60" t="s">
        <v>33</v>
      </c>
      <c r="G28" s="53">
        <v>3950</v>
      </c>
      <c r="H28" s="62">
        <v>45938</v>
      </c>
      <c r="I28" s="61" t="s">
        <v>966</v>
      </c>
      <c r="J28" s="61" t="s">
        <v>967</v>
      </c>
      <c r="K28" s="53">
        <v>352504088</v>
      </c>
      <c r="L28" s="60">
        <v>8084080392</v>
      </c>
      <c r="M28" s="55" t="s">
        <v>1221</v>
      </c>
    </row>
    <row r="29" spans="1:13" x14ac:dyDescent="0.25">
      <c r="A29" s="53" t="s">
        <v>12</v>
      </c>
      <c r="B29" s="53" t="s">
        <v>13</v>
      </c>
      <c r="C29" s="53" t="s">
        <v>14</v>
      </c>
      <c r="D29" s="53" t="s">
        <v>144</v>
      </c>
      <c r="E29" s="53">
        <v>42542201947</v>
      </c>
      <c r="F29" s="53" t="s">
        <v>145</v>
      </c>
      <c r="G29" s="53">
        <v>5450</v>
      </c>
      <c r="H29" s="62">
        <v>45938</v>
      </c>
      <c r="I29" s="53" t="s">
        <v>652</v>
      </c>
      <c r="J29" s="53" t="s">
        <v>147</v>
      </c>
      <c r="K29" s="53">
        <v>352504114</v>
      </c>
      <c r="L29" s="53">
        <v>7765824237</v>
      </c>
      <c r="M29" s="55" t="s">
        <v>1222</v>
      </c>
    </row>
    <row r="30" spans="1:13" x14ac:dyDescent="0.25">
      <c r="A30" s="53" t="s">
        <v>12</v>
      </c>
      <c r="B30" s="53" t="s">
        <v>13</v>
      </c>
      <c r="C30" s="53" t="s">
        <v>14</v>
      </c>
      <c r="D30" s="53" t="s">
        <v>48</v>
      </c>
      <c r="E30" s="53" t="s">
        <v>49</v>
      </c>
      <c r="F30" s="53" t="s">
        <v>50</v>
      </c>
      <c r="G30" s="53">
        <v>1000</v>
      </c>
      <c r="H30" s="62">
        <v>45938</v>
      </c>
      <c r="I30" s="53" t="s">
        <v>572</v>
      </c>
      <c r="J30" s="53" t="s">
        <v>34</v>
      </c>
      <c r="K30" s="53">
        <v>352504110</v>
      </c>
      <c r="L30" s="53">
        <v>8520078561</v>
      </c>
      <c r="M30" s="55" t="s">
        <v>1223</v>
      </c>
    </row>
    <row r="31" spans="1:13" x14ac:dyDescent="0.25">
      <c r="A31" s="53" t="s">
        <v>12</v>
      </c>
      <c r="B31" s="53" t="s">
        <v>13</v>
      </c>
      <c r="C31" s="53" t="s">
        <v>14</v>
      </c>
      <c r="D31" s="53" t="s">
        <v>108</v>
      </c>
      <c r="E31" s="53" t="s">
        <v>109</v>
      </c>
      <c r="F31" s="53" t="s">
        <v>110</v>
      </c>
      <c r="G31" s="53">
        <v>1000</v>
      </c>
      <c r="H31" s="62">
        <v>45938</v>
      </c>
      <c r="I31" s="61" t="s">
        <v>898</v>
      </c>
      <c r="J31" s="61" t="s">
        <v>899</v>
      </c>
      <c r="K31" s="53">
        <v>352504111</v>
      </c>
      <c r="L31" s="53">
        <v>7870570436</v>
      </c>
      <c r="M31" s="55" t="s">
        <v>1223</v>
      </c>
    </row>
    <row r="32" spans="1:13" x14ac:dyDescent="0.25">
      <c r="A32" s="53" t="s">
        <v>12</v>
      </c>
      <c r="B32" s="53" t="s">
        <v>13</v>
      </c>
      <c r="C32" s="53" t="s">
        <v>14</v>
      </c>
      <c r="D32" s="53" t="s">
        <v>36</v>
      </c>
      <c r="E32" s="53" t="s">
        <v>37</v>
      </c>
      <c r="F32" s="53" t="s">
        <v>38</v>
      </c>
      <c r="G32" s="53">
        <v>1500</v>
      </c>
      <c r="H32" s="62">
        <v>45938</v>
      </c>
      <c r="I32" s="53" t="s">
        <v>902</v>
      </c>
      <c r="J32" s="53" t="s">
        <v>901</v>
      </c>
      <c r="K32" s="53">
        <v>352504130</v>
      </c>
      <c r="L32" s="53">
        <v>9358936441</v>
      </c>
      <c r="M32" s="55" t="s">
        <v>1224</v>
      </c>
    </row>
    <row r="33" spans="1:13" x14ac:dyDescent="0.25">
      <c r="A33" s="53" t="s">
        <v>12</v>
      </c>
      <c r="B33" s="53" t="s">
        <v>13</v>
      </c>
      <c r="C33" s="53" t="s">
        <v>14</v>
      </c>
      <c r="D33" s="53" t="s">
        <v>144</v>
      </c>
      <c r="E33" s="53">
        <v>44182579159</v>
      </c>
      <c r="F33" s="53" t="s">
        <v>145</v>
      </c>
      <c r="G33" s="53">
        <v>4950</v>
      </c>
      <c r="H33" s="62">
        <v>45939</v>
      </c>
      <c r="I33" s="53" t="s">
        <v>652</v>
      </c>
      <c r="J33" s="53" t="s">
        <v>147</v>
      </c>
      <c r="K33" s="53">
        <v>352504147</v>
      </c>
      <c r="L33" s="53">
        <v>7765824237</v>
      </c>
      <c r="M33" s="55" t="s">
        <v>1225</v>
      </c>
    </row>
    <row r="34" spans="1:13" x14ac:dyDescent="0.25">
      <c r="A34" s="53" t="s">
        <v>12</v>
      </c>
      <c r="B34" s="53" t="s">
        <v>13</v>
      </c>
      <c r="C34" s="53" t="s">
        <v>14</v>
      </c>
      <c r="D34" s="53" t="s">
        <v>36</v>
      </c>
      <c r="E34" s="53" t="s">
        <v>37</v>
      </c>
      <c r="F34" s="53" t="s">
        <v>38</v>
      </c>
      <c r="G34" s="53">
        <v>3950</v>
      </c>
      <c r="H34" s="62">
        <v>45939</v>
      </c>
      <c r="I34" s="53" t="s">
        <v>902</v>
      </c>
      <c r="J34" s="53" t="s">
        <v>901</v>
      </c>
      <c r="K34" s="53">
        <v>352504145</v>
      </c>
      <c r="L34" s="53">
        <v>9358936441</v>
      </c>
      <c r="M34" s="55" t="s">
        <v>1226</v>
      </c>
    </row>
    <row r="35" spans="1:13" x14ac:dyDescent="0.25">
      <c r="A35" s="53" t="s">
        <v>12</v>
      </c>
      <c r="B35" s="53" t="s">
        <v>13</v>
      </c>
      <c r="C35" s="53" t="s">
        <v>14</v>
      </c>
      <c r="D35" s="53" t="s">
        <v>435</v>
      </c>
      <c r="E35" s="53">
        <v>31095925572</v>
      </c>
      <c r="F35" s="60" t="s">
        <v>33</v>
      </c>
      <c r="G35" s="53">
        <v>5450</v>
      </c>
      <c r="H35" s="62">
        <v>45939</v>
      </c>
      <c r="I35" s="61" t="s">
        <v>966</v>
      </c>
      <c r="J35" s="61" t="s">
        <v>967</v>
      </c>
      <c r="K35" s="53">
        <v>352504146</v>
      </c>
      <c r="L35" s="60">
        <v>8084080392</v>
      </c>
      <c r="M35" s="55" t="s">
        <v>1222</v>
      </c>
    </row>
    <row r="36" spans="1:13" x14ac:dyDescent="0.25">
      <c r="A36" s="53" t="s">
        <v>12</v>
      </c>
      <c r="B36" s="53" t="s">
        <v>13</v>
      </c>
      <c r="C36" s="53" t="s">
        <v>14</v>
      </c>
      <c r="D36" s="53" t="s">
        <v>108</v>
      </c>
      <c r="E36" s="53" t="s">
        <v>109</v>
      </c>
      <c r="F36" s="53" t="s">
        <v>110</v>
      </c>
      <c r="G36" s="53">
        <v>5450</v>
      </c>
      <c r="H36" s="62">
        <v>45939</v>
      </c>
      <c r="I36" s="61" t="s">
        <v>898</v>
      </c>
      <c r="J36" s="61" t="s">
        <v>899</v>
      </c>
      <c r="K36" s="53">
        <v>352504111</v>
      </c>
      <c r="L36" s="53">
        <v>7870570436</v>
      </c>
      <c r="M36" s="55" t="s">
        <v>1222</v>
      </c>
    </row>
    <row r="37" spans="1:13" x14ac:dyDescent="0.25">
      <c r="A37" s="53" t="s">
        <v>12</v>
      </c>
      <c r="B37" s="53" t="s">
        <v>13</v>
      </c>
      <c r="C37" s="53" t="s">
        <v>14</v>
      </c>
      <c r="D37" s="53" t="s">
        <v>48</v>
      </c>
      <c r="E37" s="53" t="s">
        <v>49</v>
      </c>
      <c r="F37" s="53" t="s">
        <v>50</v>
      </c>
      <c r="G37" s="53">
        <v>5200</v>
      </c>
      <c r="H37" s="62">
        <v>45939</v>
      </c>
      <c r="I37" s="53" t="s">
        <v>572</v>
      </c>
      <c r="J37" s="53" t="s">
        <v>34</v>
      </c>
      <c r="K37" s="53">
        <v>352504110</v>
      </c>
      <c r="L37" s="53">
        <v>8520078561</v>
      </c>
      <c r="M37" s="55" t="s">
        <v>1227</v>
      </c>
    </row>
    <row r="38" spans="1:13" x14ac:dyDescent="0.25">
      <c r="A38" s="61" t="s">
        <v>12</v>
      </c>
      <c r="B38" s="61" t="s">
        <v>13</v>
      </c>
      <c r="C38" s="61" t="s">
        <v>14</v>
      </c>
      <c r="D38" s="61" t="s">
        <v>31</v>
      </c>
      <c r="E38" s="61" t="s">
        <v>32</v>
      </c>
      <c r="F38" s="61" t="s">
        <v>33</v>
      </c>
      <c r="G38" s="53">
        <v>1000</v>
      </c>
      <c r="H38" s="62">
        <v>45939</v>
      </c>
      <c r="I38" s="61" t="s">
        <v>741</v>
      </c>
      <c r="J38" s="61" t="s">
        <v>22</v>
      </c>
      <c r="K38" s="53">
        <v>352504137</v>
      </c>
      <c r="L38" s="61">
        <v>9347726061</v>
      </c>
      <c r="M38" s="55" t="s">
        <v>1228</v>
      </c>
    </row>
    <row r="39" spans="1:13" x14ac:dyDescent="0.25">
      <c r="A39" s="53" t="s">
        <v>12</v>
      </c>
      <c r="B39" s="53" t="s">
        <v>13</v>
      </c>
      <c r="C39" s="53" t="s">
        <v>14</v>
      </c>
      <c r="D39" s="53" t="s">
        <v>95</v>
      </c>
      <c r="E39" s="53" t="s">
        <v>96</v>
      </c>
      <c r="F39" s="53" t="s">
        <v>33</v>
      </c>
      <c r="G39" s="53">
        <v>1000</v>
      </c>
      <c r="H39" s="62">
        <v>45940</v>
      </c>
      <c r="I39" s="61" t="s">
        <v>571</v>
      </c>
      <c r="J39" s="61" t="s">
        <v>59</v>
      </c>
      <c r="K39" s="53">
        <v>352504156</v>
      </c>
      <c r="L39" s="53">
        <v>8159025834</v>
      </c>
      <c r="M39" s="55" t="s">
        <v>1228</v>
      </c>
    </row>
    <row r="40" spans="1:13" x14ac:dyDescent="0.25">
      <c r="A40" s="53" t="s">
        <v>12</v>
      </c>
      <c r="B40" s="53" t="s">
        <v>13</v>
      </c>
      <c r="C40" s="53" t="s">
        <v>14</v>
      </c>
      <c r="D40" s="53" t="s">
        <v>95</v>
      </c>
      <c r="E40" s="53" t="s">
        <v>96</v>
      </c>
      <c r="F40" s="53" t="s">
        <v>33</v>
      </c>
      <c r="G40" s="53">
        <v>6400</v>
      </c>
      <c r="H40" s="62">
        <v>45940</v>
      </c>
      <c r="I40" s="61" t="s">
        <v>571</v>
      </c>
      <c r="J40" s="61" t="s">
        <v>59</v>
      </c>
      <c r="K40" s="53">
        <v>352504156</v>
      </c>
      <c r="L40" s="53">
        <v>8159025834</v>
      </c>
      <c r="M40" s="55" t="s">
        <v>1231</v>
      </c>
    </row>
    <row r="41" spans="1:13" x14ac:dyDescent="0.25">
      <c r="A41" s="53" t="s">
        <v>12</v>
      </c>
      <c r="B41" s="53" t="s">
        <v>13</v>
      </c>
      <c r="C41" s="53" t="s">
        <v>14</v>
      </c>
      <c r="D41" s="53" t="s">
        <v>36</v>
      </c>
      <c r="E41" s="53" t="s">
        <v>37</v>
      </c>
      <c r="F41" s="53" t="s">
        <v>38</v>
      </c>
      <c r="G41" s="53">
        <v>1900</v>
      </c>
      <c r="H41" s="62">
        <v>45940</v>
      </c>
      <c r="I41" s="53" t="s">
        <v>902</v>
      </c>
      <c r="J41" s="53" t="s">
        <v>901</v>
      </c>
      <c r="K41" s="53">
        <v>352504195</v>
      </c>
      <c r="L41" s="53">
        <v>9358936441</v>
      </c>
      <c r="M41" s="55" t="s">
        <v>1229</v>
      </c>
    </row>
    <row r="42" spans="1:13" x14ac:dyDescent="0.25">
      <c r="A42" s="53" t="s">
        <v>12</v>
      </c>
      <c r="B42" s="53" t="s">
        <v>13</v>
      </c>
      <c r="C42" s="53" t="s">
        <v>14</v>
      </c>
      <c r="D42" s="53" t="s">
        <v>108</v>
      </c>
      <c r="E42" s="53" t="s">
        <v>109</v>
      </c>
      <c r="F42" s="53" t="s">
        <v>110</v>
      </c>
      <c r="G42" s="53">
        <v>1500</v>
      </c>
      <c r="H42" s="62">
        <v>45940</v>
      </c>
      <c r="I42" s="61" t="s">
        <v>898</v>
      </c>
      <c r="J42" s="61" t="s">
        <v>899</v>
      </c>
      <c r="K42" s="53">
        <v>352504196</v>
      </c>
      <c r="L42" s="53">
        <v>7870570436</v>
      </c>
      <c r="M42" s="55" t="s">
        <v>1229</v>
      </c>
    </row>
    <row r="43" spans="1:13" x14ac:dyDescent="0.25">
      <c r="A43" s="53" t="s">
        <v>12</v>
      </c>
      <c r="B43" s="53" t="s">
        <v>13</v>
      </c>
      <c r="C43" s="53" t="s">
        <v>14</v>
      </c>
      <c r="D43" s="53" t="s">
        <v>108</v>
      </c>
      <c r="E43" s="53" t="s">
        <v>109</v>
      </c>
      <c r="F43" s="53" t="s">
        <v>110</v>
      </c>
      <c r="G43" s="53">
        <v>5200</v>
      </c>
      <c r="H43" s="62">
        <v>45940</v>
      </c>
      <c r="I43" s="61" t="s">
        <v>898</v>
      </c>
      <c r="J43" s="61" t="s">
        <v>899</v>
      </c>
      <c r="K43" s="53">
        <v>352504196</v>
      </c>
      <c r="L43" s="53">
        <v>7870570436</v>
      </c>
      <c r="M43" s="55" t="s">
        <v>1230</v>
      </c>
    </row>
    <row r="44" spans="1:13" x14ac:dyDescent="0.25">
      <c r="A44" s="53" t="s">
        <v>12</v>
      </c>
      <c r="B44" s="53" t="s">
        <v>13</v>
      </c>
      <c r="C44" s="53" t="s">
        <v>14</v>
      </c>
      <c r="D44" s="53" t="s">
        <v>48</v>
      </c>
      <c r="E44" s="53" t="s">
        <v>49</v>
      </c>
      <c r="F44" s="53" t="s">
        <v>50</v>
      </c>
      <c r="G44" s="53">
        <v>5000</v>
      </c>
      <c r="H44" s="62">
        <v>45941</v>
      </c>
      <c r="I44" s="53" t="s">
        <v>572</v>
      </c>
      <c r="J44" s="53" t="s">
        <v>34</v>
      </c>
      <c r="K44" s="53">
        <v>352504175</v>
      </c>
      <c r="L44" s="53">
        <v>8520078561</v>
      </c>
      <c r="M44" s="55" t="s">
        <v>1232</v>
      </c>
    </row>
    <row r="45" spans="1:13" x14ac:dyDescent="0.25">
      <c r="A45" s="53" t="s">
        <v>12</v>
      </c>
      <c r="B45" s="53" t="s">
        <v>13</v>
      </c>
      <c r="C45" s="53" t="s">
        <v>14</v>
      </c>
      <c r="D45" s="53" t="s">
        <v>435</v>
      </c>
      <c r="E45" s="53">
        <v>31095925572</v>
      </c>
      <c r="F45" s="60" t="s">
        <v>33</v>
      </c>
      <c r="G45" s="53">
        <v>5450</v>
      </c>
      <c r="H45" s="62">
        <v>45941</v>
      </c>
      <c r="I45" s="61" t="s">
        <v>966</v>
      </c>
      <c r="J45" s="61" t="s">
        <v>967</v>
      </c>
      <c r="K45" s="53">
        <v>352504177</v>
      </c>
      <c r="L45" s="60">
        <v>8084080392</v>
      </c>
      <c r="M45" s="55" t="s">
        <v>1233</v>
      </c>
    </row>
    <row r="46" spans="1:13" x14ac:dyDescent="0.25">
      <c r="A46" s="53" t="s">
        <v>12</v>
      </c>
      <c r="B46" s="53" t="s">
        <v>13</v>
      </c>
      <c r="C46" s="53" t="s">
        <v>14</v>
      </c>
      <c r="D46" s="53" t="s">
        <v>993</v>
      </c>
      <c r="E46" s="69">
        <v>50100683547664</v>
      </c>
      <c r="F46" s="60" t="s">
        <v>994</v>
      </c>
      <c r="G46" s="53">
        <v>5450</v>
      </c>
      <c r="H46" s="62">
        <v>45941</v>
      </c>
      <c r="I46" s="61" t="s">
        <v>593</v>
      </c>
      <c r="J46" s="61" t="s">
        <v>76</v>
      </c>
      <c r="K46" s="53">
        <v>352504118</v>
      </c>
      <c r="L46" s="60">
        <v>8093441726</v>
      </c>
      <c r="M46" s="55" t="s">
        <v>1233</v>
      </c>
    </row>
    <row r="47" spans="1:13" x14ac:dyDescent="0.25">
      <c r="A47" s="53" t="s">
        <v>12</v>
      </c>
      <c r="B47" s="53" t="s">
        <v>13</v>
      </c>
      <c r="C47" s="53" t="s">
        <v>14</v>
      </c>
      <c r="D47" s="53" t="s">
        <v>36</v>
      </c>
      <c r="E47" s="53" t="s">
        <v>37</v>
      </c>
      <c r="F47" s="53" t="s">
        <v>38</v>
      </c>
      <c r="G47" s="53">
        <v>4950</v>
      </c>
      <c r="H47" s="62">
        <v>45941</v>
      </c>
      <c r="I47" s="53" t="s">
        <v>902</v>
      </c>
      <c r="J47" s="53" t="s">
        <v>901</v>
      </c>
      <c r="K47" s="53">
        <v>352504195</v>
      </c>
      <c r="L47" s="53">
        <v>9358936441</v>
      </c>
      <c r="M47" s="55" t="s">
        <v>1234</v>
      </c>
    </row>
    <row r="48" spans="1:13" x14ac:dyDescent="0.25">
      <c r="A48" s="53" t="s">
        <v>12</v>
      </c>
      <c r="B48" s="53" t="s">
        <v>13</v>
      </c>
      <c r="C48" s="53" t="s">
        <v>14</v>
      </c>
      <c r="D48" s="53" t="s">
        <v>936</v>
      </c>
      <c r="E48" s="54">
        <v>29230100027591</v>
      </c>
      <c r="F48" s="53" t="s">
        <v>937</v>
      </c>
      <c r="G48" s="53">
        <v>1000</v>
      </c>
      <c r="H48" s="62">
        <v>45941</v>
      </c>
      <c r="I48" s="61" t="s">
        <v>895</v>
      </c>
      <c r="J48" s="61" t="s">
        <v>896</v>
      </c>
      <c r="K48" s="53">
        <v>352504124</v>
      </c>
      <c r="L48" s="53">
        <v>6202164591</v>
      </c>
      <c r="M48" s="55" t="s">
        <v>1228</v>
      </c>
    </row>
    <row r="49" spans="1:13" x14ac:dyDescent="0.25">
      <c r="A49" s="53" t="s">
        <v>12</v>
      </c>
      <c r="B49" s="53" t="s">
        <v>13</v>
      </c>
      <c r="C49" s="53" t="s">
        <v>14</v>
      </c>
      <c r="D49" s="53" t="s">
        <v>144</v>
      </c>
      <c r="E49" s="53">
        <v>44182579159</v>
      </c>
      <c r="F49" s="53" t="s">
        <v>145</v>
      </c>
      <c r="G49" s="53">
        <v>5200</v>
      </c>
      <c r="H49" s="62">
        <v>45943</v>
      </c>
      <c r="I49" s="53" t="s">
        <v>652</v>
      </c>
      <c r="J49" s="53" t="s">
        <v>147</v>
      </c>
      <c r="K49" s="53">
        <v>352504237</v>
      </c>
      <c r="L49" s="53">
        <v>7765824237</v>
      </c>
      <c r="M49" s="55" t="s">
        <v>1235</v>
      </c>
    </row>
    <row r="50" spans="1:13" x14ac:dyDescent="0.25">
      <c r="A50" s="61" t="s">
        <v>12</v>
      </c>
      <c r="B50" s="61" t="s">
        <v>13</v>
      </c>
      <c r="C50" s="61" t="s">
        <v>14</v>
      </c>
      <c r="D50" s="61" t="s">
        <v>31</v>
      </c>
      <c r="E50" s="61" t="s">
        <v>32</v>
      </c>
      <c r="F50" s="61" t="s">
        <v>33</v>
      </c>
      <c r="G50" s="53">
        <v>6400</v>
      </c>
      <c r="H50" s="62">
        <v>45943</v>
      </c>
      <c r="I50" s="61" t="s">
        <v>741</v>
      </c>
      <c r="J50" s="61" t="s">
        <v>22</v>
      </c>
      <c r="K50" s="53">
        <v>352504238</v>
      </c>
      <c r="L50" s="61">
        <v>9347726061</v>
      </c>
      <c r="M50" s="55" t="s">
        <v>1235</v>
      </c>
    </row>
    <row r="51" spans="1:13" x14ac:dyDescent="0.25">
      <c r="A51" s="53" t="s">
        <v>12</v>
      </c>
      <c r="B51" s="53" t="s">
        <v>13</v>
      </c>
      <c r="C51" s="53" t="s">
        <v>14</v>
      </c>
      <c r="D51" s="53" t="s">
        <v>993</v>
      </c>
      <c r="E51" s="69">
        <v>50100683547664</v>
      </c>
      <c r="F51" s="60" t="s">
        <v>994</v>
      </c>
      <c r="G51" s="53">
        <v>3700</v>
      </c>
      <c r="H51" s="62">
        <v>45943</v>
      </c>
      <c r="I51" s="61" t="s">
        <v>593</v>
      </c>
      <c r="J51" s="61" t="s">
        <v>76</v>
      </c>
      <c r="K51" s="53">
        <v>352504248</v>
      </c>
      <c r="L51" s="60">
        <v>8093441726</v>
      </c>
      <c r="M51" s="55" t="s">
        <v>1236</v>
      </c>
    </row>
    <row r="52" spans="1:13" x14ac:dyDescent="0.25">
      <c r="A52" s="53" t="s">
        <v>12</v>
      </c>
      <c r="B52" s="53" t="s">
        <v>13</v>
      </c>
      <c r="C52" s="53" t="s">
        <v>14</v>
      </c>
      <c r="D52" s="53" t="s">
        <v>48</v>
      </c>
      <c r="E52" s="53" t="s">
        <v>49</v>
      </c>
      <c r="F52" s="53" t="s">
        <v>50</v>
      </c>
      <c r="G52" s="53">
        <v>5450</v>
      </c>
      <c r="H52" s="62">
        <v>45943</v>
      </c>
      <c r="I52" s="53" t="s">
        <v>572</v>
      </c>
      <c r="J52" s="53" t="s">
        <v>34</v>
      </c>
      <c r="K52" s="53">
        <v>352504251</v>
      </c>
      <c r="L52" s="53">
        <v>8520078561</v>
      </c>
      <c r="M52" s="55" t="s">
        <v>1237</v>
      </c>
    </row>
    <row r="53" spans="1:13" x14ac:dyDescent="0.25">
      <c r="A53" s="53" t="s">
        <v>12</v>
      </c>
      <c r="B53" s="53" t="s">
        <v>13</v>
      </c>
      <c r="C53" s="53" t="s">
        <v>14</v>
      </c>
      <c r="D53" s="53" t="s">
        <v>435</v>
      </c>
      <c r="E53" s="53">
        <v>31095925572</v>
      </c>
      <c r="F53" s="60" t="s">
        <v>33</v>
      </c>
      <c r="G53" s="53">
        <v>5450</v>
      </c>
      <c r="H53" s="62">
        <v>45943</v>
      </c>
      <c r="I53" s="61" t="s">
        <v>966</v>
      </c>
      <c r="J53" s="61" t="s">
        <v>967</v>
      </c>
      <c r="K53" s="53">
        <v>352504249</v>
      </c>
      <c r="L53" s="60">
        <v>8084080392</v>
      </c>
      <c r="M53" s="55" t="s">
        <v>1237</v>
      </c>
    </row>
    <row r="54" spans="1:13" x14ac:dyDescent="0.25">
      <c r="A54" s="53" t="s">
        <v>12</v>
      </c>
      <c r="B54" s="53" t="s">
        <v>13</v>
      </c>
      <c r="C54" s="53" t="s">
        <v>14</v>
      </c>
      <c r="D54" s="53" t="s">
        <v>36</v>
      </c>
      <c r="E54" s="53" t="s">
        <v>37</v>
      </c>
      <c r="F54" s="53" t="s">
        <v>38</v>
      </c>
      <c r="G54" s="53">
        <v>3950</v>
      </c>
      <c r="H54" s="62">
        <v>45943</v>
      </c>
      <c r="I54" s="53" t="s">
        <v>902</v>
      </c>
      <c r="J54" s="53" t="s">
        <v>901</v>
      </c>
      <c r="K54" s="53">
        <v>352504250</v>
      </c>
      <c r="L54" s="53">
        <v>9358936441</v>
      </c>
      <c r="M54" s="55" t="s">
        <v>1238</v>
      </c>
    </row>
    <row r="55" spans="1:13" x14ac:dyDescent="0.25">
      <c r="A55" s="53" t="s">
        <v>12</v>
      </c>
      <c r="B55" s="53" t="s">
        <v>13</v>
      </c>
      <c r="C55" s="53" t="s">
        <v>14</v>
      </c>
      <c r="D55" s="53" t="s">
        <v>936</v>
      </c>
      <c r="E55" s="54">
        <v>29230100027591</v>
      </c>
      <c r="F55" s="53" t="s">
        <v>937</v>
      </c>
      <c r="G55" s="53">
        <v>6400</v>
      </c>
      <c r="H55" s="62">
        <v>45943</v>
      </c>
      <c r="I55" s="61" t="s">
        <v>895</v>
      </c>
      <c r="J55" s="61" t="s">
        <v>896</v>
      </c>
      <c r="K55" s="53">
        <v>352504266</v>
      </c>
      <c r="L55" s="53">
        <v>6202164591</v>
      </c>
      <c r="M55" s="55" t="s">
        <v>1239</v>
      </c>
    </row>
    <row r="56" spans="1:13" x14ac:dyDescent="0.25">
      <c r="A56" s="53" t="s">
        <v>12</v>
      </c>
      <c r="B56" s="53" t="s">
        <v>13</v>
      </c>
      <c r="C56" s="53" t="s">
        <v>14</v>
      </c>
      <c r="D56" s="53" t="s">
        <v>144</v>
      </c>
      <c r="E56" s="53">
        <v>44182579159</v>
      </c>
      <c r="F56" s="53" t="s">
        <v>145</v>
      </c>
      <c r="G56" s="53">
        <v>6400</v>
      </c>
      <c r="H56" s="62">
        <v>45944</v>
      </c>
      <c r="I56" s="53" t="s">
        <v>652</v>
      </c>
      <c r="J56" s="53" t="s">
        <v>147</v>
      </c>
      <c r="K56" s="53">
        <v>352504237</v>
      </c>
      <c r="L56" s="53">
        <v>7765824237</v>
      </c>
      <c r="M56" s="55" t="s">
        <v>1240</v>
      </c>
    </row>
    <row r="57" spans="1:13" x14ac:dyDescent="0.25">
      <c r="A57" s="53" t="s">
        <v>12</v>
      </c>
      <c r="B57" s="53" t="s">
        <v>13</v>
      </c>
      <c r="C57" s="53" t="s">
        <v>14</v>
      </c>
      <c r="D57" s="53" t="s">
        <v>993</v>
      </c>
      <c r="E57" s="69">
        <v>50100683547664</v>
      </c>
      <c r="F57" s="60" t="s">
        <v>994</v>
      </c>
      <c r="G57" s="53">
        <v>3950</v>
      </c>
      <c r="H57" s="62">
        <v>45944</v>
      </c>
      <c r="I57" s="61" t="s">
        <v>593</v>
      </c>
      <c r="J57" s="61" t="s">
        <v>76</v>
      </c>
      <c r="K57" s="53">
        <v>352504277</v>
      </c>
      <c r="L57" s="60">
        <v>8093441726</v>
      </c>
      <c r="M57" s="55" t="s">
        <v>1241</v>
      </c>
    </row>
    <row r="58" spans="1:13" x14ac:dyDescent="0.25">
      <c r="A58" s="53" t="s">
        <v>12</v>
      </c>
      <c r="B58" s="53" t="s">
        <v>13</v>
      </c>
      <c r="C58" s="53" t="s">
        <v>14</v>
      </c>
      <c r="D58" s="53" t="s">
        <v>435</v>
      </c>
      <c r="E58" s="53">
        <v>31095925572</v>
      </c>
      <c r="F58" s="60" t="s">
        <v>33</v>
      </c>
      <c r="G58" s="53">
        <v>5450</v>
      </c>
      <c r="H58" s="62">
        <v>45944</v>
      </c>
      <c r="I58" s="61" t="s">
        <v>966</v>
      </c>
      <c r="J58" s="61" t="s">
        <v>967</v>
      </c>
      <c r="K58" s="53">
        <v>352504283</v>
      </c>
      <c r="L58" s="60">
        <v>8084080392</v>
      </c>
      <c r="M58" s="55" t="s">
        <v>1242</v>
      </c>
    </row>
    <row r="59" spans="1:13" x14ac:dyDescent="0.25">
      <c r="A59" s="53" t="s">
        <v>12</v>
      </c>
      <c r="B59" s="53" t="s">
        <v>13</v>
      </c>
      <c r="C59" s="53" t="s">
        <v>14</v>
      </c>
      <c r="D59" s="53" t="s">
        <v>936</v>
      </c>
      <c r="E59" s="54">
        <v>29230100027591</v>
      </c>
      <c r="F59" s="53" t="s">
        <v>937</v>
      </c>
      <c r="G59" s="53">
        <v>5450</v>
      </c>
      <c r="H59" s="62">
        <v>45944</v>
      </c>
      <c r="I59" s="61" t="s">
        <v>895</v>
      </c>
      <c r="J59" s="61" t="s">
        <v>896</v>
      </c>
      <c r="K59" s="53">
        <v>352504266</v>
      </c>
      <c r="L59" s="53">
        <v>6202164591</v>
      </c>
      <c r="M59" s="55" t="s">
        <v>1242</v>
      </c>
    </row>
    <row r="60" spans="1:13" x14ac:dyDescent="0.25">
      <c r="A60" s="53" t="s">
        <v>12</v>
      </c>
      <c r="B60" s="53" t="s">
        <v>13</v>
      </c>
      <c r="C60" s="53" t="s">
        <v>14</v>
      </c>
      <c r="D60" s="53" t="s">
        <v>36</v>
      </c>
      <c r="E60" s="53" t="s">
        <v>37</v>
      </c>
      <c r="F60" s="53" t="s">
        <v>38</v>
      </c>
      <c r="G60" s="53">
        <v>1900</v>
      </c>
      <c r="H60" s="62">
        <v>45944</v>
      </c>
      <c r="I60" s="53" t="s">
        <v>902</v>
      </c>
      <c r="J60" s="53" t="s">
        <v>901</v>
      </c>
      <c r="K60" s="53">
        <v>352504300</v>
      </c>
      <c r="L60" s="53">
        <v>9358936441</v>
      </c>
      <c r="M60" s="55" t="s">
        <v>1243</v>
      </c>
    </row>
    <row r="61" spans="1:13" x14ac:dyDescent="0.25">
      <c r="A61" s="53" t="s">
        <v>12</v>
      </c>
      <c r="B61" s="53" t="s">
        <v>13</v>
      </c>
      <c r="C61" s="53" t="s">
        <v>14</v>
      </c>
      <c r="D61" s="53" t="s">
        <v>48</v>
      </c>
      <c r="E61" s="53" t="s">
        <v>49</v>
      </c>
      <c r="F61" s="53" t="s">
        <v>50</v>
      </c>
      <c r="G61" s="53">
        <v>1900</v>
      </c>
      <c r="H61" s="62">
        <v>45944</v>
      </c>
      <c r="I61" s="53" t="s">
        <v>572</v>
      </c>
      <c r="J61" s="53" t="s">
        <v>34</v>
      </c>
      <c r="K61" s="53">
        <v>352504301</v>
      </c>
      <c r="L61" s="53">
        <v>8520078561</v>
      </c>
      <c r="M61" s="55" t="s">
        <v>1243</v>
      </c>
    </row>
    <row r="62" spans="1:13" x14ac:dyDescent="0.25">
      <c r="A62" s="53" t="s">
        <v>12</v>
      </c>
      <c r="B62" s="53" t="s">
        <v>13</v>
      </c>
      <c r="C62" s="53" t="s">
        <v>14</v>
      </c>
      <c r="D62" s="53" t="s">
        <v>48</v>
      </c>
      <c r="E62" s="53" t="s">
        <v>49</v>
      </c>
      <c r="F62" s="53" t="s">
        <v>50</v>
      </c>
      <c r="G62" s="53">
        <v>4950</v>
      </c>
      <c r="H62" s="62">
        <v>45945</v>
      </c>
      <c r="I62" s="53" t="s">
        <v>572</v>
      </c>
      <c r="J62" s="53" t="s">
        <v>34</v>
      </c>
      <c r="K62" s="53">
        <v>352504318</v>
      </c>
      <c r="L62" s="53">
        <v>8520078561</v>
      </c>
      <c r="M62" s="55" t="s">
        <v>1244</v>
      </c>
    </row>
    <row r="63" spans="1:13" x14ac:dyDescent="0.25">
      <c r="A63" s="53" t="s">
        <v>12</v>
      </c>
      <c r="B63" s="53" t="s">
        <v>13</v>
      </c>
      <c r="C63" s="53" t="s">
        <v>14</v>
      </c>
      <c r="D63" s="53" t="s">
        <v>435</v>
      </c>
      <c r="E63" s="53">
        <v>31095925572</v>
      </c>
      <c r="F63" s="60" t="s">
        <v>33</v>
      </c>
      <c r="G63" s="53">
        <v>1500</v>
      </c>
      <c r="H63" s="62">
        <v>45945</v>
      </c>
      <c r="I63" s="61" t="s">
        <v>966</v>
      </c>
      <c r="J63" s="61" t="s">
        <v>967</v>
      </c>
      <c r="K63" s="53">
        <v>352504319</v>
      </c>
      <c r="L63" s="60">
        <v>8084080392</v>
      </c>
      <c r="M63" s="55" t="s">
        <v>1245</v>
      </c>
    </row>
    <row r="64" spans="1:13" x14ac:dyDescent="0.25">
      <c r="A64" s="53" t="s">
        <v>12</v>
      </c>
      <c r="B64" s="53" t="s">
        <v>13</v>
      </c>
      <c r="C64" s="53" t="s">
        <v>14</v>
      </c>
      <c r="D64" s="53" t="s">
        <v>936</v>
      </c>
      <c r="E64" s="54">
        <v>29230100027591</v>
      </c>
      <c r="F64" s="53" t="s">
        <v>937</v>
      </c>
      <c r="G64" s="53">
        <v>1500</v>
      </c>
      <c r="H64" s="62">
        <v>45945</v>
      </c>
      <c r="I64" s="61" t="s">
        <v>895</v>
      </c>
      <c r="J64" s="61" t="s">
        <v>896</v>
      </c>
      <c r="K64" s="53">
        <v>352504320</v>
      </c>
      <c r="L64" s="53">
        <v>6202164591</v>
      </c>
      <c r="M64" s="55" t="s">
        <v>1246</v>
      </c>
    </row>
    <row r="65" spans="1:13" x14ac:dyDescent="0.25">
      <c r="A65" s="53" t="s">
        <v>12</v>
      </c>
      <c r="B65" s="53" t="s">
        <v>13</v>
      </c>
      <c r="C65" s="53" t="s">
        <v>14</v>
      </c>
      <c r="D65" s="53" t="s">
        <v>36</v>
      </c>
      <c r="E65" s="53" t="s">
        <v>37</v>
      </c>
      <c r="F65" s="53" t="s">
        <v>38</v>
      </c>
      <c r="G65" s="53">
        <v>7700</v>
      </c>
      <c r="H65" s="62">
        <v>45945</v>
      </c>
      <c r="I65" s="53" t="s">
        <v>902</v>
      </c>
      <c r="J65" s="53" t="s">
        <v>901</v>
      </c>
      <c r="K65" s="53">
        <v>352504321</v>
      </c>
      <c r="L65" s="53">
        <v>9358936441</v>
      </c>
      <c r="M65" s="55" t="s">
        <v>1247</v>
      </c>
    </row>
    <row r="66" spans="1:13" x14ac:dyDescent="0.25">
      <c r="A66" s="53" t="s">
        <v>12</v>
      </c>
      <c r="B66" s="53" t="s">
        <v>13</v>
      </c>
      <c r="C66" s="53" t="s">
        <v>14</v>
      </c>
      <c r="D66" s="53" t="s">
        <v>144</v>
      </c>
      <c r="E66" s="53">
        <v>44182579159</v>
      </c>
      <c r="F66" s="53" t="s">
        <v>145</v>
      </c>
      <c r="G66" s="53">
        <v>6400</v>
      </c>
      <c r="H66" s="62">
        <v>45945</v>
      </c>
      <c r="I66" s="53" t="s">
        <v>652</v>
      </c>
      <c r="J66" s="53" t="s">
        <v>147</v>
      </c>
      <c r="K66" s="53">
        <v>352504322</v>
      </c>
      <c r="L66" s="53">
        <v>7765824237</v>
      </c>
      <c r="M66" s="55" t="s">
        <v>1248</v>
      </c>
    </row>
    <row r="67" spans="1:13" x14ac:dyDescent="0.25">
      <c r="A67" s="53" t="s">
        <v>12</v>
      </c>
      <c r="B67" s="53" t="s">
        <v>13</v>
      </c>
      <c r="C67" s="53" t="s">
        <v>14</v>
      </c>
      <c r="D67" s="53" t="s">
        <v>36</v>
      </c>
      <c r="E67" s="53" t="s">
        <v>37</v>
      </c>
      <c r="F67" s="53" t="s">
        <v>38</v>
      </c>
      <c r="G67" s="53">
        <v>5450</v>
      </c>
      <c r="H67" s="62">
        <v>45945</v>
      </c>
      <c r="I67" s="53" t="s">
        <v>902</v>
      </c>
      <c r="J67" s="53" t="s">
        <v>901</v>
      </c>
      <c r="K67" s="53">
        <v>352504321</v>
      </c>
      <c r="L67" s="53">
        <v>9358936441</v>
      </c>
      <c r="M67" s="55" t="s">
        <v>1249</v>
      </c>
    </row>
    <row r="68" spans="1:13" x14ac:dyDescent="0.25">
      <c r="A68" s="53" t="s">
        <v>12</v>
      </c>
      <c r="B68" s="53" t="s">
        <v>13</v>
      </c>
      <c r="C68" s="53" t="s">
        <v>14</v>
      </c>
      <c r="D68" s="53" t="s">
        <v>144</v>
      </c>
      <c r="E68" s="53">
        <v>44182579159</v>
      </c>
      <c r="F68" s="53" t="s">
        <v>145</v>
      </c>
      <c r="G68" s="53">
        <v>5450</v>
      </c>
      <c r="H68" s="62">
        <v>45945</v>
      </c>
      <c r="I68" s="53" t="s">
        <v>652</v>
      </c>
      <c r="J68" s="53" t="s">
        <v>147</v>
      </c>
      <c r="K68" s="53">
        <v>352504322</v>
      </c>
      <c r="L68" s="53">
        <v>7765824237</v>
      </c>
      <c r="M68" s="55" t="s">
        <v>1249</v>
      </c>
    </row>
    <row r="69" spans="1:13" x14ac:dyDescent="0.25">
      <c r="A69" s="53" t="s">
        <v>12</v>
      </c>
      <c r="B69" s="53" t="s">
        <v>13</v>
      </c>
      <c r="C69" s="53" t="s">
        <v>14</v>
      </c>
      <c r="D69" s="53" t="s">
        <v>435</v>
      </c>
      <c r="E69" s="53">
        <v>31095925572</v>
      </c>
      <c r="F69" s="60" t="s">
        <v>33</v>
      </c>
      <c r="G69" s="53">
        <v>5450</v>
      </c>
      <c r="H69" s="62">
        <v>45945</v>
      </c>
      <c r="I69" s="61" t="s">
        <v>966</v>
      </c>
      <c r="J69" s="61" t="s">
        <v>967</v>
      </c>
      <c r="K69" s="53">
        <v>352504319</v>
      </c>
      <c r="L69" s="60">
        <v>8084080392</v>
      </c>
      <c r="M69" s="55" t="s">
        <v>1249</v>
      </c>
    </row>
    <row r="70" spans="1:13" x14ac:dyDescent="0.25">
      <c r="A70" s="53" t="s">
        <v>12</v>
      </c>
      <c r="B70" s="53" t="s">
        <v>13</v>
      </c>
      <c r="C70" s="53" t="s">
        <v>14</v>
      </c>
      <c r="D70" s="53" t="s">
        <v>936</v>
      </c>
      <c r="E70" s="54">
        <v>29230100027591</v>
      </c>
      <c r="F70" s="53" t="s">
        <v>937</v>
      </c>
      <c r="G70" s="53">
        <v>5200</v>
      </c>
      <c r="H70" s="62">
        <v>45945</v>
      </c>
      <c r="I70" s="61" t="s">
        <v>895</v>
      </c>
      <c r="J70" s="61" t="s">
        <v>896</v>
      </c>
      <c r="K70" s="53">
        <v>352504320</v>
      </c>
      <c r="L70" s="53">
        <v>6202164591</v>
      </c>
      <c r="M70" s="55" t="s">
        <v>1250</v>
      </c>
    </row>
    <row r="71" spans="1:13" x14ac:dyDescent="0.25">
      <c r="A71" s="53" t="s">
        <v>12</v>
      </c>
      <c r="B71" s="53" t="s">
        <v>13</v>
      </c>
      <c r="C71" s="53" t="s">
        <v>14</v>
      </c>
      <c r="D71" s="53" t="s">
        <v>48</v>
      </c>
      <c r="E71" s="53" t="s">
        <v>49</v>
      </c>
      <c r="F71" s="53" t="s">
        <v>50</v>
      </c>
      <c r="G71" s="53">
        <v>3950</v>
      </c>
      <c r="H71" s="62">
        <v>45945</v>
      </c>
      <c r="I71" s="53" t="s">
        <v>572</v>
      </c>
      <c r="J71" s="53" t="s">
        <v>34</v>
      </c>
      <c r="K71" s="53">
        <v>352504318</v>
      </c>
      <c r="L71" s="53">
        <v>8520078561</v>
      </c>
      <c r="M71" s="55" t="s">
        <v>1251</v>
      </c>
    </row>
    <row r="72" spans="1:13" x14ac:dyDescent="0.25">
      <c r="A72" s="53" t="s">
        <v>12</v>
      </c>
      <c r="B72" s="53" t="s">
        <v>13</v>
      </c>
      <c r="C72" s="53" t="s">
        <v>14</v>
      </c>
      <c r="D72" s="53" t="s">
        <v>108</v>
      </c>
      <c r="E72" s="53" t="s">
        <v>109</v>
      </c>
      <c r="F72" s="53" t="s">
        <v>110</v>
      </c>
      <c r="G72" s="53">
        <v>500</v>
      </c>
      <c r="H72" s="62">
        <v>45945</v>
      </c>
      <c r="I72" s="61" t="s">
        <v>571</v>
      </c>
      <c r="J72" s="61" t="s">
        <v>59</v>
      </c>
      <c r="K72" s="53">
        <v>352504323</v>
      </c>
      <c r="L72" s="53">
        <v>7870570436</v>
      </c>
      <c r="M72" s="55" t="s">
        <v>1252</v>
      </c>
    </row>
    <row r="73" spans="1:13" x14ac:dyDescent="0.25">
      <c r="A73" s="53" t="s">
        <v>12</v>
      </c>
      <c r="B73" s="53" t="s">
        <v>13</v>
      </c>
      <c r="C73" s="53" t="s">
        <v>14</v>
      </c>
      <c r="D73" s="53" t="s">
        <v>108</v>
      </c>
      <c r="E73" s="53" t="s">
        <v>109</v>
      </c>
      <c r="F73" s="53" t="s">
        <v>110</v>
      </c>
      <c r="G73" s="53">
        <v>2000</v>
      </c>
      <c r="H73" s="62">
        <v>45946</v>
      </c>
      <c r="I73" s="61" t="s">
        <v>571</v>
      </c>
      <c r="J73" s="61" t="s">
        <v>59</v>
      </c>
      <c r="K73" s="53">
        <v>352504338</v>
      </c>
      <c r="L73" s="53">
        <v>7870570436</v>
      </c>
      <c r="M73" s="55" t="s">
        <v>1257</v>
      </c>
    </row>
    <row r="74" spans="1:13" x14ac:dyDescent="0.25">
      <c r="A74" s="53" t="s">
        <v>12</v>
      </c>
      <c r="B74" s="53" t="s">
        <v>13</v>
      </c>
      <c r="C74" s="53" t="s">
        <v>14</v>
      </c>
      <c r="D74" s="53" t="s">
        <v>993</v>
      </c>
      <c r="E74" s="69">
        <v>50100683547664</v>
      </c>
      <c r="F74" s="60" t="s">
        <v>994</v>
      </c>
      <c r="G74" s="53">
        <v>7700</v>
      </c>
      <c r="H74" s="62">
        <v>45946</v>
      </c>
      <c r="I74" s="61" t="s">
        <v>593</v>
      </c>
      <c r="J74" s="61" t="s">
        <v>76</v>
      </c>
      <c r="K74" s="53">
        <v>352504315</v>
      </c>
      <c r="L74" s="60">
        <v>8093441726</v>
      </c>
      <c r="M74" s="55" t="s">
        <v>1253</v>
      </c>
    </row>
    <row r="75" spans="1:13" x14ac:dyDescent="0.25">
      <c r="A75" s="53" t="s">
        <v>12</v>
      </c>
      <c r="B75" s="53" t="s">
        <v>13</v>
      </c>
      <c r="C75" s="53" t="s">
        <v>14</v>
      </c>
      <c r="D75" s="53" t="s">
        <v>36</v>
      </c>
      <c r="E75" s="53" t="s">
        <v>37</v>
      </c>
      <c r="F75" s="53" t="s">
        <v>38</v>
      </c>
      <c r="G75" s="53">
        <v>5450</v>
      </c>
      <c r="H75" s="62">
        <v>45946</v>
      </c>
      <c r="I75" s="53" t="s">
        <v>902</v>
      </c>
      <c r="J75" s="53" t="s">
        <v>901</v>
      </c>
      <c r="K75" s="53">
        <v>352504340</v>
      </c>
      <c r="L75" s="53">
        <v>9358936441</v>
      </c>
      <c r="M75" s="55" t="s">
        <v>1254</v>
      </c>
    </row>
    <row r="76" spans="1:13" x14ac:dyDescent="0.25">
      <c r="A76" s="53" t="s">
        <v>12</v>
      </c>
      <c r="B76" s="53" t="s">
        <v>13</v>
      </c>
      <c r="C76" s="53" t="s">
        <v>14</v>
      </c>
      <c r="D76" s="53" t="s">
        <v>435</v>
      </c>
      <c r="E76" s="53">
        <v>31095925572</v>
      </c>
      <c r="F76" s="60" t="s">
        <v>33</v>
      </c>
      <c r="G76" s="53">
        <v>5450</v>
      </c>
      <c r="H76" s="62">
        <v>45946</v>
      </c>
      <c r="I76" s="61" t="s">
        <v>966</v>
      </c>
      <c r="J76" s="61" t="s">
        <v>967</v>
      </c>
      <c r="K76" s="53">
        <v>352504341</v>
      </c>
      <c r="L76" s="60">
        <v>8084080392</v>
      </c>
      <c r="M76" s="55" t="s">
        <v>1254</v>
      </c>
    </row>
    <row r="77" spans="1:13" x14ac:dyDescent="0.25">
      <c r="A77" s="53" t="s">
        <v>12</v>
      </c>
      <c r="B77" s="53" t="s">
        <v>13</v>
      </c>
      <c r="C77" s="53" t="s">
        <v>14</v>
      </c>
      <c r="D77" s="53" t="s">
        <v>936</v>
      </c>
      <c r="E77" s="54">
        <v>29230100027591</v>
      </c>
      <c r="F77" s="53" t="s">
        <v>937</v>
      </c>
      <c r="G77" s="53">
        <v>3950</v>
      </c>
      <c r="H77" s="62">
        <v>45946</v>
      </c>
      <c r="I77" s="61" t="s">
        <v>895</v>
      </c>
      <c r="J77" s="61" t="s">
        <v>896</v>
      </c>
      <c r="K77" s="53">
        <v>352504335</v>
      </c>
      <c r="L77" s="53">
        <v>6202164591</v>
      </c>
      <c r="M77" s="55" t="s">
        <v>1255</v>
      </c>
    </row>
    <row r="78" spans="1:13" x14ac:dyDescent="0.25">
      <c r="A78" s="53" t="s">
        <v>12</v>
      </c>
      <c r="B78" s="53" t="s">
        <v>13</v>
      </c>
      <c r="C78" s="53" t="s">
        <v>14</v>
      </c>
      <c r="D78" s="53" t="s">
        <v>48</v>
      </c>
      <c r="E78" s="53" t="s">
        <v>49</v>
      </c>
      <c r="F78" s="53" t="s">
        <v>50</v>
      </c>
      <c r="G78" s="53">
        <v>4950</v>
      </c>
      <c r="H78" s="62">
        <v>45946</v>
      </c>
      <c r="I78" s="53" t="s">
        <v>572</v>
      </c>
      <c r="J78" s="53" t="s">
        <v>34</v>
      </c>
      <c r="K78" s="53">
        <v>352504342</v>
      </c>
      <c r="L78" s="53">
        <v>8520078561</v>
      </c>
      <c r="M78" s="55" t="s">
        <v>1256</v>
      </c>
    </row>
    <row r="79" spans="1:13" x14ac:dyDescent="0.25">
      <c r="A79" s="53" t="s">
        <v>12</v>
      </c>
      <c r="B79" s="53" t="s">
        <v>13</v>
      </c>
      <c r="C79" s="53" t="s">
        <v>14</v>
      </c>
      <c r="D79" s="53" t="s">
        <v>48</v>
      </c>
      <c r="E79" s="53" t="s">
        <v>49</v>
      </c>
      <c r="F79" s="53" t="s">
        <v>50</v>
      </c>
      <c r="G79" s="53">
        <v>3950</v>
      </c>
      <c r="H79" s="62">
        <v>45946</v>
      </c>
      <c r="I79" s="53" t="s">
        <v>572</v>
      </c>
      <c r="J79" s="53" t="s">
        <v>34</v>
      </c>
      <c r="K79" s="53">
        <v>352504356</v>
      </c>
      <c r="L79" s="53">
        <v>8520078561</v>
      </c>
      <c r="M79" s="55" t="s">
        <v>1255</v>
      </c>
    </row>
    <row r="80" spans="1:13" x14ac:dyDescent="0.25">
      <c r="A80" s="53" t="s">
        <v>12</v>
      </c>
      <c r="B80" s="53" t="s">
        <v>13</v>
      </c>
      <c r="C80" s="53" t="s">
        <v>14</v>
      </c>
      <c r="D80" s="53" t="s">
        <v>144</v>
      </c>
      <c r="E80" s="53">
        <v>44182579159</v>
      </c>
      <c r="F80" s="53" t="s">
        <v>145</v>
      </c>
      <c r="G80" s="53">
        <v>1500</v>
      </c>
      <c r="H80" s="62">
        <v>45946</v>
      </c>
      <c r="I80" s="53" t="s">
        <v>652</v>
      </c>
      <c r="J80" s="53" t="s">
        <v>147</v>
      </c>
      <c r="K80" s="53">
        <v>352504357</v>
      </c>
      <c r="L80" s="53">
        <v>7765824237</v>
      </c>
      <c r="M80" s="55" t="s">
        <v>1258</v>
      </c>
    </row>
    <row r="81" spans="1:13" x14ac:dyDescent="0.25">
      <c r="A81" s="53" t="s">
        <v>12</v>
      </c>
      <c r="B81" s="53" t="s">
        <v>13</v>
      </c>
      <c r="C81" s="53" t="s">
        <v>14</v>
      </c>
      <c r="D81" s="53" t="s">
        <v>144</v>
      </c>
      <c r="E81" s="53">
        <v>44182579159</v>
      </c>
      <c r="F81" s="53" t="s">
        <v>145</v>
      </c>
      <c r="G81" s="53">
        <v>5200</v>
      </c>
      <c r="H81" s="62">
        <v>45946</v>
      </c>
      <c r="I81" s="53" t="s">
        <v>652</v>
      </c>
      <c r="J81" s="53" t="s">
        <v>147</v>
      </c>
      <c r="K81" s="53">
        <v>352504357</v>
      </c>
      <c r="L81" s="53">
        <v>7765824237</v>
      </c>
      <c r="M81" s="55" t="s">
        <v>1259</v>
      </c>
    </row>
    <row r="82" spans="1:13" x14ac:dyDescent="0.25">
      <c r="A82" s="53" t="s">
        <v>12</v>
      </c>
      <c r="B82" s="53" t="s">
        <v>13</v>
      </c>
      <c r="C82" s="53" t="s">
        <v>14</v>
      </c>
      <c r="D82" s="53" t="s">
        <v>466</v>
      </c>
      <c r="E82" s="53" t="s">
        <v>467</v>
      </c>
      <c r="F82" s="53" t="s">
        <v>468</v>
      </c>
      <c r="G82" s="53">
        <v>10000</v>
      </c>
      <c r="H82" s="62">
        <v>45946</v>
      </c>
      <c r="I82" s="53" t="s">
        <v>1185</v>
      </c>
      <c r="J82" s="53" t="s">
        <v>470</v>
      </c>
      <c r="K82" s="53">
        <v>352504360</v>
      </c>
      <c r="L82" s="53">
        <v>8687714453</v>
      </c>
      <c r="M82" s="77" t="s">
        <v>690</v>
      </c>
    </row>
    <row r="83" spans="1:13" x14ac:dyDescent="0.25">
      <c r="A83" s="53" t="s">
        <v>12</v>
      </c>
      <c r="B83" s="53" t="s">
        <v>13</v>
      </c>
      <c r="C83" s="53" t="s">
        <v>14</v>
      </c>
      <c r="D83" s="53" t="s">
        <v>936</v>
      </c>
      <c r="E83" s="54">
        <v>29230100027591</v>
      </c>
      <c r="F83" s="53" t="s">
        <v>937</v>
      </c>
      <c r="G83" s="53">
        <v>5200</v>
      </c>
      <c r="H83" s="62">
        <v>45947</v>
      </c>
      <c r="I83" s="61" t="s">
        <v>895</v>
      </c>
      <c r="J83" s="61" t="s">
        <v>896</v>
      </c>
      <c r="K83" s="53">
        <v>352504371</v>
      </c>
      <c r="L83" s="53">
        <v>6202164591</v>
      </c>
      <c r="M83" s="55" t="s">
        <v>1260</v>
      </c>
    </row>
    <row r="84" spans="1:13" x14ac:dyDescent="0.25">
      <c r="A84" s="53" t="s">
        <v>12</v>
      </c>
      <c r="B84" s="53" t="s">
        <v>13</v>
      </c>
      <c r="C84" s="53" t="s">
        <v>14</v>
      </c>
      <c r="D84" s="53" t="s">
        <v>993</v>
      </c>
      <c r="E84" s="69">
        <v>50100683547664</v>
      </c>
      <c r="F84" s="60" t="s">
        <v>994</v>
      </c>
      <c r="G84" s="53">
        <v>6400</v>
      </c>
      <c r="H84" s="62">
        <v>45947</v>
      </c>
      <c r="I84" s="61" t="s">
        <v>593</v>
      </c>
      <c r="J84" s="61" t="s">
        <v>76</v>
      </c>
      <c r="K84" s="53">
        <v>352504375</v>
      </c>
      <c r="L84" s="60">
        <v>8093441726</v>
      </c>
      <c r="M84" s="55" t="s">
        <v>1261</v>
      </c>
    </row>
    <row r="85" spans="1:13" x14ac:dyDescent="0.25">
      <c r="A85" s="53" t="s">
        <v>12</v>
      </c>
      <c r="B85" s="53" t="s">
        <v>13</v>
      </c>
      <c r="C85" s="53" t="s">
        <v>14</v>
      </c>
      <c r="D85" s="53" t="s">
        <v>48</v>
      </c>
      <c r="E85" s="53" t="s">
        <v>49</v>
      </c>
      <c r="F85" s="53" t="s">
        <v>50</v>
      </c>
      <c r="G85" s="53">
        <v>1900</v>
      </c>
      <c r="H85" s="62">
        <v>45947</v>
      </c>
      <c r="I85" s="53" t="s">
        <v>572</v>
      </c>
      <c r="J85" s="53" t="s">
        <v>34</v>
      </c>
      <c r="K85" s="53">
        <v>352504386</v>
      </c>
      <c r="L85" s="53">
        <v>8520078561</v>
      </c>
      <c r="M85" s="55" t="s">
        <v>1262</v>
      </c>
    </row>
    <row r="86" spans="1:13" x14ac:dyDescent="0.25">
      <c r="A86" s="53" t="s">
        <v>12</v>
      </c>
      <c r="B86" s="53" t="s">
        <v>13</v>
      </c>
      <c r="C86" s="53" t="s">
        <v>14</v>
      </c>
      <c r="D86" s="53" t="s">
        <v>48</v>
      </c>
      <c r="E86" s="53" t="s">
        <v>49</v>
      </c>
      <c r="F86" s="53" t="s">
        <v>50</v>
      </c>
      <c r="G86" s="53">
        <v>4950</v>
      </c>
      <c r="H86" s="62">
        <v>45948</v>
      </c>
      <c r="I86" s="53" t="s">
        <v>572</v>
      </c>
      <c r="J86" s="53" t="s">
        <v>34</v>
      </c>
      <c r="K86" s="53">
        <v>352504386</v>
      </c>
      <c r="L86" s="53">
        <v>8520078561</v>
      </c>
      <c r="M86" s="55" t="s">
        <v>1263</v>
      </c>
    </row>
    <row r="87" spans="1:13" x14ac:dyDescent="0.25">
      <c r="A87" s="53" t="s">
        <v>12</v>
      </c>
      <c r="B87" s="53" t="s">
        <v>13</v>
      </c>
      <c r="C87" s="53" t="s">
        <v>14</v>
      </c>
      <c r="D87" s="53" t="s">
        <v>36</v>
      </c>
      <c r="E87" s="53" t="s">
        <v>37</v>
      </c>
      <c r="F87" s="53" t="s">
        <v>38</v>
      </c>
      <c r="G87" s="53">
        <v>7700</v>
      </c>
      <c r="H87" s="62">
        <v>45948</v>
      </c>
      <c r="I87" s="53" t="s">
        <v>902</v>
      </c>
      <c r="J87" s="53" t="s">
        <v>901</v>
      </c>
      <c r="K87" s="53">
        <v>352504373</v>
      </c>
      <c r="L87" s="53">
        <v>9358936441</v>
      </c>
      <c r="M87" s="55" t="s">
        <v>1264</v>
      </c>
    </row>
    <row r="88" spans="1:13" x14ac:dyDescent="0.25">
      <c r="A88" s="53" t="s">
        <v>12</v>
      </c>
      <c r="B88" s="53" t="s">
        <v>13</v>
      </c>
      <c r="C88" s="53" t="s">
        <v>14</v>
      </c>
      <c r="D88" s="53" t="s">
        <v>435</v>
      </c>
      <c r="E88" s="53">
        <v>31095925572</v>
      </c>
      <c r="F88" s="60" t="s">
        <v>33</v>
      </c>
      <c r="G88" s="53">
        <v>7700</v>
      </c>
      <c r="H88" s="62">
        <v>45948</v>
      </c>
      <c r="I88" s="61" t="s">
        <v>966</v>
      </c>
      <c r="J88" s="61" t="s">
        <v>967</v>
      </c>
      <c r="K88" s="53">
        <v>352504370</v>
      </c>
      <c r="L88" s="60">
        <v>8084080392</v>
      </c>
      <c r="M88" s="55" t="s">
        <v>1264</v>
      </c>
    </row>
    <row r="89" spans="1:13" x14ac:dyDescent="0.25">
      <c r="A89" s="53" t="s">
        <v>12</v>
      </c>
      <c r="B89" s="53" t="s">
        <v>13</v>
      </c>
      <c r="C89" s="53" t="s">
        <v>14</v>
      </c>
      <c r="D89" s="53" t="s">
        <v>993</v>
      </c>
      <c r="E89" s="69">
        <v>50100683547664</v>
      </c>
      <c r="F89" s="60" t="s">
        <v>994</v>
      </c>
      <c r="G89" s="53">
        <v>3500</v>
      </c>
      <c r="H89" s="62">
        <v>45949</v>
      </c>
      <c r="I89" s="61" t="s">
        <v>593</v>
      </c>
      <c r="J89" s="61" t="s">
        <v>76</v>
      </c>
      <c r="K89" s="53">
        <v>352504422</v>
      </c>
      <c r="L89" s="60">
        <v>8093441726</v>
      </c>
      <c r="M89" s="55" t="s">
        <v>1265</v>
      </c>
    </row>
    <row r="90" spans="1:13" x14ac:dyDescent="0.25">
      <c r="A90" s="53" t="s">
        <v>12</v>
      </c>
      <c r="B90" s="53" t="s">
        <v>13</v>
      </c>
      <c r="C90" s="53" t="s">
        <v>14</v>
      </c>
      <c r="D90" s="53" t="s">
        <v>993</v>
      </c>
      <c r="E90" s="69">
        <v>50100683547664</v>
      </c>
      <c r="F90" s="60" t="s">
        <v>994</v>
      </c>
      <c r="G90" s="53">
        <v>6400</v>
      </c>
      <c r="H90" s="62">
        <v>45949</v>
      </c>
      <c r="I90" s="61" t="s">
        <v>593</v>
      </c>
      <c r="J90" s="61" t="s">
        <v>76</v>
      </c>
      <c r="K90" s="53">
        <v>352504422</v>
      </c>
      <c r="L90" s="60">
        <v>8093441726</v>
      </c>
      <c r="M90" s="55" t="s">
        <v>1266</v>
      </c>
    </row>
    <row r="91" spans="1:13" x14ac:dyDescent="0.25">
      <c r="A91" s="53" t="s">
        <v>12</v>
      </c>
      <c r="B91" s="53" t="s">
        <v>13</v>
      </c>
      <c r="C91" s="53" t="s">
        <v>14</v>
      </c>
      <c r="D91" s="53" t="s">
        <v>435</v>
      </c>
      <c r="E91" s="53">
        <v>31095925572</v>
      </c>
      <c r="F91" s="60" t="s">
        <v>33</v>
      </c>
      <c r="G91" s="53">
        <v>6400</v>
      </c>
      <c r="H91" s="62">
        <v>45949</v>
      </c>
      <c r="I91" s="61" t="s">
        <v>966</v>
      </c>
      <c r="J91" s="61" t="s">
        <v>967</v>
      </c>
      <c r="K91" s="53">
        <v>352504418</v>
      </c>
      <c r="L91" s="60">
        <v>8084080392</v>
      </c>
      <c r="M91" s="55" t="s">
        <v>1266</v>
      </c>
    </row>
    <row r="92" spans="1:13" x14ac:dyDescent="0.25">
      <c r="A92" s="53" t="s">
        <v>12</v>
      </c>
      <c r="B92" s="53" t="s">
        <v>13</v>
      </c>
      <c r="C92" s="53" t="s">
        <v>14</v>
      </c>
      <c r="D92" s="53" t="s">
        <v>435</v>
      </c>
      <c r="E92" s="53">
        <v>31095925572</v>
      </c>
      <c r="F92" s="60" t="s">
        <v>33</v>
      </c>
      <c r="G92" s="53">
        <v>6400</v>
      </c>
      <c r="H92" s="62">
        <v>45951</v>
      </c>
      <c r="I92" s="61" t="s">
        <v>966</v>
      </c>
      <c r="J92" s="61" t="s">
        <v>967</v>
      </c>
      <c r="K92" s="53">
        <v>352504426</v>
      </c>
      <c r="L92" s="60">
        <v>8084080392</v>
      </c>
      <c r="M92" s="55" t="s">
        <v>1267</v>
      </c>
    </row>
    <row r="93" spans="1:13" x14ac:dyDescent="0.25">
      <c r="A93" s="53" t="s">
        <v>12</v>
      </c>
      <c r="B93" s="53" t="s">
        <v>13</v>
      </c>
      <c r="C93" s="53" t="s">
        <v>14</v>
      </c>
      <c r="D93" s="53" t="s">
        <v>48</v>
      </c>
      <c r="E93" s="53" t="s">
        <v>49</v>
      </c>
      <c r="F93" s="53" t="s">
        <v>50</v>
      </c>
      <c r="G93" s="53">
        <v>5200</v>
      </c>
      <c r="H93" s="62">
        <v>45951</v>
      </c>
      <c r="I93" s="53" t="s">
        <v>572</v>
      </c>
      <c r="J93" s="53" t="s">
        <v>34</v>
      </c>
      <c r="K93" s="53">
        <v>352504437</v>
      </c>
      <c r="L93" s="53">
        <v>8520078561</v>
      </c>
      <c r="M93" s="55" t="s">
        <v>1268</v>
      </c>
    </row>
    <row r="94" spans="1:13" x14ac:dyDescent="0.25">
      <c r="A94" s="53" t="s">
        <v>12</v>
      </c>
      <c r="B94" s="53" t="s">
        <v>13</v>
      </c>
      <c r="C94" s="53" t="s">
        <v>14</v>
      </c>
      <c r="D94" s="53" t="s">
        <v>48</v>
      </c>
      <c r="E94" s="53" t="s">
        <v>49</v>
      </c>
      <c r="F94" s="53" t="s">
        <v>50</v>
      </c>
      <c r="G94" s="53">
        <v>6000</v>
      </c>
      <c r="H94" s="62">
        <v>45952</v>
      </c>
      <c r="I94" s="53" t="s">
        <v>572</v>
      </c>
      <c r="J94" s="53" t="s">
        <v>34</v>
      </c>
      <c r="K94" s="53">
        <v>352504439</v>
      </c>
      <c r="L94" s="53">
        <v>8520078561</v>
      </c>
      <c r="M94" s="55" t="s">
        <v>1269</v>
      </c>
    </row>
    <row r="95" spans="1:13" x14ac:dyDescent="0.25">
      <c r="A95" s="53" t="s">
        <v>12</v>
      </c>
      <c r="B95" s="53" t="s">
        <v>13</v>
      </c>
      <c r="C95" s="53" t="s">
        <v>14</v>
      </c>
      <c r="D95" s="53" t="s">
        <v>435</v>
      </c>
      <c r="E95" s="53">
        <v>31095925572</v>
      </c>
      <c r="F95" s="60" t="s">
        <v>33</v>
      </c>
      <c r="G95" s="53">
        <v>6400</v>
      </c>
      <c r="H95" s="62">
        <v>45952</v>
      </c>
      <c r="I95" s="61" t="s">
        <v>966</v>
      </c>
      <c r="J95" s="61" t="s">
        <v>967</v>
      </c>
      <c r="K95" s="53">
        <v>352504440</v>
      </c>
      <c r="L95" s="60">
        <v>8084080392</v>
      </c>
      <c r="M95" s="55" t="s">
        <v>1270</v>
      </c>
    </row>
    <row r="96" spans="1:13" x14ac:dyDescent="0.25">
      <c r="A96" s="53" t="s">
        <v>12</v>
      </c>
      <c r="B96" s="53" t="s">
        <v>13</v>
      </c>
      <c r="C96" s="53" t="s">
        <v>14</v>
      </c>
      <c r="D96" s="53" t="s">
        <v>993</v>
      </c>
      <c r="E96" s="69">
        <v>50100683547664</v>
      </c>
      <c r="F96" s="60" t="s">
        <v>994</v>
      </c>
      <c r="G96" s="53">
        <v>3500</v>
      </c>
      <c r="H96" s="62">
        <v>45952</v>
      </c>
      <c r="I96" s="61" t="s">
        <v>593</v>
      </c>
      <c r="J96" s="61" t="s">
        <v>76</v>
      </c>
      <c r="K96" s="53">
        <v>352504425</v>
      </c>
      <c r="L96" s="60">
        <v>8093441726</v>
      </c>
      <c r="M96" s="55" t="s">
        <v>1271</v>
      </c>
    </row>
    <row r="97" spans="1:13" x14ac:dyDescent="0.25">
      <c r="A97" s="61" t="s">
        <v>12</v>
      </c>
      <c r="B97" s="61" t="s">
        <v>13</v>
      </c>
      <c r="C97" s="61" t="s">
        <v>14</v>
      </c>
      <c r="D97" s="61" t="s">
        <v>31</v>
      </c>
      <c r="E97" s="61" t="s">
        <v>32</v>
      </c>
      <c r="F97" s="61" t="s">
        <v>33</v>
      </c>
      <c r="G97" s="53">
        <v>1500</v>
      </c>
      <c r="H97" s="62">
        <v>45952</v>
      </c>
      <c r="I97" s="61" t="s">
        <v>741</v>
      </c>
      <c r="J97" s="61" t="s">
        <v>22</v>
      </c>
      <c r="K97" s="53">
        <v>352504363</v>
      </c>
      <c r="L97" s="61">
        <v>9347726061</v>
      </c>
      <c r="M97" s="55" t="s">
        <v>1272</v>
      </c>
    </row>
    <row r="98" spans="1:13" x14ac:dyDescent="0.25">
      <c r="A98" s="61" t="s">
        <v>12</v>
      </c>
      <c r="B98" s="61" t="s">
        <v>13</v>
      </c>
      <c r="C98" s="61" t="s">
        <v>14</v>
      </c>
      <c r="D98" s="61" t="s">
        <v>31</v>
      </c>
      <c r="E98" s="61" t="s">
        <v>32</v>
      </c>
      <c r="F98" s="61" t="s">
        <v>33</v>
      </c>
      <c r="G98" s="53">
        <v>3500</v>
      </c>
      <c r="H98" s="62">
        <v>45952</v>
      </c>
      <c r="I98" s="61" t="s">
        <v>741</v>
      </c>
      <c r="J98" s="61" t="s">
        <v>22</v>
      </c>
      <c r="K98" s="53">
        <v>352504363</v>
      </c>
      <c r="L98" s="61">
        <v>9347726061</v>
      </c>
      <c r="M98" s="55" t="s">
        <v>1271</v>
      </c>
    </row>
    <row r="99" spans="1:13" x14ac:dyDescent="0.25">
      <c r="A99" s="53" t="s">
        <v>12</v>
      </c>
      <c r="B99" s="53" t="s">
        <v>13</v>
      </c>
      <c r="C99" s="53" t="s">
        <v>14</v>
      </c>
      <c r="D99" s="53" t="s">
        <v>108</v>
      </c>
      <c r="E99" s="53" t="s">
        <v>109</v>
      </c>
      <c r="F99" s="53" t="s">
        <v>110</v>
      </c>
      <c r="G99" s="53">
        <v>3500</v>
      </c>
      <c r="H99" s="62">
        <v>45952</v>
      </c>
      <c r="I99" s="61" t="s">
        <v>571</v>
      </c>
      <c r="J99" s="61" t="s">
        <v>59</v>
      </c>
      <c r="K99" s="53">
        <v>352504367</v>
      </c>
      <c r="L99" s="53">
        <v>7870570436</v>
      </c>
      <c r="M99" s="55" t="s">
        <v>1271</v>
      </c>
    </row>
    <row r="100" spans="1:13" x14ac:dyDescent="0.25">
      <c r="A100" s="53" t="s">
        <v>12</v>
      </c>
      <c r="B100" s="53" t="s">
        <v>13</v>
      </c>
      <c r="C100" s="53" t="s">
        <v>14</v>
      </c>
      <c r="D100" s="53" t="s">
        <v>1274</v>
      </c>
      <c r="E100" s="54">
        <v>30771930274</v>
      </c>
      <c r="F100" s="53" t="s">
        <v>697</v>
      </c>
      <c r="G100" s="53">
        <v>5450</v>
      </c>
      <c r="H100" s="62">
        <v>45952</v>
      </c>
      <c r="I100" s="61" t="s">
        <v>903</v>
      </c>
      <c r="J100" s="61" t="s">
        <v>904</v>
      </c>
      <c r="K100" s="53">
        <v>342501920</v>
      </c>
      <c r="L100" s="53">
        <v>6205109213</v>
      </c>
      <c r="M100" s="55" t="s">
        <v>1273</v>
      </c>
    </row>
    <row r="101" spans="1:13" x14ac:dyDescent="0.25">
      <c r="A101" s="53" t="s">
        <v>12</v>
      </c>
      <c r="B101" s="53" t="s">
        <v>13</v>
      </c>
      <c r="C101" s="53" t="s">
        <v>14</v>
      </c>
      <c r="D101" s="53" t="s">
        <v>936</v>
      </c>
      <c r="E101" s="54">
        <v>29230100027591</v>
      </c>
      <c r="F101" s="53" t="s">
        <v>937</v>
      </c>
      <c r="G101" s="53">
        <v>5200</v>
      </c>
      <c r="H101" s="62">
        <v>45952</v>
      </c>
      <c r="I101" s="61" t="s">
        <v>895</v>
      </c>
      <c r="J101" s="61" t="s">
        <v>896</v>
      </c>
      <c r="K101" s="53">
        <v>352504397</v>
      </c>
      <c r="L101" s="53">
        <v>6202164591</v>
      </c>
      <c r="M101" s="55" t="s">
        <v>1260</v>
      </c>
    </row>
    <row r="102" spans="1:13" x14ac:dyDescent="0.25">
      <c r="A102" s="53" t="s">
        <v>12</v>
      </c>
      <c r="B102" s="53" t="s">
        <v>13</v>
      </c>
      <c r="C102" s="53" t="s">
        <v>14</v>
      </c>
      <c r="D102" s="53" t="s">
        <v>1274</v>
      </c>
      <c r="E102" s="54">
        <v>30771930274</v>
      </c>
      <c r="F102" s="53" t="s">
        <v>697</v>
      </c>
      <c r="G102" s="53">
        <v>5450</v>
      </c>
      <c r="H102" s="62">
        <v>45953</v>
      </c>
      <c r="I102" s="61" t="s">
        <v>903</v>
      </c>
      <c r="J102" s="61" t="s">
        <v>904</v>
      </c>
      <c r="K102" s="53">
        <v>352504467</v>
      </c>
      <c r="L102" s="53">
        <v>6205109213</v>
      </c>
      <c r="M102" s="55" t="s">
        <v>1275</v>
      </c>
    </row>
    <row r="103" spans="1:13" x14ac:dyDescent="0.25">
      <c r="A103" s="53" t="s">
        <v>12</v>
      </c>
      <c r="B103" s="53" t="s">
        <v>13</v>
      </c>
      <c r="C103" s="53" t="s">
        <v>14</v>
      </c>
      <c r="D103" s="53" t="s">
        <v>435</v>
      </c>
      <c r="E103" s="53">
        <v>31095925572</v>
      </c>
      <c r="F103" s="60" t="s">
        <v>33</v>
      </c>
      <c r="G103" s="53">
        <v>4500</v>
      </c>
      <c r="H103" s="62">
        <v>45953</v>
      </c>
      <c r="I103" s="61" t="s">
        <v>966</v>
      </c>
      <c r="J103" s="61" t="s">
        <v>967</v>
      </c>
      <c r="K103" s="53">
        <v>352504469</v>
      </c>
      <c r="L103" s="60">
        <v>8084080392</v>
      </c>
      <c r="M103" s="55" t="s">
        <v>1275</v>
      </c>
    </row>
    <row r="104" spans="1:13" x14ac:dyDescent="0.25">
      <c r="A104" s="53" t="s">
        <v>12</v>
      </c>
      <c r="B104" s="53" t="s">
        <v>13</v>
      </c>
      <c r="C104" s="53" t="s">
        <v>14</v>
      </c>
      <c r="D104" s="53" t="s">
        <v>993</v>
      </c>
      <c r="E104" s="69">
        <v>50100683547664</v>
      </c>
      <c r="F104" s="60" t="s">
        <v>994</v>
      </c>
      <c r="G104" s="53">
        <v>5450</v>
      </c>
      <c r="H104" s="62">
        <v>45953</v>
      </c>
      <c r="I104" s="61" t="s">
        <v>593</v>
      </c>
      <c r="J104" s="61" t="s">
        <v>76</v>
      </c>
      <c r="K104" s="53">
        <v>352504466</v>
      </c>
      <c r="L104" s="60">
        <v>8093441726</v>
      </c>
      <c r="M104" s="55" t="s">
        <v>1275</v>
      </c>
    </row>
    <row r="105" spans="1:13" x14ac:dyDescent="0.25">
      <c r="A105" s="61" t="s">
        <v>12</v>
      </c>
      <c r="B105" s="61" t="s">
        <v>13</v>
      </c>
      <c r="C105" s="61" t="s">
        <v>14</v>
      </c>
      <c r="D105" s="61" t="s">
        <v>31</v>
      </c>
      <c r="E105" s="61" t="s">
        <v>32</v>
      </c>
      <c r="F105" s="61" t="s">
        <v>33</v>
      </c>
      <c r="G105" s="53">
        <v>1900</v>
      </c>
      <c r="H105" s="62">
        <v>45954</v>
      </c>
      <c r="I105" s="61" t="s">
        <v>741</v>
      </c>
      <c r="J105" s="61" t="s">
        <v>22</v>
      </c>
      <c r="K105" s="53">
        <v>352504479</v>
      </c>
      <c r="L105" s="61">
        <v>9347726061</v>
      </c>
      <c r="M105" s="55" t="s">
        <v>1276</v>
      </c>
    </row>
    <row r="106" spans="1:13" x14ac:dyDescent="0.25">
      <c r="A106" s="53" t="s">
        <v>12</v>
      </c>
      <c r="B106" s="53" t="s">
        <v>13</v>
      </c>
      <c r="C106" s="53" t="s">
        <v>14</v>
      </c>
      <c r="D106" s="53" t="s">
        <v>48</v>
      </c>
      <c r="E106" s="53" t="s">
        <v>49</v>
      </c>
      <c r="F106" s="53" t="s">
        <v>50</v>
      </c>
      <c r="G106" s="53">
        <v>1000</v>
      </c>
      <c r="H106" s="62">
        <v>45954</v>
      </c>
      <c r="I106" s="53" t="s">
        <v>572</v>
      </c>
      <c r="J106" s="53" t="s">
        <v>34</v>
      </c>
      <c r="K106" s="53">
        <v>352504480</v>
      </c>
      <c r="L106" s="53">
        <v>8520078561</v>
      </c>
      <c r="M106" s="55" t="s">
        <v>1277</v>
      </c>
    </row>
    <row r="107" spans="1:13" x14ac:dyDescent="0.25">
      <c r="A107" s="53" t="s">
        <v>12</v>
      </c>
      <c r="B107" s="53" t="s">
        <v>13</v>
      </c>
      <c r="C107" s="53" t="s">
        <v>14</v>
      </c>
      <c r="D107" s="53" t="s">
        <v>48</v>
      </c>
      <c r="E107" s="53" t="s">
        <v>49</v>
      </c>
      <c r="F107" s="53" t="s">
        <v>50</v>
      </c>
      <c r="G107" s="53">
        <v>5300</v>
      </c>
      <c r="H107" s="62">
        <v>45954</v>
      </c>
      <c r="I107" s="53" t="s">
        <v>572</v>
      </c>
      <c r="J107" s="53" t="s">
        <v>34</v>
      </c>
      <c r="K107" s="53">
        <v>352504480</v>
      </c>
      <c r="L107" s="53">
        <v>8520078561</v>
      </c>
      <c r="M107" s="55" t="s">
        <v>1278</v>
      </c>
    </row>
    <row r="108" spans="1:13" x14ac:dyDescent="0.25">
      <c r="A108" s="61" t="s">
        <v>12</v>
      </c>
      <c r="B108" s="61" t="s">
        <v>13</v>
      </c>
      <c r="C108" s="61" t="s">
        <v>14</v>
      </c>
      <c r="D108" s="61" t="s">
        <v>31</v>
      </c>
      <c r="E108" s="61" t="s">
        <v>32</v>
      </c>
      <c r="F108" s="61" t="s">
        <v>33</v>
      </c>
      <c r="G108" s="53">
        <v>5450</v>
      </c>
      <c r="H108" s="62">
        <v>45954</v>
      </c>
      <c r="I108" s="61" t="s">
        <v>741</v>
      </c>
      <c r="J108" s="61" t="s">
        <v>22</v>
      </c>
      <c r="K108" s="53">
        <v>352504479</v>
      </c>
      <c r="L108" s="61">
        <v>9347726061</v>
      </c>
      <c r="M108" s="55" t="s">
        <v>1279</v>
      </c>
    </row>
    <row r="109" spans="1:13" x14ac:dyDescent="0.25">
      <c r="A109" s="53" t="s">
        <v>12</v>
      </c>
      <c r="B109" s="53" t="s">
        <v>13</v>
      </c>
      <c r="C109" s="53" t="s">
        <v>14</v>
      </c>
      <c r="D109" s="53" t="s">
        <v>435</v>
      </c>
      <c r="E109" s="53">
        <v>31095925572</v>
      </c>
      <c r="F109" s="60" t="s">
        <v>33</v>
      </c>
      <c r="G109" s="53">
        <v>5450</v>
      </c>
      <c r="H109" s="62">
        <v>45954</v>
      </c>
      <c r="I109" s="61" t="s">
        <v>966</v>
      </c>
      <c r="J109" s="61" t="s">
        <v>967</v>
      </c>
      <c r="K109" s="53">
        <v>352504477</v>
      </c>
      <c r="L109" s="60">
        <v>8084080392</v>
      </c>
      <c r="M109" s="55" t="s">
        <v>1279</v>
      </c>
    </row>
    <row r="110" spans="1:13" x14ac:dyDescent="0.25">
      <c r="A110" s="53" t="s">
        <v>12</v>
      </c>
      <c r="B110" s="53" t="s">
        <v>13</v>
      </c>
      <c r="C110" s="53" t="s">
        <v>14</v>
      </c>
      <c r="D110" s="53" t="s">
        <v>1274</v>
      </c>
      <c r="E110" s="54">
        <v>30771930274</v>
      </c>
      <c r="F110" s="53" t="s">
        <v>697</v>
      </c>
      <c r="G110" s="53">
        <v>5450</v>
      </c>
      <c r="H110" s="62">
        <v>45954</v>
      </c>
      <c r="I110" s="61" t="s">
        <v>903</v>
      </c>
      <c r="J110" s="61" t="s">
        <v>904</v>
      </c>
      <c r="K110" s="53">
        <v>352504476</v>
      </c>
      <c r="L110" s="53">
        <v>6205109213</v>
      </c>
      <c r="M110" s="55" t="s">
        <v>1279</v>
      </c>
    </row>
    <row r="111" spans="1:13" x14ac:dyDescent="0.25">
      <c r="A111" s="53" t="s">
        <v>12</v>
      </c>
      <c r="B111" s="53" t="s">
        <v>13</v>
      </c>
      <c r="C111" s="53" t="s">
        <v>14</v>
      </c>
      <c r="D111" s="53" t="s">
        <v>108</v>
      </c>
      <c r="E111" s="53" t="s">
        <v>109</v>
      </c>
      <c r="F111" s="53" t="s">
        <v>110</v>
      </c>
      <c r="G111" s="53">
        <v>7500</v>
      </c>
      <c r="H111" s="62">
        <v>45954</v>
      </c>
      <c r="I111" s="61" t="s">
        <v>571</v>
      </c>
      <c r="J111" s="61" t="s">
        <v>59</v>
      </c>
      <c r="K111" s="53">
        <v>352504478</v>
      </c>
      <c r="L111" s="53">
        <v>7870570436</v>
      </c>
      <c r="M111" s="55" t="s">
        <v>1280</v>
      </c>
    </row>
    <row r="112" spans="1:13" x14ac:dyDescent="0.25">
      <c r="A112" s="53" t="s">
        <v>12</v>
      </c>
      <c r="B112" s="53" t="s">
        <v>13</v>
      </c>
      <c r="C112" s="53" t="s">
        <v>14</v>
      </c>
      <c r="D112" s="53" t="s">
        <v>993</v>
      </c>
      <c r="E112" s="69">
        <v>50100683547664</v>
      </c>
      <c r="F112" s="60" t="s">
        <v>994</v>
      </c>
      <c r="G112" s="53">
        <v>5200</v>
      </c>
      <c r="H112" s="62">
        <v>45954</v>
      </c>
      <c r="I112" s="61" t="s">
        <v>593</v>
      </c>
      <c r="J112" s="61" t="s">
        <v>76</v>
      </c>
      <c r="K112" s="53">
        <v>352504475</v>
      </c>
      <c r="L112" s="60">
        <v>8093441726</v>
      </c>
      <c r="M112" s="55" t="s">
        <v>1281</v>
      </c>
    </row>
    <row r="113" spans="1:13" x14ac:dyDescent="0.25">
      <c r="A113" s="53" t="s">
        <v>12</v>
      </c>
      <c r="B113" s="53" t="s">
        <v>13</v>
      </c>
      <c r="C113" s="53" t="s">
        <v>14</v>
      </c>
      <c r="D113" s="53" t="s">
        <v>993</v>
      </c>
      <c r="E113" s="69">
        <v>50100683547664</v>
      </c>
      <c r="F113" s="60" t="s">
        <v>994</v>
      </c>
      <c r="G113" s="53">
        <v>1900</v>
      </c>
      <c r="H113" s="62">
        <v>45954</v>
      </c>
      <c r="I113" s="61" t="s">
        <v>593</v>
      </c>
      <c r="J113" s="61" t="s">
        <v>76</v>
      </c>
      <c r="K113" s="53">
        <v>352504495</v>
      </c>
      <c r="L113" s="60">
        <v>8093441726</v>
      </c>
      <c r="M113" s="55" t="s">
        <v>1282</v>
      </c>
    </row>
    <row r="114" spans="1:13" x14ac:dyDescent="0.25">
      <c r="A114" s="61" t="s">
        <v>12</v>
      </c>
      <c r="B114" s="61" t="s">
        <v>13</v>
      </c>
      <c r="C114" s="61" t="s">
        <v>14</v>
      </c>
      <c r="D114" s="61" t="s">
        <v>31</v>
      </c>
      <c r="E114" s="61" t="s">
        <v>32</v>
      </c>
      <c r="F114" s="61" t="s">
        <v>33</v>
      </c>
      <c r="G114" s="53">
        <v>1500</v>
      </c>
      <c r="H114" s="62">
        <v>45955</v>
      </c>
      <c r="I114" s="61" t="s">
        <v>741</v>
      </c>
      <c r="J114" s="61" t="s">
        <v>22</v>
      </c>
      <c r="K114" s="53">
        <v>352504536</v>
      </c>
      <c r="L114" s="61">
        <v>9347726061</v>
      </c>
      <c r="M114" s="55" t="s">
        <v>1283</v>
      </c>
    </row>
    <row r="115" spans="1:13" x14ac:dyDescent="0.25">
      <c r="A115" s="61" t="s">
        <v>12</v>
      </c>
      <c r="B115" s="61" t="s">
        <v>13</v>
      </c>
      <c r="C115" s="61" t="s">
        <v>14</v>
      </c>
      <c r="D115" s="61" t="s">
        <v>31</v>
      </c>
      <c r="E115" s="61" t="s">
        <v>32</v>
      </c>
      <c r="F115" s="61" t="s">
        <v>33</v>
      </c>
      <c r="G115" s="53">
        <v>7500</v>
      </c>
      <c r="H115" s="62">
        <v>45955</v>
      </c>
      <c r="I115" s="61" t="s">
        <v>741</v>
      </c>
      <c r="J115" s="61" t="s">
        <v>22</v>
      </c>
      <c r="K115" s="53">
        <v>352504536</v>
      </c>
      <c r="L115" s="61">
        <v>9347726061</v>
      </c>
      <c r="M115" s="55" t="s">
        <v>1284</v>
      </c>
    </row>
    <row r="116" spans="1:13" x14ac:dyDescent="0.25">
      <c r="A116" s="53" t="s">
        <v>12</v>
      </c>
      <c r="B116" s="53" t="s">
        <v>13</v>
      </c>
      <c r="C116" s="53" t="s">
        <v>14</v>
      </c>
      <c r="D116" s="53" t="s">
        <v>1274</v>
      </c>
      <c r="E116" s="54">
        <v>30771930274</v>
      </c>
      <c r="F116" s="53" t="s">
        <v>697</v>
      </c>
      <c r="G116" s="53">
        <v>4500</v>
      </c>
      <c r="H116" s="62">
        <v>45955</v>
      </c>
      <c r="I116" s="61" t="s">
        <v>903</v>
      </c>
      <c r="J116" s="61" t="s">
        <v>904</v>
      </c>
      <c r="K116" s="53">
        <v>352504510</v>
      </c>
      <c r="L116" s="53">
        <v>6205109213</v>
      </c>
      <c r="M116" s="55" t="s">
        <v>1285</v>
      </c>
    </row>
    <row r="117" spans="1:13" x14ac:dyDescent="0.25">
      <c r="A117" s="53" t="s">
        <v>12</v>
      </c>
      <c r="B117" s="53" t="s">
        <v>13</v>
      </c>
      <c r="C117" s="53" t="s">
        <v>14</v>
      </c>
      <c r="D117" s="53" t="s">
        <v>48</v>
      </c>
      <c r="E117" s="53" t="s">
        <v>49</v>
      </c>
      <c r="F117" s="53" t="s">
        <v>50</v>
      </c>
      <c r="G117" s="53">
        <v>3500</v>
      </c>
      <c r="H117" s="62">
        <v>45955</v>
      </c>
      <c r="I117" s="53" t="s">
        <v>572</v>
      </c>
      <c r="J117" s="53" t="s">
        <v>34</v>
      </c>
      <c r="K117" s="53">
        <v>352504537</v>
      </c>
      <c r="L117" s="53">
        <v>8520078561</v>
      </c>
      <c r="M117" s="55" t="s">
        <v>1286</v>
      </c>
    </row>
    <row r="118" spans="1:13" x14ac:dyDescent="0.25">
      <c r="A118" s="53" t="s">
        <v>12</v>
      </c>
      <c r="B118" s="53" t="s">
        <v>13</v>
      </c>
      <c r="C118" s="53" t="s">
        <v>14</v>
      </c>
      <c r="D118" s="53" t="s">
        <v>108</v>
      </c>
      <c r="E118" s="53" t="s">
        <v>109</v>
      </c>
      <c r="F118" s="53" t="s">
        <v>110</v>
      </c>
      <c r="G118" s="53">
        <v>1000</v>
      </c>
      <c r="H118" s="62">
        <v>45957</v>
      </c>
      <c r="I118" s="61" t="s">
        <v>571</v>
      </c>
      <c r="J118" s="61" t="s">
        <v>59</v>
      </c>
      <c r="K118" s="53">
        <v>352504560</v>
      </c>
      <c r="L118" s="53">
        <v>7870570436</v>
      </c>
      <c r="M118" s="55" t="s">
        <v>1287</v>
      </c>
    </row>
    <row r="119" spans="1:13" x14ac:dyDescent="0.25">
      <c r="A119" s="53" t="s">
        <v>12</v>
      </c>
      <c r="B119" s="53" t="s">
        <v>13</v>
      </c>
      <c r="C119" s="53" t="s">
        <v>14</v>
      </c>
      <c r="D119" s="53" t="s">
        <v>435</v>
      </c>
      <c r="E119" s="53">
        <v>31095925572</v>
      </c>
      <c r="F119" s="60" t="s">
        <v>33</v>
      </c>
      <c r="G119" s="53">
        <v>5450</v>
      </c>
      <c r="H119" s="62">
        <v>45957</v>
      </c>
      <c r="I119" s="61" t="s">
        <v>966</v>
      </c>
      <c r="J119" s="61" t="s">
        <v>967</v>
      </c>
      <c r="K119" s="53">
        <v>352504511</v>
      </c>
      <c r="L119" s="60">
        <v>8084080392</v>
      </c>
      <c r="M119" s="55" t="s">
        <v>1288</v>
      </c>
    </row>
    <row r="120" spans="1:13" x14ac:dyDescent="0.25">
      <c r="A120" s="53" t="s">
        <v>12</v>
      </c>
      <c r="B120" s="53" t="s">
        <v>13</v>
      </c>
      <c r="C120" s="53" t="s">
        <v>14</v>
      </c>
      <c r="D120" s="53" t="s">
        <v>993</v>
      </c>
      <c r="E120" s="69">
        <v>50100683547664</v>
      </c>
      <c r="F120" s="60" t="s">
        <v>994</v>
      </c>
      <c r="G120" s="53">
        <v>3950</v>
      </c>
      <c r="H120" s="62">
        <v>45957</v>
      </c>
      <c r="I120" s="61" t="s">
        <v>593</v>
      </c>
      <c r="J120" s="61" t="s">
        <v>76</v>
      </c>
      <c r="K120" s="53">
        <v>352504555</v>
      </c>
      <c r="L120" s="60">
        <v>8093441726</v>
      </c>
      <c r="M120" s="55" t="s">
        <v>1289</v>
      </c>
    </row>
    <row r="121" spans="1:13" x14ac:dyDescent="0.25">
      <c r="A121" s="53" t="s">
        <v>12</v>
      </c>
      <c r="B121" s="53" t="s">
        <v>13</v>
      </c>
      <c r="C121" s="53" t="s">
        <v>14</v>
      </c>
      <c r="D121" s="53" t="s">
        <v>1274</v>
      </c>
      <c r="E121" s="54">
        <v>30771930274</v>
      </c>
      <c r="F121" s="53" t="s">
        <v>697</v>
      </c>
      <c r="G121" s="53">
        <v>5450</v>
      </c>
      <c r="H121" s="62">
        <v>45957</v>
      </c>
      <c r="I121" s="61" t="s">
        <v>903</v>
      </c>
      <c r="J121" s="61" t="s">
        <v>904</v>
      </c>
      <c r="K121" s="53">
        <v>352504558</v>
      </c>
      <c r="L121" s="53">
        <v>6205109213</v>
      </c>
      <c r="M121" s="55" t="s">
        <v>1288</v>
      </c>
    </row>
    <row r="122" spans="1:13" x14ac:dyDescent="0.25">
      <c r="A122" s="53" t="s">
        <v>12</v>
      </c>
      <c r="B122" s="53" t="s">
        <v>13</v>
      </c>
      <c r="C122" s="53" t="s">
        <v>14</v>
      </c>
      <c r="D122" s="53" t="s">
        <v>144</v>
      </c>
      <c r="E122" s="53">
        <v>44182579159</v>
      </c>
      <c r="F122" s="53" t="s">
        <v>145</v>
      </c>
      <c r="G122" s="53">
        <v>3500</v>
      </c>
      <c r="H122" s="62">
        <v>45957</v>
      </c>
      <c r="I122" s="53" t="s">
        <v>652</v>
      </c>
      <c r="J122" s="53" t="s">
        <v>147</v>
      </c>
      <c r="K122" s="53">
        <v>352504457</v>
      </c>
      <c r="L122" s="53">
        <v>7765824237</v>
      </c>
      <c r="M122" s="55" t="s">
        <v>1288</v>
      </c>
    </row>
    <row r="123" spans="1:13" x14ac:dyDescent="0.25">
      <c r="A123" s="53" t="s">
        <v>12</v>
      </c>
      <c r="B123" s="53" t="s">
        <v>13</v>
      </c>
      <c r="C123" s="53" t="s">
        <v>14</v>
      </c>
      <c r="D123" s="53" t="s">
        <v>936</v>
      </c>
      <c r="E123" s="54">
        <v>29230100027591</v>
      </c>
      <c r="F123" s="53" t="s">
        <v>937</v>
      </c>
      <c r="G123" s="53">
        <v>5450</v>
      </c>
      <c r="H123" s="62">
        <v>45958</v>
      </c>
      <c r="I123" s="61" t="s">
        <v>895</v>
      </c>
      <c r="J123" s="61" t="s">
        <v>896</v>
      </c>
      <c r="K123" s="53">
        <v>352504465</v>
      </c>
      <c r="L123" s="53">
        <v>6202164591</v>
      </c>
      <c r="M123" s="55" t="s">
        <v>1290</v>
      </c>
    </row>
    <row r="124" spans="1:13" x14ac:dyDescent="0.25">
      <c r="A124" s="53" t="s">
        <v>12</v>
      </c>
      <c r="B124" s="53" t="s">
        <v>13</v>
      </c>
      <c r="C124" s="53" t="s">
        <v>14</v>
      </c>
      <c r="D124" s="53" t="s">
        <v>36</v>
      </c>
      <c r="E124" s="53" t="s">
        <v>37</v>
      </c>
      <c r="F124" s="53" t="s">
        <v>38</v>
      </c>
      <c r="G124" s="53">
        <v>5450</v>
      </c>
      <c r="H124" s="62">
        <v>45958</v>
      </c>
      <c r="I124" s="53" t="s">
        <v>902</v>
      </c>
      <c r="J124" s="53" t="s">
        <v>901</v>
      </c>
      <c r="K124" s="53">
        <v>352504419</v>
      </c>
      <c r="L124" s="53">
        <v>9358936441</v>
      </c>
      <c r="M124" s="55" t="s">
        <v>1290</v>
      </c>
    </row>
    <row r="125" spans="1:13" x14ac:dyDescent="0.25">
      <c r="A125" s="53" t="s">
        <v>12</v>
      </c>
      <c r="B125" s="53" t="s">
        <v>13</v>
      </c>
      <c r="C125" s="53" t="s">
        <v>14</v>
      </c>
      <c r="D125" s="53" t="s">
        <v>435</v>
      </c>
      <c r="E125" s="53">
        <v>31095925572</v>
      </c>
      <c r="F125" s="60" t="s">
        <v>33</v>
      </c>
      <c r="G125" s="53">
        <v>5450</v>
      </c>
      <c r="H125" s="62">
        <v>45958</v>
      </c>
      <c r="I125" s="61" t="s">
        <v>966</v>
      </c>
      <c r="J125" s="61" t="s">
        <v>967</v>
      </c>
      <c r="K125" s="53">
        <v>352504578</v>
      </c>
      <c r="L125" s="60">
        <v>8084080392</v>
      </c>
      <c r="M125" s="55" t="s">
        <v>1290</v>
      </c>
    </row>
    <row r="126" spans="1:13" x14ac:dyDescent="0.25">
      <c r="A126" s="53" t="s">
        <v>12</v>
      </c>
      <c r="B126" s="53" t="s">
        <v>13</v>
      </c>
      <c r="C126" s="53" t="s">
        <v>14</v>
      </c>
      <c r="D126" s="53" t="s">
        <v>1274</v>
      </c>
      <c r="E126" s="54">
        <v>30771930274</v>
      </c>
      <c r="F126" s="53" t="s">
        <v>697</v>
      </c>
      <c r="G126" s="53">
        <v>1900</v>
      </c>
      <c r="H126" s="62">
        <v>45958</v>
      </c>
      <c r="I126" s="61" t="s">
        <v>903</v>
      </c>
      <c r="J126" s="61" t="s">
        <v>904</v>
      </c>
      <c r="K126" s="53">
        <v>352504595</v>
      </c>
      <c r="L126" s="53">
        <v>6205109213</v>
      </c>
      <c r="M126" s="55" t="s">
        <v>1291</v>
      </c>
    </row>
    <row r="127" spans="1:13" x14ac:dyDescent="0.25">
      <c r="A127" s="53" t="s">
        <v>12</v>
      </c>
      <c r="B127" s="53" t="s">
        <v>13</v>
      </c>
      <c r="C127" s="53" t="s">
        <v>14</v>
      </c>
      <c r="D127" s="53" t="s">
        <v>1274</v>
      </c>
      <c r="E127" s="54">
        <v>30771930274</v>
      </c>
      <c r="F127" s="53" t="s">
        <v>697</v>
      </c>
      <c r="G127" s="53">
        <v>500</v>
      </c>
      <c r="H127" s="62">
        <v>45958</v>
      </c>
      <c r="I127" s="61" t="s">
        <v>903</v>
      </c>
      <c r="J127" s="61" t="s">
        <v>904</v>
      </c>
      <c r="K127" s="53">
        <v>352504595</v>
      </c>
      <c r="L127" s="53">
        <v>6205109213</v>
      </c>
      <c r="M127" s="55" t="s">
        <v>1286</v>
      </c>
    </row>
    <row r="128" spans="1:13" x14ac:dyDescent="0.25">
      <c r="A128" s="53" t="s">
        <v>12</v>
      </c>
      <c r="B128" s="53" t="s">
        <v>13</v>
      </c>
      <c r="C128" s="53" t="s">
        <v>14</v>
      </c>
      <c r="D128" s="53" t="s">
        <v>144</v>
      </c>
      <c r="E128" s="53">
        <v>44182579159</v>
      </c>
      <c r="F128" s="53" t="s">
        <v>145</v>
      </c>
      <c r="G128" s="53">
        <v>1000</v>
      </c>
      <c r="H128" s="62">
        <v>45959</v>
      </c>
      <c r="I128" s="53" t="s">
        <v>652</v>
      </c>
      <c r="J128" s="53" t="s">
        <v>147</v>
      </c>
      <c r="K128" s="53">
        <v>352504612</v>
      </c>
      <c r="L128" s="53">
        <v>7765824237</v>
      </c>
      <c r="M128" s="55" t="s">
        <v>1292</v>
      </c>
    </row>
    <row r="129" spans="1:13" x14ac:dyDescent="0.25">
      <c r="A129" s="53" t="s">
        <v>12</v>
      </c>
      <c r="B129" s="53" t="s">
        <v>13</v>
      </c>
      <c r="C129" s="53" t="s">
        <v>14</v>
      </c>
      <c r="D129" s="53" t="s">
        <v>108</v>
      </c>
      <c r="E129" s="53" t="s">
        <v>109</v>
      </c>
      <c r="F129" s="53" t="s">
        <v>110</v>
      </c>
      <c r="G129" s="53">
        <v>5450</v>
      </c>
      <c r="H129" s="62">
        <v>45959</v>
      </c>
      <c r="I129" s="61" t="s">
        <v>571</v>
      </c>
      <c r="J129" s="61" t="s">
        <v>59</v>
      </c>
      <c r="K129" s="53">
        <v>352504560</v>
      </c>
      <c r="L129" s="53">
        <v>7870570436</v>
      </c>
      <c r="M129" s="55" t="s">
        <v>1292</v>
      </c>
    </row>
    <row r="130" spans="1:13" x14ac:dyDescent="0.25">
      <c r="A130" s="61" t="s">
        <v>12</v>
      </c>
      <c r="B130" s="61" t="s">
        <v>13</v>
      </c>
      <c r="C130" s="61" t="s">
        <v>14</v>
      </c>
      <c r="D130" s="61" t="s">
        <v>31</v>
      </c>
      <c r="E130" s="61" t="s">
        <v>32</v>
      </c>
      <c r="F130" s="61" t="s">
        <v>33</v>
      </c>
      <c r="G130" s="53">
        <v>3900</v>
      </c>
      <c r="H130" s="62">
        <v>45959</v>
      </c>
      <c r="I130" s="61" t="s">
        <v>741</v>
      </c>
      <c r="J130" s="61" t="s">
        <v>22</v>
      </c>
      <c r="K130" s="53">
        <v>352504581</v>
      </c>
      <c r="L130" s="61">
        <v>9347726061</v>
      </c>
      <c r="M130" s="55" t="s">
        <v>1292</v>
      </c>
    </row>
    <row r="131" spans="1:13" x14ac:dyDescent="0.25">
      <c r="A131" s="53" t="s">
        <v>12</v>
      </c>
      <c r="B131" s="53" t="s">
        <v>13</v>
      </c>
      <c r="C131" s="53" t="s">
        <v>14</v>
      </c>
      <c r="D131" s="53" t="s">
        <v>36</v>
      </c>
      <c r="E131" s="53" t="s">
        <v>37</v>
      </c>
      <c r="F131" s="53" t="s">
        <v>38</v>
      </c>
      <c r="G131" s="53">
        <v>1900</v>
      </c>
      <c r="H131" s="62">
        <v>45959</v>
      </c>
      <c r="I131" s="53" t="s">
        <v>902</v>
      </c>
      <c r="J131" s="53" t="s">
        <v>901</v>
      </c>
      <c r="K131" s="53">
        <v>352504618</v>
      </c>
      <c r="L131" s="53">
        <v>9358936441</v>
      </c>
      <c r="M131" s="55" t="s">
        <v>1293</v>
      </c>
    </row>
    <row r="132" spans="1:13" x14ac:dyDescent="0.25">
      <c r="A132" s="53" t="s">
        <v>12</v>
      </c>
      <c r="B132" s="53" t="s">
        <v>13</v>
      </c>
      <c r="C132" s="53" t="s">
        <v>14</v>
      </c>
      <c r="D132" s="53" t="s">
        <v>48</v>
      </c>
      <c r="E132" s="53" t="s">
        <v>49</v>
      </c>
      <c r="F132" s="53" t="s">
        <v>50</v>
      </c>
      <c r="G132" s="53">
        <v>2000</v>
      </c>
      <c r="H132" s="62">
        <v>45959</v>
      </c>
      <c r="I132" s="53" t="s">
        <v>572</v>
      </c>
      <c r="J132" s="53" t="s">
        <v>34</v>
      </c>
      <c r="K132" s="53">
        <v>352504557</v>
      </c>
      <c r="L132" s="53">
        <v>8520078561</v>
      </c>
      <c r="M132" s="55" t="s">
        <v>1294</v>
      </c>
    </row>
    <row r="133" spans="1:13" x14ac:dyDescent="0.25">
      <c r="A133" s="53" t="s">
        <v>12</v>
      </c>
      <c r="B133" s="53" t="s">
        <v>13</v>
      </c>
      <c r="C133" s="53" t="s">
        <v>14</v>
      </c>
      <c r="D133" s="53" t="s">
        <v>1296</v>
      </c>
      <c r="E133" s="53">
        <v>4047764697</v>
      </c>
      <c r="F133" s="53" t="s">
        <v>1297</v>
      </c>
      <c r="G133" s="53">
        <v>1000</v>
      </c>
      <c r="H133" s="62">
        <v>45960</v>
      </c>
      <c r="I133" s="61" t="s">
        <v>898</v>
      </c>
      <c r="J133" s="61" t="s">
        <v>899</v>
      </c>
      <c r="K133" s="53">
        <v>352504611</v>
      </c>
      <c r="L133" s="53">
        <v>7870570436</v>
      </c>
      <c r="M133" s="55" t="s">
        <v>1295</v>
      </c>
    </row>
    <row r="134" spans="1:13" x14ac:dyDescent="0.25">
      <c r="A134" s="53" t="s">
        <v>12</v>
      </c>
      <c r="B134" s="53" t="s">
        <v>13</v>
      </c>
      <c r="C134" s="53" t="s">
        <v>14</v>
      </c>
      <c r="D134" s="53" t="s">
        <v>1296</v>
      </c>
      <c r="E134" s="53">
        <v>4047764697</v>
      </c>
      <c r="F134" s="53" t="s">
        <v>1297</v>
      </c>
      <c r="G134" s="53">
        <v>1000</v>
      </c>
      <c r="H134" s="62">
        <v>45960</v>
      </c>
      <c r="I134" s="61" t="s">
        <v>898</v>
      </c>
      <c r="J134" s="61" t="s">
        <v>899</v>
      </c>
      <c r="K134" s="53">
        <v>352504611</v>
      </c>
      <c r="L134" s="53">
        <v>7870570436</v>
      </c>
      <c r="M134" s="55" t="s">
        <v>1298</v>
      </c>
    </row>
    <row r="135" spans="1:13" x14ac:dyDescent="0.25">
      <c r="A135" s="53" t="s">
        <v>12</v>
      </c>
      <c r="B135" s="53" t="s">
        <v>13</v>
      </c>
      <c r="C135" s="53" t="s">
        <v>14</v>
      </c>
      <c r="D135" s="53" t="s">
        <v>936</v>
      </c>
      <c r="E135" s="54">
        <v>29230100027591</v>
      </c>
      <c r="F135" s="53" t="s">
        <v>937</v>
      </c>
      <c r="G135" s="53">
        <v>5000</v>
      </c>
      <c r="H135" s="62">
        <v>45960</v>
      </c>
      <c r="I135" s="61" t="s">
        <v>895</v>
      </c>
      <c r="J135" s="61" t="s">
        <v>896</v>
      </c>
      <c r="K135" s="53">
        <v>352504621</v>
      </c>
      <c r="L135" s="53">
        <v>6202164591</v>
      </c>
      <c r="M135" s="55" t="s">
        <v>1299</v>
      </c>
    </row>
    <row r="136" spans="1:13" x14ac:dyDescent="0.25">
      <c r="A136" s="53" t="s">
        <v>12</v>
      </c>
      <c r="B136" s="53" t="s">
        <v>13</v>
      </c>
      <c r="C136" s="53" t="s">
        <v>14</v>
      </c>
      <c r="D136" s="53" t="s">
        <v>1274</v>
      </c>
      <c r="E136" s="54">
        <v>30771930274</v>
      </c>
      <c r="F136" s="53" t="s">
        <v>697</v>
      </c>
      <c r="G136" s="53">
        <v>5450</v>
      </c>
      <c r="H136" s="62">
        <v>45960</v>
      </c>
      <c r="I136" s="61" t="s">
        <v>903</v>
      </c>
      <c r="J136" s="61" t="s">
        <v>904</v>
      </c>
      <c r="K136" s="53">
        <v>352504595</v>
      </c>
      <c r="L136" s="53">
        <v>6205109213</v>
      </c>
      <c r="M136" s="55" t="s">
        <v>1300</v>
      </c>
    </row>
    <row r="137" spans="1:13" x14ac:dyDescent="0.25">
      <c r="A137" s="53" t="s">
        <v>12</v>
      </c>
      <c r="B137" s="53" t="s">
        <v>13</v>
      </c>
      <c r="C137" s="53" t="s">
        <v>14</v>
      </c>
      <c r="D137" s="53" t="s">
        <v>144</v>
      </c>
      <c r="E137" s="53">
        <v>44182579159</v>
      </c>
      <c r="F137" s="53" t="s">
        <v>145</v>
      </c>
      <c r="G137" s="53">
        <v>1900</v>
      </c>
      <c r="H137" s="62">
        <v>45960</v>
      </c>
      <c r="I137" s="53" t="s">
        <v>652</v>
      </c>
      <c r="J137" s="53" t="s">
        <v>147</v>
      </c>
      <c r="K137" s="53">
        <v>352504637</v>
      </c>
      <c r="L137" s="53">
        <v>7765824237</v>
      </c>
      <c r="M137" s="55" t="s">
        <v>1301</v>
      </c>
    </row>
    <row r="138" spans="1:13" x14ac:dyDescent="0.25">
      <c r="A138" s="53" t="s">
        <v>12</v>
      </c>
      <c r="B138" s="53" t="s">
        <v>13</v>
      </c>
      <c r="C138" s="53" t="s">
        <v>14</v>
      </c>
      <c r="D138" s="53" t="s">
        <v>108</v>
      </c>
      <c r="E138" s="53" t="s">
        <v>109</v>
      </c>
      <c r="F138" s="53" t="s">
        <v>110</v>
      </c>
      <c r="G138" s="53">
        <v>5000</v>
      </c>
      <c r="H138" s="62">
        <v>45960</v>
      </c>
      <c r="I138" s="61" t="s">
        <v>571</v>
      </c>
      <c r="J138" s="61" t="s">
        <v>59</v>
      </c>
      <c r="K138" s="53">
        <v>352504635</v>
      </c>
      <c r="L138" s="53">
        <v>7870570436</v>
      </c>
      <c r="M138" s="55" t="s">
        <v>1299</v>
      </c>
    </row>
    <row r="139" spans="1:13" x14ac:dyDescent="0.25">
      <c r="A139" s="53" t="s">
        <v>12</v>
      </c>
      <c r="B139" s="53" t="s">
        <v>13</v>
      </c>
      <c r="C139" s="53" t="s">
        <v>14</v>
      </c>
      <c r="D139" s="53" t="s">
        <v>36</v>
      </c>
      <c r="E139" s="53" t="s">
        <v>37</v>
      </c>
      <c r="F139" s="53" t="s">
        <v>38</v>
      </c>
      <c r="G139" s="53">
        <v>2000</v>
      </c>
      <c r="H139" s="62">
        <v>45961</v>
      </c>
      <c r="I139" s="53" t="s">
        <v>902</v>
      </c>
      <c r="J139" s="53" t="s">
        <v>901</v>
      </c>
      <c r="K139" s="53">
        <v>352504618</v>
      </c>
      <c r="L139" s="53">
        <v>9358936441</v>
      </c>
      <c r="M139" s="55" t="s">
        <v>1302</v>
      </c>
    </row>
    <row r="140" spans="1:13" x14ac:dyDescent="0.25">
      <c r="A140" s="53" t="s">
        <v>12</v>
      </c>
      <c r="B140" s="53" t="s">
        <v>13</v>
      </c>
      <c r="C140" s="53" t="s">
        <v>14</v>
      </c>
      <c r="D140" s="53" t="s">
        <v>993</v>
      </c>
      <c r="E140" s="69">
        <v>50100683547664</v>
      </c>
      <c r="F140" s="60" t="s">
        <v>994</v>
      </c>
      <c r="G140" s="53">
        <v>4950</v>
      </c>
      <c r="H140" s="62">
        <v>45961</v>
      </c>
      <c r="I140" s="61" t="s">
        <v>593</v>
      </c>
      <c r="J140" s="61" t="s">
        <v>76</v>
      </c>
      <c r="K140" s="53">
        <v>352504579</v>
      </c>
      <c r="L140" s="60">
        <v>8093441726</v>
      </c>
      <c r="M140" s="55" t="s">
        <v>1303</v>
      </c>
    </row>
    <row r="141" spans="1:13" x14ac:dyDescent="0.25">
      <c r="A141" s="61" t="s">
        <v>12</v>
      </c>
      <c r="B141" s="61" t="s">
        <v>13</v>
      </c>
      <c r="C141" s="61" t="s">
        <v>14</v>
      </c>
      <c r="D141" s="61" t="s">
        <v>31</v>
      </c>
      <c r="E141" s="61" t="s">
        <v>32</v>
      </c>
      <c r="F141" s="61" t="s">
        <v>33</v>
      </c>
      <c r="G141" s="53">
        <v>5000</v>
      </c>
      <c r="H141" s="62">
        <v>45961</v>
      </c>
      <c r="I141" s="61" t="s">
        <v>741</v>
      </c>
      <c r="J141" s="61" t="s">
        <v>22</v>
      </c>
      <c r="K141" s="53">
        <v>352504636</v>
      </c>
      <c r="L141" s="61">
        <v>9347726061</v>
      </c>
      <c r="M141" s="55" t="s">
        <v>1304</v>
      </c>
    </row>
  </sheetData>
  <autoFilter ref="A1:M141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3"/>
  <sheetViews>
    <sheetView zoomScaleNormal="100" workbookViewId="0">
      <pane ySplit="1" topLeftCell="A2" activePane="bottomLeft" state="frozen"/>
      <selection pane="bottomLeft"/>
    </sheetView>
  </sheetViews>
  <sheetFormatPr defaultRowHeight="12" x14ac:dyDescent="0.25"/>
  <cols>
    <col min="1" max="1" width="17.77734375" style="59" customWidth="1"/>
    <col min="2" max="2" width="9.77734375" style="59" customWidth="1"/>
    <col min="3" max="3" width="13" style="59" customWidth="1"/>
    <col min="4" max="4" width="14" style="59" bestFit="1" customWidth="1"/>
    <col min="5" max="5" width="15.33203125" style="59" bestFit="1" customWidth="1"/>
    <col min="6" max="6" width="12.44140625" style="59" bestFit="1" customWidth="1"/>
    <col min="7" max="7" width="9" style="59" customWidth="1"/>
    <col min="8" max="8" width="11.109375" style="59" bestFit="1" customWidth="1"/>
    <col min="9" max="9" width="15" style="59" bestFit="1" customWidth="1"/>
    <col min="10" max="10" width="8.5546875" style="59" bestFit="1" customWidth="1"/>
    <col min="11" max="11" width="9" style="59" customWidth="1"/>
    <col min="12" max="12" width="11.21875" style="59" customWidth="1"/>
    <col min="13" max="13" width="54.88671875" style="59" bestFit="1" customWidth="1"/>
    <col min="14" max="16384" width="8.88671875" style="59"/>
  </cols>
  <sheetData>
    <row r="1" spans="1:13" ht="24" x14ac:dyDescent="0.25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7" t="s">
        <v>7</v>
      </c>
      <c r="I1" s="56" t="s">
        <v>8</v>
      </c>
      <c r="J1" s="56" t="s">
        <v>9</v>
      </c>
      <c r="K1" s="56" t="s">
        <v>10</v>
      </c>
      <c r="L1" s="56" t="s">
        <v>949</v>
      </c>
      <c r="M1" s="58" t="s">
        <v>11</v>
      </c>
    </row>
    <row r="2" spans="1:13" x14ac:dyDescent="0.25">
      <c r="A2" s="53" t="s">
        <v>12</v>
      </c>
      <c r="B2" s="53" t="s">
        <v>13</v>
      </c>
      <c r="C2" s="53" t="s">
        <v>14</v>
      </c>
      <c r="D2" s="53" t="s">
        <v>936</v>
      </c>
      <c r="E2" s="54">
        <v>29230100027591</v>
      </c>
      <c r="F2" s="53" t="s">
        <v>937</v>
      </c>
      <c r="G2" s="53">
        <v>7500</v>
      </c>
      <c r="H2" s="62">
        <v>45962</v>
      </c>
      <c r="I2" s="61" t="s">
        <v>895</v>
      </c>
      <c r="J2" s="61" t="s">
        <v>896</v>
      </c>
      <c r="K2" s="53">
        <v>352504645</v>
      </c>
      <c r="L2" s="53">
        <v>6202164591</v>
      </c>
      <c r="M2" s="55" t="s">
        <v>1305</v>
      </c>
    </row>
    <row r="3" spans="1:13" x14ac:dyDescent="0.25">
      <c r="A3" s="53" t="s">
        <v>12</v>
      </c>
      <c r="B3" s="53" t="s">
        <v>13</v>
      </c>
      <c r="C3" s="53" t="s">
        <v>14</v>
      </c>
      <c r="D3" s="53" t="s">
        <v>1274</v>
      </c>
      <c r="E3" s="54">
        <v>30771930274</v>
      </c>
      <c r="F3" s="53" t="s">
        <v>697</v>
      </c>
      <c r="G3" s="53">
        <v>7500</v>
      </c>
      <c r="H3" s="62">
        <v>45962</v>
      </c>
      <c r="I3" s="61" t="s">
        <v>903</v>
      </c>
      <c r="J3" s="61" t="s">
        <v>904</v>
      </c>
      <c r="K3" s="53">
        <v>352504644</v>
      </c>
      <c r="L3" s="53">
        <v>6205109213</v>
      </c>
      <c r="M3" s="55" t="s">
        <v>1305</v>
      </c>
    </row>
    <row r="4" spans="1:13" x14ac:dyDescent="0.25">
      <c r="A4" s="53" t="s">
        <v>12</v>
      </c>
      <c r="B4" s="53" t="s">
        <v>13</v>
      </c>
      <c r="C4" s="53" t="s">
        <v>14</v>
      </c>
      <c r="D4" s="53" t="s">
        <v>108</v>
      </c>
      <c r="E4" s="53" t="s">
        <v>109</v>
      </c>
      <c r="F4" s="53" t="s">
        <v>110</v>
      </c>
      <c r="G4" s="53">
        <v>7500</v>
      </c>
      <c r="H4" s="62">
        <v>45962</v>
      </c>
      <c r="I4" s="61" t="s">
        <v>571</v>
      </c>
      <c r="J4" s="61" t="s">
        <v>59</v>
      </c>
      <c r="K4" s="53">
        <v>352504671</v>
      </c>
      <c r="L4" s="53">
        <v>7870570436</v>
      </c>
      <c r="M4" s="55" t="s">
        <v>1305</v>
      </c>
    </row>
    <row r="5" spans="1:13" x14ac:dyDescent="0.25">
      <c r="A5" s="61" t="s">
        <v>12</v>
      </c>
      <c r="B5" s="61" t="s">
        <v>13</v>
      </c>
      <c r="C5" s="61" t="s">
        <v>14</v>
      </c>
      <c r="D5" s="61" t="s">
        <v>31</v>
      </c>
      <c r="E5" s="61" t="s">
        <v>32</v>
      </c>
      <c r="F5" s="61" t="s">
        <v>33</v>
      </c>
      <c r="G5" s="53">
        <v>7500</v>
      </c>
      <c r="H5" s="62">
        <v>45962</v>
      </c>
      <c r="I5" s="61" t="s">
        <v>741</v>
      </c>
      <c r="J5" s="61" t="s">
        <v>22</v>
      </c>
      <c r="K5" s="53">
        <v>352504670</v>
      </c>
      <c r="L5" s="61">
        <v>9347726061</v>
      </c>
      <c r="M5" s="55" t="s">
        <v>1305</v>
      </c>
    </row>
    <row r="6" spans="1:13" x14ac:dyDescent="0.25">
      <c r="A6" s="53" t="s">
        <v>12</v>
      </c>
      <c r="B6" s="53" t="s">
        <v>13</v>
      </c>
      <c r="C6" s="53" t="s">
        <v>14</v>
      </c>
      <c r="D6" s="53" t="s">
        <v>435</v>
      </c>
      <c r="E6" s="53">
        <v>31095925572</v>
      </c>
      <c r="F6" s="60" t="s">
        <v>33</v>
      </c>
      <c r="G6" s="53">
        <v>7700</v>
      </c>
      <c r="H6" s="62">
        <v>45964</v>
      </c>
      <c r="I6" s="61" t="s">
        <v>966</v>
      </c>
      <c r="J6" s="61" t="s">
        <v>967</v>
      </c>
      <c r="K6" s="53">
        <v>352504677</v>
      </c>
      <c r="L6" s="60">
        <v>8084080392</v>
      </c>
      <c r="M6" s="55" t="s">
        <v>1306</v>
      </c>
    </row>
    <row r="7" spans="1:13" x14ac:dyDescent="0.25">
      <c r="A7" s="53" t="s">
        <v>12</v>
      </c>
      <c r="B7" s="53" t="s">
        <v>13</v>
      </c>
      <c r="C7" s="53" t="s">
        <v>14</v>
      </c>
      <c r="D7" s="53" t="s">
        <v>144</v>
      </c>
      <c r="E7" s="53">
        <v>44182579159</v>
      </c>
      <c r="F7" s="53" t="s">
        <v>145</v>
      </c>
      <c r="G7" s="53">
        <v>4950</v>
      </c>
      <c r="H7" s="62">
        <v>45964</v>
      </c>
      <c r="I7" s="53" t="s">
        <v>652</v>
      </c>
      <c r="J7" s="53" t="s">
        <v>147</v>
      </c>
      <c r="K7" s="53">
        <v>352504637</v>
      </c>
      <c r="L7" s="53">
        <v>7765824237</v>
      </c>
      <c r="M7" s="55" t="s">
        <v>1307</v>
      </c>
    </row>
    <row r="8" spans="1:13" x14ac:dyDescent="0.25">
      <c r="A8" s="53" t="s">
        <v>12</v>
      </c>
      <c r="B8" s="53" t="s">
        <v>13</v>
      </c>
      <c r="C8" s="53" t="s">
        <v>14</v>
      </c>
      <c r="D8" s="53" t="s">
        <v>36</v>
      </c>
      <c r="E8" s="53" t="s">
        <v>37</v>
      </c>
      <c r="F8" s="53" t="s">
        <v>38</v>
      </c>
      <c r="G8" s="53">
        <v>400</v>
      </c>
      <c r="H8" s="62">
        <v>45964</v>
      </c>
      <c r="I8" s="53" t="s">
        <v>902</v>
      </c>
      <c r="J8" s="53" t="s">
        <v>901</v>
      </c>
      <c r="K8" s="53">
        <v>352504684</v>
      </c>
      <c r="L8" s="53">
        <v>9358936441</v>
      </c>
      <c r="M8" s="55" t="s">
        <v>1308</v>
      </c>
    </row>
    <row r="9" spans="1:13" x14ac:dyDescent="0.25">
      <c r="A9" s="53" t="s">
        <v>12</v>
      </c>
      <c r="B9" s="53" t="s">
        <v>13</v>
      </c>
      <c r="C9" s="53" t="s">
        <v>14</v>
      </c>
      <c r="D9" s="53" t="s">
        <v>936</v>
      </c>
      <c r="E9" s="54">
        <v>29230100027591</v>
      </c>
      <c r="F9" s="53" t="s">
        <v>937</v>
      </c>
      <c r="G9" s="53">
        <v>1000</v>
      </c>
      <c r="H9" s="62">
        <v>45965</v>
      </c>
      <c r="I9" s="61" t="s">
        <v>895</v>
      </c>
      <c r="J9" s="61" t="s">
        <v>896</v>
      </c>
      <c r="K9" s="53">
        <v>352504696</v>
      </c>
      <c r="L9" s="53">
        <v>6202164591</v>
      </c>
      <c r="M9" s="55" t="s">
        <v>1309</v>
      </c>
    </row>
    <row r="10" spans="1:13" x14ac:dyDescent="0.25">
      <c r="A10" s="53" t="s">
        <v>12</v>
      </c>
      <c r="B10" s="53" t="s">
        <v>13</v>
      </c>
      <c r="C10" s="53" t="s">
        <v>14</v>
      </c>
      <c r="D10" s="53" t="s">
        <v>993</v>
      </c>
      <c r="E10" s="69">
        <v>50100683547664</v>
      </c>
      <c r="F10" s="60" t="s">
        <v>994</v>
      </c>
      <c r="G10" s="53">
        <v>2000</v>
      </c>
      <c r="H10" s="62">
        <v>45965</v>
      </c>
      <c r="I10" s="61" t="s">
        <v>593</v>
      </c>
      <c r="J10" s="61" t="s">
        <v>76</v>
      </c>
      <c r="K10" s="53">
        <v>352504664</v>
      </c>
      <c r="L10" s="60">
        <v>8093441726</v>
      </c>
      <c r="M10" s="55" t="s">
        <v>1310</v>
      </c>
    </row>
    <row r="11" spans="1:13" x14ac:dyDescent="0.25">
      <c r="A11" s="53" t="s">
        <v>12</v>
      </c>
      <c r="B11" s="53" t="s">
        <v>13</v>
      </c>
      <c r="C11" s="53" t="s">
        <v>14</v>
      </c>
      <c r="D11" s="53" t="s">
        <v>435</v>
      </c>
      <c r="E11" s="53">
        <v>31095925572</v>
      </c>
      <c r="F11" s="60" t="s">
        <v>33</v>
      </c>
      <c r="G11" s="53">
        <v>2000</v>
      </c>
      <c r="H11" s="62">
        <v>45965</v>
      </c>
      <c r="I11" s="61" t="s">
        <v>966</v>
      </c>
      <c r="J11" s="61" t="s">
        <v>967</v>
      </c>
      <c r="K11" s="53">
        <v>352504677</v>
      </c>
      <c r="L11" s="60">
        <v>8084080392</v>
      </c>
      <c r="M11" s="55" t="s">
        <v>1310</v>
      </c>
    </row>
    <row r="12" spans="1:13" x14ac:dyDescent="0.25">
      <c r="A12" s="53" t="s">
        <v>12</v>
      </c>
      <c r="B12" s="53" t="s">
        <v>13</v>
      </c>
      <c r="C12" s="53" t="s">
        <v>14</v>
      </c>
      <c r="D12" s="53" t="s">
        <v>144</v>
      </c>
      <c r="E12" s="53">
        <v>44182579159</v>
      </c>
      <c r="F12" s="53" t="s">
        <v>145</v>
      </c>
      <c r="G12" s="53">
        <v>2000</v>
      </c>
      <c r="H12" s="62">
        <v>45965</v>
      </c>
      <c r="I12" s="53" t="s">
        <v>652</v>
      </c>
      <c r="J12" s="53" t="s">
        <v>147</v>
      </c>
      <c r="K12" s="53">
        <v>352504694</v>
      </c>
      <c r="L12" s="53">
        <v>7765824237</v>
      </c>
      <c r="M12" s="55" t="s">
        <v>1310</v>
      </c>
    </row>
    <row r="13" spans="1:13" x14ac:dyDescent="0.25">
      <c r="A13" s="53" t="s">
        <v>12</v>
      </c>
      <c r="B13" s="53" t="s">
        <v>13</v>
      </c>
      <c r="C13" s="53" t="s">
        <v>14</v>
      </c>
      <c r="D13" s="53" t="s">
        <v>108</v>
      </c>
      <c r="E13" s="53" t="s">
        <v>109</v>
      </c>
      <c r="F13" s="53" t="s">
        <v>110</v>
      </c>
      <c r="G13" s="53">
        <v>1000</v>
      </c>
      <c r="H13" s="62">
        <v>45966</v>
      </c>
      <c r="I13" s="61" t="s">
        <v>571</v>
      </c>
      <c r="J13" s="61" t="s">
        <v>59</v>
      </c>
      <c r="K13" s="53">
        <v>352504710</v>
      </c>
      <c r="L13" s="53">
        <v>7870570436</v>
      </c>
      <c r="M13" s="55" t="s">
        <v>1311</v>
      </c>
    </row>
    <row r="14" spans="1:13" x14ac:dyDescent="0.25">
      <c r="A14" s="61" t="s">
        <v>12</v>
      </c>
      <c r="B14" s="61" t="s">
        <v>13</v>
      </c>
      <c r="C14" s="61" t="s">
        <v>14</v>
      </c>
      <c r="D14" s="61" t="s">
        <v>31</v>
      </c>
      <c r="E14" s="61" t="s">
        <v>32</v>
      </c>
      <c r="F14" s="61" t="s">
        <v>33</v>
      </c>
      <c r="G14" s="53">
        <v>1000</v>
      </c>
      <c r="H14" s="62">
        <v>45966</v>
      </c>
      <c r="I14" s="61" t="s">
        <v>741</v>
      </c>
      <c r="J14" s="61" t="s">
        <v>22</v>
      </c>
      <c r="K14" s="53">
        <v>352504713</v>
      </c>
      <c r="L14" s="61">
        <v>9347726061</v>
      </c>
      <c r="M14" s="55" t="s">
        <v>1311</v>
      </c>
    </row>
    <row r="15" spans="1:13" x14ac:dyDescent="0.25">
      <c r="A15" s="53" t="s">
        <v>12</v>
      </c>
      <c r="B15" s="53" t="s">
        <v>13</v>
      </c>
      <c r="C15" s="53" t="s">
        <v>14</v>
      </c>
      <c r="D15" s="53" t="s">
        <v>1274</v>
      </c>
      <c r="E15" s="54">
        <v>30771930274</v>
      </c>
      <c r="F15" s="53" t="s">
        <v>697</v>
      </c>
      <c r="G15" s="53">
        <v>1000</v>
      </c>
      <c r="H15" s="62">
        <v>45966</v>
      </c>
      <c r="I15" s="61" t="s">
        <v>903</v>
      </c>
      <c r="J15" s="61" t="s">
        <v>904</v>
      </c>
      <c r="K15" s="53">
        <v>352504712</v>
      </c>
      <c r="L15" s="53">
        <v>6205109213</v>
      </c>
      <c r="M15" s="55" t="s">
        <v>1311</v>
      </c>
    </row>
    <row r="16" spans="1:13" x14ac:dyDescent="0.25">
      <c r="A16" s="53" t="s">
        <v>12</v>
      </c>
      <c r="B16" s="53" t="s">
        <v>13</v>
      </c>
      <c r="C16" s="53" t="s">
        <v>14</v>
      </c>
      <c r="D16" s="53" t="s">
        <v>435</v>
      </c>
      <c r="E16" s="53">
        <v>31095925572</v>
      </c>
      <c r="F16" s="60" t="s">
        <v>33</v>
      </c>
      <c r="G16" s="53">
        <v>5450</v>
      </c>
      <c r="H16" s="62">
        <v>45966</v>
      </c>
      <c r="I16" s="61" t="s">
        <v>966</v>
      </c>
      <c r="J16" s="61" t="s">
        <v>967</v>
      </c>
      <c r="K16" s="53">
        <v>352504714</v>
      </c>
      <c r="L16" s="60">
        <v>8084080392</v>
      </c>
      <c r="M16" s="55" t="s">
        <v>1312</v>
      </c>
    </row>
    <row r="17" spans="1:13" x14ac:dyDescent="0.25">
      <c r="A17" s="53" t="s">
        <v>12</v>
      </c>
      <c r="B17" s="53" t="s">
        <v>13</v>
      </c>
      <c r="C17" s="53" t="s">
        <v>14</v>
      </c>
      <c r="D17" s="53" t="s">
        <v>435</v>
      </c>
      <c r="E17" s="53">
        <v>31095925572</v>
      </c>
      <c r="F17" s="60" t="s">
        <v>33</v>
      </c>
      <c r="G17" s="53">
        <v>2500</v>
      </c>
      <c r="H17" s="62">
        <v>45966</v>
      </c>
      <c r="I17" s="61" t="s">
        <v>966</v>
      </c>
      <c r="J17" s="61" t="s">
        <v>967</v>
      </c>
      <c r="K17" s="53">
        <v>352504714</v>
      </c>
      <c r="L17" s="60">
        <v>8084080392</v>
      </c>
      <c r="M17" s="55" t="s">
        <v>1313</v>
      </c>
    </row>
    <row r="18" spans="1:13" x14ac:dyDescent="0.25">
      <c r="A18" s="53" t="s">
        <v>12</v>
      </c>
      <c r="B18" s="53" t="s">
        <v>13</v>
      </c>
      <c r="C18" s="53" t="s">
        <v>14</v>
      </c>
      <c r="D18" s="53" t="s">
        <v>993</v>
      </c>
      <c r="E18" s="69">
        <v>50100683547664</v>
      </c>
      <c r="F18" s="60" t="s">
        <v>994</v>
      </c>
      <c r="G18" s="53">
        <v>500</v>
      </c>
      <c r="H18" s="62">
        <v>45966</v>
      </c>
      <c r="I18" s="61" t="s">
        <v>593</v>
      </c>
      <c r="J18" s="61" t="s">
        <v>76</v>
      </c>
      <c r="K18" s="53">
        <v>352504723</v>
      </c>
      <c r="L18" s="60">
        <v>8093441726</v>
      </c>
      <c r="M18" s="55" t="s">
        <v>1314</v>
      </c>
    </row>
    <row r="19" spans="1:13" x14ac:dyDescent="0.25">
      <c r="A19" s="53" t="s">
        <v>12</v>
      </c>
      <c r="B19" s="53" t="s">
        <v>13</v>
      </c>
      <c r="C19" s="53" t="s">
        <v>14</v>
      </c>
      <c r="D19" s="53" t="s">
        <v>144</v>
      </c>
      <c r="E19" s="53">
        <v>44182579159</v>
      </c>
      <c r="F19" s="53" t="s">
        <v>145</v>
      </c>
      <c r="G19" s="53">
        <v>500</v>
      </c>
      <c r="H19" s="62">
        <v>45966</v>
      </c>
      <c r="I19" s="53" t="s">
        <v>652</v>
      </c>
      <c r="J19" s="53" t="s">
        <v>147</v>
      </c>
      <c r="K19" s="53">
        <v>352504724</v>
      </c>
      <c r="L19" s="53">
        <v>7765824237</v>
      </c>
      <c r="M19" s="55" t="s">
        <v>1314</v>
      </c>
    </row>
    <row r="20" spans="1:13" x14ac:dyDescent="0.25">
      <c r="A20" s="53" t="s">
        <v>12</v>
      </c>
      <c r="B20" s="53" t="s">
        <v>13</v>
      </c>
      <c r="C20" s="53" t="s">
        <v>14</v>
      </c>
      <c r="D20" s="53" t="s">
        <v>993</v>
      </c>
      <c r="E20" s="69">
        <v>50100683547664</v>
      </c>
      <c r="F20" s="60" t="s">
        <v>994</v>
      </c>
      <c r="G20" s="53">
        <v>5200</v>
      </c>
      <c r="H20" s="62">
        <v>45966</v>
      </c>
      <c r="I20" s="61" t="s">
        <v>593</v>
      </c>
      <c r="J20" s="61" t="s">
        <v>76</v>
      </c>
      <c r="K20" s="53">
        <v>352504723</v>
      </c>
      <c r="L20" s="60">
        <v>8093441726</v>
      </c>
      <c r="M20" s="55" t="s">
        <v>1315</v>
      </c>
    </row>
    <row r="21" spans="1:13" x14ac:dyDescent="0.25">
      <c r="A21" s="53" t="s">
        <v>12</v>
      </c>
      <c r="B21" s="53" t="s">
        <v>13</v>
      </c>
      <c r="C21" s="53" t="s">
        <v>14</v>
      </c>
      <c r="D21" s="53" t="s">
        <v>144</v>
      </c>
      <c r="E21" s="53">
        <v>44182579159</v>
      </c>
      <c r="F21" s="53" t="s">
        <v>145</v>
      </c>
      <c r="G21" s="53">
        <v>5450</v>
      </c>
      <c r="H21" s="62">
        <v>45966</v>
      </c>
      <c r="I21" s="53" t="s">
        <v>652</v>
      </c>
      <c r="J21" s="53" t="s">
        <v>147</v>
      </c>
      <c r="K21" s="53">
        <v>352504724</v>
      </c>
      <c r="L21" s="53">
        <v>7765824237</v>
      </c>
      <c r="M21" s="55" t="s">
        <v>1312</v>
      </c>
    </row>
    <row r="22" spans="1:13" x14ac:dyDescent="0.25">
      <c r="A22" s="53" t="s">
        <v>12</v>
      </c>
      <c r="B22" s="53" t="s">
        <v>13</v>
      </c>
      <c r="C22" s="53" t="s">
        <v>14</v>
      </c>
      <c r="D22" s="53" t="s">
        <v>435</v>
      </c>
      <c r="E22" s="53">
        <v>31095925572</v>
      </c>
      <c r="F22" s="60" t="s">
        <v>33</v>
      </c>
      <c r="G22" s="53">
        <v>1500</v>
      </c>
      <c r="H22" s="62">
        <v>45967</v>
      </c>
      <c r="I22" s="61" t="s">
        <v>966</v>
      </c>
      <c r="J22" s="61" t="s">
        <v>967</v>
      </c>
      <c r="K22" s="53">
        <v>352504730</v>
      </c>
      <c r="L22" s="60">
        <v>8084080392</v>
      </c>
      <c r="M22" s="55" t="s">
        <v>1316</v>
      </c>
    </row>
    <row r="23" spans="1:13" x14ac:dyDescent="0.25">
      <c r="A23" s="53" t="s">
        <v>12</v>
      </c>
      <c r="B23" s="53" t="s">
        <v>13</v>
      </c>
      <c r="C23" s="53" t="s">
        <v>14</v>
      </c>
      <c r="D23" s="53" t="s">
        <v>993</v>
      </c>
      <c r="E23" s="69">
        <v>50100683547664</v>
      </c>
      <c r="F23" s="60" t="s">
        <v>994</v>
      </c>
      <c r="G23" s="53">
        <v>3950</v>
      </c>
      <c r="H23" s="62">
        <v>45967</v>
      </c>
      <c r="I23" s="61" t="s">
        <v>593</v>
      </c>
      <c r="J23" s="61" t="s">
        <v>76</v>
      </c>
      <c r="K23" s="53">
        <v>352504733</v>
      </c>
      <c r="L23" s="60">
        <v>8093441726</v>
      </c>
      <c r="M23" s="55" t="s">
        <v>1317</v>
      </c>
    </row>
    <row r="24" spans="1:13" x14ac:dyDescent="0.25">
      <c r="A24" s="53" t="s">
        <v>12</v>
      </c>
      <c r="B24" s="53" t="s">
        <v>13</v>
      </c>
      <c r="C24" s="53" t="s">
        <v>14</v>
      </c>
      <c r="D24" s="53" t="s">
        <v>144</v>
      </c>
      <c r="E24" s="53">
        <v>44182579159</v>
      </c>
      <c r="F24" s="53" t="s">
        <v>145</v>
      </c>
      <c r="G24" s="53">
        <v>5200</v>
      </c>
      <c r="H24" s="62">
        <v>45967</v>
      </c>
      <c r="I24" s="53" t="s">
        <v>652</v>
      </c>
      <c r="J24" s="53" t="s">
        <v>147</v>
      </c>
      <c r="K24" s="53">
        <v>352504729</v>
      </c>
      <c r="L24" s="53">
        <v>7765824237</v>
      </c>
      <c r="M24" s="55" t="s">
        <v>1318</v>
      </c>
    </row>
    <row r="25" spans="1:13" x14ac:dyDescent="0.25">
      <c r="A25" s="53" t="s">
        <v>12</v>
      </c>
      <c r="B25" s="53" t="s">
        <v>13</v>
      </c>
      <c r="C25" s="53" t="s">
        <v>14</v>
      </c>
      <c r="D25" s="53" t="s">
        <v>435</v>
      </c>
      <c r="E25" s="53">
        <v>31095925572</v>
      </c>
      <c r="F25" s="60" t="s">
        <v>33</v>
      </c>
      <c r="G25" s="53">
        <v>5450</v>
      </c>
      <c r="H25" s="62">
        <v>45967</v>
      </c>
      <c r="I25" s="61" t="s">
        <v>966</v>
      </c>
      <c r="J25" s="61" t="s">
        <v>967</v>
      </c>
      <c r="K25" s="53">
        <v>352504744</v>
      </c>
      <c r="L25" s="60">
        <v>8084080392</v>
      </c>
      <c r="M25" s="55" t="s">
        <v>1319</v>
      </c>
    </row>
    <row r="26" spans="1:13" x14ac:dyDescent="0.25">
      <c r="A26" s="53" t="s">
        <v>12</v>
      </c>
      <c r="B26" s="53" t="s">
        <v>13</v>
      </c>
      <c r="C26" s="53" t="s">
        <v>14</v>
      </c>
      <c r="D26" s="53" t="s">
        <v>144</v>
      </c>
      <c r="E26" s="53">
        <v>44182579159</v>
      </c>
      <c r="F26" s="53" t="s">
        <v>145</v>
      </c>
      <c r="G26" s="53">
        <v>5200</v>
      </c>
      <c r="H26" s="62">
        <v>45967</v>
      </c>
      <c r="I26" s="53" t="s">
        <v>652</v>
      </c>
      <c r="J26" s="53" t="s">
        <v>147</v>
      </c>
      <c r="K26" s="53">
        <v>352504745</v>
      </c>
      <c r="L26" s="53">
        <v>7765824237</v>
      </c>
      <c r="M26" s="55" t="s">
        <v>1318</v>
      </c>
    </row>
    <row r="27" spans="1:13" x14ac:dyDescent="0.25">
      <c r="A27" s="53" t="s">
        <v>12</v>
      </c>
      <c r="B27" s="53" t="s">
        <v>13</v>
      </c>
      <c r="C27" s="53" t="s">
        <v>14</v>
      </c>
      <c r="D27" s="53" t="s">
        <v>936</v>
      </c>
      <c r="E27" s="54">
        <v>29230100027591</v>
      </c>
      <c r="F27" s="53" t="s">
        <v>937</v>
      </c>
      <c r="G27" s="53">
        <v>600</v>
      </c>
      <c r="H27" s="62">
        <v>45967</v>
      </c>
      <c r="I27" s="61" t="s">
        <v>895</v>
      </c>
      <c r="J27" s="61" t="s">
        <v>896</v>
      </c>
      <c r="K27" s="53">
        <v>352504696</v>
      </c>
      <c r="L27" s="53">
        <v>6202164591</v>
      </c>
      <c r="M27" s="55" t="s">
        <v>1320</v>
      </c>
    </row>
    <row r="28" spans="1:13" x14ac:dyDescent="0.25">
      <c r="A28" s="53" t="s">
        <v>12</v>
      </c>
      <c r="B28" s="53" t="s">
        <v>13</v>
      </c>
      <c r="C28" s="53" t="s">
        <v>14</v>
      </c>
      <c r="D28" s="53" t="s">
        <v>108</v>
      </c>
      <c r="E28" s="53" t="s">
        <v>109</v>
      </c>
      <c r="F28" s="53" t="s">
        <v>110</v>
      </c>
      <c r="G28" s="53">
        <v>600</v>
      </c>
      <c r="H28" s="62">
        <v>45967</v>
      </c>
      <c r="I28" s="61" t="s">
        <v>571</v>
      </c>
      <c r="J28" s="61" t="s">
        <v>59</v>
      </c>
      <c r="K28" s="53">
        <v>352504710</v>
      </c>
      <c r="L28" s="53">
        <v>7870570436</v>
      </c>
      <c r="M28" s="55" t="s">
        <v>1321</v>
      </c>
    </row>
    <row r="29" spans="1:13" x14ac:dyDescent="0.25">
      <c r="A29" s="61" t="s">
        <v>12</v>
      </c>
      <c r="B29" s="61" t="s">
        <v>13</v>
      </c>
      <c r="C29" s="61" t="s">
        <v>14</v>
      </c>
      <c r="D29" s="61" t="s">
        <v>31</v>
      </c>
      <c r="E29" s="61" t="s">
        <v>32</v>
      </c>
      <c r="F29" s="61" t="s">
        <v>33</v>
      </c>
      <c r="G29" s="53">
        <v>600</v>
      </c>
      <c r="H29" s="62">
        <v>45967</v>
      </c>
      <c r="I29" s="61" t="s">
        <v>741</v>
      </c>
      <c r="J29" s="61" t="s">
        <v>22</v>
      </c>
      <c r="K29" s="53">
        <v>352504713</v>
      </c>
      <c r="L29" s="61">
        <v>9347726061</v>
      </c>
      <c r="M29" s="55" t="s">
        <v>1321</v>
      </c>
    </row>
    <row r="30" spans="1:13" x14ac:dyDescent="0.25">
      <c r="A30" s="53" t="s">
        <v>12</v>
      </c>
      <c r="B30" s="53" t="s">
        <v>13</v>
      </c>
      <c r="C30" s="53" t="s">
        <v>14</v>
      </c>
      <c r="D30" s="53" t="s">
        <v>1274</v>
      </c>
      <c r="E30" s="54">
        <v>30771930274</v>
      </c>
      <c r="F30" s="53" t="s">
        <v>697</v>
      </c>
      <c r="G30" s="53">
        <v>600</v>
      </c>
      <c r="H30" s="62">
        <v>45967</v>
      </c>
      <c r="I30" s="61" t="s">
        <v>903</v>
      </c>
      <c r="J30" s="61" t="s">
        <v>904</v>
      </c>
      <c r="K30" s="53">
        <v>352504712</v>
      </c>
      <c r="L30" s="53">
        <v>6205109213</v>
      </c>
      <c r="M30" s="55" t="s">
        <v>1321</v>
      </c>
    </row>
    <row r="31" spans="1:13" x14ac:dyDescent="0.25">
      <c r="A31" s="53" t="s">
        <v>12</v>
      </c>
      <c r="B31" s="53" t="s">
        <v>13</v>
      </c>
      <c r="C31" s="53" t="s">
        <v>14</v>
      </c>
      <c r="D31" s="53" t="s">
        <v>435</v>
      </c>
      <c r="E31" s="53">
        <v>31095925572</v>
      </c>
      <c r="F31" s="60" t="s">
        <v>33</v>
      </c>
      <c r="G31" s="53">
        <v>7500</v>
      </c>
      <c r="H31" s="62">
        <v>45968</v>
      </c>
      <c r="I31" s="61" t="s">
        <v>966</v>
      </c>
      <c r="J31" s="61" t="s">
        <v>967</v>
      </c>
      <c r="K31" s="53">
        <v>352504751</v>
      </c>
      <c r="L31" s="60">
        <v>8084080392</v>
      </c>
      <c r="M31" s="55" t="s">
        <v>1322</v>
      </c>
    </row>
    <row r="32" spans="1:13" x14ac:dyDescent="0.25">
      <c r="A32" s="53" t="s">
        <v>12</v>
      </c>
      <c r="B32" s="53" t="s">
        <v>13</v>
      </c>
      <c r="C32" s="53" t="s">
        <v>14</v>
      </c>
      <c r="D32" s="53" t="s">
        <v>993</v>
      </c>
      <c r="E32" s="69">
        <v>50100683547664</v>
      </c>
      <c r="F32" s="60" t="s">
        <v>994</v>
      </c>
      <c r="G32" s="53">
        <v>7500</v>
      </c>
      <c r="H32" s="62">
        <v>45968</v>
      </c>
      <c r="I32" s="61" t="s">
        <v>593</v>
      </c>
      <c r="J32" s="61" t="s">
        <v>76</v>
      </c>
      <c r="K32" s="53">
        <v>352504733</v>
      </c>
      <c r="L32" s="60">
        <v>8093441726</v>
      </c>
      <c r="M32" s="55" t="s">
        <v>1322</v>
      </c>
    </row>
    <row r="33" spans="1:13" x14ac:dyDescent="0.25">
      <c r="A33" s="53" t="s">
        <v>12</v>
      </c>
      <c r="B33" s="53" t="s">
        <v>13</v>
      </c>
      <c r="C33" s="53" t="s">
        <v>14</v>
      </c>
      <c r="D33" s="53" t="s">
        <v>936</v>
      </c>
      <c r="E33" s="54">
        <v>29230100027591</v>
      </c>
      <c r="F33" s="53" t="s">
        <v>937</v>
      </c>
      <c r="G33" s="53">
        <v>1000</v>
      </c>
      <c r="H33" s="62">
        <v>45968</v>
      </c>
      <c r="I33" s="61" t="s">
        <v>895</v>
      </c>
      <c r="J33" s="61" t="s">
        <v>896</v>
      </c>
      <c r="K33" s="53">
        <v>352504696</v>
      </c>
      <c r="L33" s="53">
        <v>6202164591</v>
      </c>
      <c r="M33" s="55" t="s">
        <v>1323</v>
      </c>
    </row>
    <row r="34" spans="1:13" x14ac:dyDescent="0.25">
      <c r="A34" s="53" t="s">
        <v>12</v>
      </c>
      <c r="B34" s="53" t="s">
        <v>13</v>
      </c>
      <c r="C34" s="53" t="s">
        <v>14</v>
      </c>
      <c r="D34" s="53" t="s">
        <v>1274</v>
      </c>
      <c r="E34" s="54">
        <v>30771930274</v>
      </c>
      <c r="F34" s="53" t="s">
        <v>697</v>
      </c>
      <c r="G34" s="53">
        <v>1000</v>
      </c>
      <c r="H34" s="62">
        <v>45968</v>
      </c>
      <c r="I34" s="61" t="s">
        <v>903</v>
      </c>
      <c r="J34" s="61" t="s">
        <v>904</v>
      </c>
      <c r="K34" s="53">
        <v>352504712</v>
      </c>
      <c r="L34" s="53">
        <v>6205109213</v>
      </c>
      <c r="M34" s="55" t="s">
        <v>1323</v>
      </c>
    </row>
    <row r="35" spans="1:13" x14ac:dyDescent="0.25">
      <c r="A35" s="53" t="s">
        <v>12</v>
      </c>
      <c r="B35" s="53" t="s">
        <v>13</v>
      </c>
      <c r="C35" s="53" t="s">
        <v>14</v>
      </c>
      <c r="D35" s="53" t="s">
        <v>144</v>
      </c>
      <c r="E35" s="53">
        <v>44182579159</v>
      </c>
      <c r="F35" s="53" t="s">
        <v>145</v>
      </c>
      <c r="G35" s="53">
        <v>6000</v>
      </c>
      <c r="H35" s="62">
        <v>45968</v>
      </c>
      <c r="I35" s="53" t="s">
        <v>652</v>
      </c>
      <c r="J35" s="53" t="s">
        <v>147</v>
      </c>
      <c r="K35" s="53">
        <v>352504750</v>
      </c>
      <c r="L35" s="53">
        <v>7765824237</v>
      </c>
      <c r="M35" s="55" t="s">
        <v>1324</v>
      </c>
    </row>
    <row r="36" spans="1:13" x14ac:dyDescent="0.25">
      <c r="A36" s="61" t="s">
        <v>12</v>
      </c>
      <c r="B36" s="61" t="s">
        <v>13</v>
      </c>
      <c r="C36" s="61" t="s">
        <v>14</v>
      </c>
      <c r="D36" s="61" t="s">
        <v>31</v>
      </c>
      <c r="E36" s="61" t="s">
        <v>32</v>
      </c>
      <c r="F36" s="61" t="s">
        <v>33</v>
      </c>
      <c r="G36" s="53">
        <v>6100</v>
      </c>
      <c r="H36" s="62">
        <v>45969</v>
      </c>
      <c r="I36" s="61" t="s">
        <v>741</v>
      </c>
      <c r="J36" s="61" t="s">
        <v>22</v>
      </c>
      <c r="K36" s="53">
        <v>352504771</v>
      </c>
      <c r="L36" s="61">
        <v>9347726061</v>
      </c>
      <c r="M36" s="55" t="s">
        <v>1326</v>
      </c>
    </row>
    <row r="37" spans="1:13" x14ac:dyDescent="0.25">
      <c r="A37" s="53" t="s">
        <v>12</v>
      </c>
      <c r="B37" s="53" t="s">
        <v>13</v>
      </c>
      <c r="C37" s="53" t="s">
        <v>14</v>
      </c>
      <c r="D37" s="53" t="s">
        <v>36</v>
      </c>
      <c r="E37" s="53" t="s">
        <v>37</v>
      </c>
      <c r="F37" s="53" t="s">
        <v>38</v>
      </c>
      <c r="G37" s="53">
        <v>6100</v>
      </c>
      <c r="H37" s="62">
        <v>45969</v>
      </c>
      <c r="I37" s="53" t="s">
        <v>902</v>
      </c>
      <c r="J37" s="53" t="s">
        <v>901</v>
      </c>
      <c r="K37" s="53">
        <v>352504685</v>
      </c>
      <c r="L37" s="53">
        <v>9358936441</v>
      </c>
      <c r="M37" s="55" t="s">
        <v>1326</v>
      </c>
    </row>
    <row r="38" spans="1:13" x14ac:dyDescent="0.25">
      <c r="A38" s="61" t="s">
        <v>12</v>
      </c>
      <c r="B38" s="61" t="s">
        <v>13</v>
      </c>
      <c r="C38" s="61" t="s">
        <v>14</v>
      </c>
      <c r="D38" s="61" t="s">
        <v>31</v>
      </c>
      <c r="E38" s="61" t="s">
        <v>32</v>
      </c>
      <c r="F38" s="61" t="s">
        <v>33</v>
      </c>
      <c r="G38" s="53">
        <v>1000</v>
      </c>
      <c r="H38" s="62">
        <v>45969</v>
      </c>
      <c r="I38" s="61" t="s">
        <v>741</v>
      </c>
      <c r="J38" s="61" t="s">
        <v>22</v>
      </c>
      <c r="K38" s="53">
        <v>352504771</v>
      </c>
      <c r="L38" s="61">
        <v>9347726061</v>
      </c>
      <c r="M38" s="55" t="s">
        <v>1325</v>
      </c>
    </row>
    <row r="39" spans="1:13" x14ac:dyDescent="0.25">
      <c r="A39" s="53" t="s">
        <v>12</v>
      </c>
      <c r="B39" s="53" t="s">
        <v>13</v>
      </c>
      <c r="C39" s="53" t="s">
        <v>14</v>
      </c>
      <c r="D39" s="53" t="s">
        <v>435</v>
      </c>
      <c r="E39" s="53">
        <v>31095925572</v>
      </c>
      <c r="F39" s="60" t="s">
        <v>33</v>
      </c>
      <c r="G39" s="53">
        <v>1000</v>
      </c>
      <c r="H39" s="62">
        <v>45969</v>
      </c>
      <c r="I39" s="61" t="s">
        <v>966</v>
      </c>
      <c r="J39" s="61" t="s">
        <v>967</v>
      </c>
      <c r="K39" s="53">
        <v>352504773</v>
      </c>
      <c r="L39" s="60">
        <v>8084080392</v>
      </c>
      <c r="M39" s="55" t="s">
        <v>1327</v>
      </c>
    </row>
    <row r="40" spans="1:13" x14ac:dyDescent="0.25">
      <c r="A40" s="53" t="s">
        <v>12</v>
      </c>
      <c r="B40" s="53" t="s">
        <v>13</v>
      </c>
      <c r="C40" s="53" t="s">
        <v>14</v>
      </c>
      <c r="D40" s="53" t="s">
        <v>993</v>
      </c>
      <c r="E40" s="69">
        <v>50100683547664</v>
      </c>
      <c r="F40" s="60" t="s">
        <v>994</v>
      </c>
      <c r="G40" s="53">
        <v>1000</v>
      </c>
      <c r="H40" s="62">
        <v>45969</v>
      </c>
      <c r="I40" s="61" t="s">
        <v>593</v>
      </c>
      <c r="J40" s="61" t="s">
        <v>76</v>
      </c>
      <c r="K40" s="53">
        <v>352504772</v>
      </c>
      <c r="L40" s="60">
        <v>8093441726</v>
      </c>
      <c r="M40" s="55" t="s">
        <v>1327</v>
      </c>
    </row>
    <row r="41" spans="1:13" x14ac:dyDescent="0.25">
      <c r="A41" s="53" t="s">
        <v>12</v>
      </c>
      <c r="B41" s="53" t="s">
        <v>13</v>
      </c>
      <c r="C41" s="53" t="s">
        <v>14</v>
      </c>
      <c r="D41" s="53" t="s">
        <v>435</v>
      </c>
      <c r="E41" s="53">
        <v>31095925572</v>
      </c>
      <c r="F41" s="60" t="s">
        <v>33</v>
      </c>
      <c r="G41" s="53">
        <v>1500</v>
      </c>
      <c r="H41" s="62">
        <v>45971</v>
      </c>
      <c r="I41" s="61" t="s">
        <v>966</v>
      </c>
      <c r="J41" s="61" t="s">
        <v>967</v>
      </c>
      <c r="K41" s="53">
        <v>352504773</v>
      </c>
      <c r="L41" s="60">
        <v>8084080392</v>
      </c>
      <c r="M41" s="55" t="s">
        <v>1328</v>
      </c>
    </row>
    <row r="42" spans="1:13" x14ac:dyDescent="0.25">
      <c r="A42" s="53" t="s">
        <v>12</v>
      </c>
      <c r="B42" s="53" t="s">
        <v>13</v>
      </c>
      <c r="C42" s="53" t="s">
        <v>14</v>
      </c>
      <c r="D42" s="53" t="s">
        <v>144</v>
      </c>
      <c r="E42" s="53">
        <v>44182579159</v>
      </c>
      <c r="F42" s="53" t="s">
        <v>145</v>
      </c>
      <c r="G42" s="53">
        <v>1000</v>
      </c>
      <c r="H42" s="62">
        <v>45971</v>
      </c>
      <c r="I42" s="53" t="s">
        <v>652</v>
      </c>
      <c r="J42" s="53" t="s">
        <v>147</v>
      </c>
      <c r="K42" s="53">
        <v>352504794</v>
      </c>
      <c r="L42" s="53">
        <v>7765824237</v>
      </c>
      <c r="M42" s="55" t="s">
        <v>1325</v>
      </c>
    </row>
    <row r="43" spans="1:13" x14ac:dyDescent="0.25">
      <c r="A43" s="53" t="s">
        <v>12</v>
      </c>
      <c r="B43" s="53" t="s">
        <v>13</v>
      </c>
      <c r="C43" s="53" t="s">
        <v>14</v>
      </c>
      <c r="D43" s="53" t="s">
        <v>36</v>
      </c>
      <c r="E43" s="53" t="s">
        <v>37</v>
      </c>
      <c r="F43" s="53" t="s">
        <v>38</v>
      </c>
      <c r="G43" s="53">
        <v>1000</v>
      </c>
      <c r="H43" s="62">
        <v>45971</v>
      </c>
      <c r="I43" s="53" t="s">
        <v>902</v>
      </c>
      <c r="J43" s="53" t="s">
        <v>901</v>
      </c>
      <c r="K43" s="53">
        <v>352504802</v>
      </c>
      <c r="L43" s="53">
        <v>9358936441</v>
      </c>
      <c r="M43" s="55" t="s">
        <v>1325</v>
      </c>
    </row>
    <row r="44" spans="1:13" x14ac:dyDescent="0.25">
      <c r="A44" s="53" t="s">
        <v>12</v>
      </c>
      <c r="B44" s="53" t="s">
        <v>13</v>
      </c>
      <c r="C44" s="53" t="s">
        <v>14</v>
      </c>
      <c r="D44" s="53" t="s">
        <v>36</v>
      </c>
      <c r="E44" s="53" t="s">
        <v>37</v>
      </c>
      <c r="F44" s="53" t="s">
        <v>38</v>
      </c>
      <c r="G44" s="53">
        <v>1000</v>
      </c>
      <c r="H44" s="62">
        <v>45971</v>
      </c>
      <c r="I44" s="53" t="s">
        <v>902</v>
      </c>
      <c r="J44" s="53" t="s">
        <v>901</v>
      </c>
      <c r="K44" s="53">
        <v>352504802</v>
      </c>
      <c r="L44" s="53">
        <v>9358936441</v>
      </c>
      <c r="M44" s="55" t="s">
        <v>1330</v>
      </c>
    </row>
    <row r="45" spans="1:13" x14ac:dyDescent="0.25">
      <c r="A45" s="53" t="s">
        <v>12</v>
      </c>
      <c r="B45" s="53" t="s">
        <v>13</v>
      </c>
      <c r="C45" s="53" t="s">
        <v>14</v>
      </c>
      <c r="D45" s="53" t="s">
        <v>48</v>
      </c>
      <c r="E45" s="53" t="s">
        <v>49</v>
      </c>
      <c r="F45" s="53" t="s">
        <v>50</v>
      </c>
      <c r="G45" s="53">
        <v>6100</v>
      </c>
      <c r="H45" s="62">
        <v>45971</v>
      </c>
      <c r="I45" s="53" t="s">
        <v>572</v>
      </c>
      <c r="J45" s="53" t="s">
        <v>34</v>
      </c>
      <c r="K45" s="53">
        <v>352504725</v>
      </c>
      <c r="L45" s="53">
        <v>8520078561</v>
      </c>
      <c r="M45" s="55" t="s">
        <v>1329</v>
      </c>
    </row>
    <row r="46" spans="1:13" x14ac:dyDescent="0.25">
      <c r="A46" s="53" t="s">
        <v>12</v>
      </c>
      <c r="B46" s="53" t="s">
        <v>13</v>
      </c>
      <c r="C46" s="53" t="s">
        <v>14</v>
      </c>
      <c r="D46" s="53" t="s">
        <v>993</v>
      </c>
      <c r="E46" s="69">
        <v>50100683547664</v>
      </c>
      <c r="F46" s="60" t="s">
        <v>994</v>
      </c>
      <c r="G46" s="53">
        <v>4950</v>
      </c>
      <c r="H46" s="62">
        <v>45971</v>
      </c>
      <c r="I46" s="61" t="s">
        <v>593</v>
      </c>
      <c r="J46" s="61" t="s">
        <v>76</v>
      </c>
      <c r="K46" s="53">
        <v>352504818</v>
      </c>
      <c r="L46" s="60">
        <v>8093441726</v>
      </c>
      <c r="M46" s="55" t="s">
        <v>1331</v>
      </c>
    </row>
    <row r="47" spans="1:13" x14ac:dyDescent="0.25">
      <c r="A47" s="53" t="s">
        <v>12</v>
      </c>
      <c r="B47" s="53" t="s">
        <v>13</v>
      </c>
      <c r="C47" s="53" t="s">
        <v>14</v>
      </c>
      <c r="D47" s="53" t="s">
        <v>993</v>
      </c>
      <c r="E47" s="69">
        <v>50100683547664</v>
      </c>
      <c r="F47" s="60" t="s">
        <v>994</v>
      </c>
      <c r="G47" s="53">
        <v>5450</v>
      </c>
      <c r="H47" s="62">
        <v>45971</v>
      </c>
      <c r="I47" s="61" t="s">
        <v>593</v>
      </c>
      <c r="J47" s="61" t="s">
        <v>76</v>
      </c>
      <c r="K47" s="53">
        <v>352504818</v>
      </c>
      <c r="L47" s="60">
        <v>8093441726</v>
      </c>
      <c r="M47" s="55" t="s">
        <v>1332</v>
      </c>
    </row>
    <row r="48" spans="1:13" x14ac:dyDescent="0.25">
      <c r="A48" s="53" t="s">
        <v>12</v>
      </c>
      <c r="B48" s="53" t="s">
        <v>13</v>
      </c>
      <c r="C48" s="53" t="s">
        <v>14</v>
      </c>
      <c r="D48" s="53" t="s">
        <v>144</v>
      </c>
      <c r="E48" s="53">
        <v>44182579159</v>
      </c>
      <c r="F48" s="53" t="s">
        <v>145</v>
      </c>
      <c r="G48" s="53">
        <v>5450</v>
      </c>
      <c r="H48" s="62">
        <v>45971</v>
      </c>
      <c r="I48" s="53" t="s">
        <v>652</v>
      </c>
      <c r="J48" s="53" t="s">
        <v>147</v>
      </c>
      <c r="K48" s="53">
        <v>352504794</v>
      </c>
      <c r="L48" s="53">
        <v>7765824237</v>
      </c>
      <c r="M48" s="55" t="s">
        <v>1332</v>
      </c>
    </row>
    <row r="49" spans="1:13" x14ac:dyDescent="0.25">
      <c r="A49" s="53" t="s">
        <v>12</v>
      </c>
      <c r="B49" s="53" t="s">
        <v>13</v>
      </c>
      <c r="C49" s="53" t="s">
        <v>14</v>
      </c>
      <c r="D49" s="53" t="s">
        <v>48</v>
      </c>
      <c r="E49" s="53" t="s">
        <v>49</v>
      </c>
      <c r="F49" s="53" t="s">
        <v>50</v>
      </c>
      <c r="G49" s="53">
        <v>1000</v>
      </c>
      <c r="H49" s="62">
        <v>45972</v>
      </c>
      <c r="I49" s="53" t="s">
        <v>572</v>
      </c>
      <c r="J49" s="53" t="s">
        <v>34</v>
      </c>
      <c r="K49" s="53">
        <v>352504835</v>
      </c>
      <c r="L49" s="53">
        <v>8520078561</v>
      </c>
      <c r="M49" s="55" t="s">
        <v>1333</v>
      </c>
    </row>
    <row r="50" spans="1:13" x14ac:dyDescent="0.25">
      <c r="A50" s="53" t="s">
        <v>12</v>
      </c>
      <c r="B50" s="53" t="s">
        <v>13</v>
      </c>
      <c r="C50" s="53" t="s">
        <v>14</v>
      </c>
      <c r="D50" s="53" t="s">
        <v>993</v>
      </c>
      <c r="E50" s="69">
        <v>50100683547664</v>
      </c>
      <c r="F50" s="60" t="s">
        <v>994</v>
      </c>
      <c r="G50" s="53">
        <v>1500</v>
      </c>
      <c r="H50" s="62">
        <v>45972</v>
      </c>
      <c r="I50" s="61" t="s">
        <v>593</v>
      </c>
      <c r="J50" s="61" t="s">
        <v>76</v>
      </c>
      <c r="K50" s="53">
        <v>352504842</v>
      </c>
      <c r="L50" s="60">
        <v>8093441726</v>
      </c>
      <c r="M50" s="55" t="s">
        <v>1334</v>
      </c>
    </row>
    <row r="51" spans="1:13" x14ac:dyDescent="0.25">
      <c r="A51" s="53" t="s">
        <v>12</v>
      </c>
      <c r="B51" s="53" t="s">
        <v>13</v>
      </c>
      <c r="C51" s="53" t="s">
        <v>14</v>
      </c>
      <c r="D51" s="53" t="s">
        <v>993</v>
      </c>
      <c r="E51" s="69">
        <v>50100683547664</v>
      </c>
      <c r="F51" s="60" t="s">
        <v>994</v>
      </c>
      <c r="G51" s="53">
        <v>5200</v>
      </c>
      <c r="H51" s="62">
        <v>45972</v>
      </c>
      <c r="I51" s="61" t="s">
        <v>593</v>
      </c>
      <c r="J51" s="61" t="s">
        <v>76</v>
      </c>
      <c r="K51" s="53">
        <v>352504842</v>
      </c>
      <c r="L51" s="60">
        <v>8093441726</v>
      </c>
      <c r="M51" s="55" t="s">
        <v>1335</v>
      </c>
    </row>
    <row r="52" spans="1:13" x14ac:dyDescent="0.25">
      <c r="A52" s="53" t="s">
        <v>12</v>
      </c>
      <c r="B52" s="53" t="s">
        <v>13</v>
      </c>
      <c r="C52" s="53" t="s">
        <v>14</v>
      </c>
      <c r="D52" s="53" t="s">
        <v>36</v>
      </c>
      <c r="E52" s="53" t="s">
        <v>37</v>
      </c>
      <c r="F52" s="53" t="s">
        <v>38</v>
      </c>
      <c r="G52" s="53">
        <v>5500</v>
      </c>
      <c r="H52" s="62">
        <v>45972</v>
      </c>
      <c r="I52" s="53" t="s">
        <v>902</v>
      </c>
      <c r="J52" s="53" t="s">
        <v>901</v>
      </c>
      <c r="K52" s="53">
        <v>352504802</v>
      </c>
      <c r="L52" s="53">
        <v>9358936441</v>
      </c>
      <c r="M52" s="55" t="s">
        <v>1336</v>
      </c>
    </row>
    <row r="53" spans="1:13" x14ac:dyDescent="0.25">
      <c r="A53" s="53" t="s">
        <v>12</v>
      </c>
      <c r="B53" s="53" t="s">
        <v>13</v>
      </c>
      <c r="C53" s="53" t="s">
        <v>14</v>
      </c>
      <c r="D53" s="53" t="s">
        <v>144</v>
      </c>
      <c r="E53" s="53">
        <v>44182579159</v>
      </c>
      <c r="F53" s="53" t="s">
        <v>145</v>
      </c>
      <c r="G53" s="53">
        <v>1500</v>
      </c>
      <c r="H53" s="62">
        <v>45972</v>
      </c>
      <c r="I53" s="53" t="s">
        <v>652</v>
      </c>
      <c r="J53" s="53" t="s">
        <v>147</v>
      </c>
      <c r="K53" s="53">
        <v>352504847</v>
      </c>
      <c r="L53" s="53">
        <v>7765824237</v>
      </c>
      <c r="M53" s="55" t="s">
        <v>1334</v>
      </c>
    </row>
    <row r="54" spans="1:13" x14ac:dyDescent="0.25">
      <c r="A54" s="53" t="s">
        <v>12</v>
      </c>
      <c r="B54" s="53" t="s">
        <v>13</v>
      </c>
      <c r="C54" s="53" t="s">
        <v>14</v>
      </c>
      <c r="D54" s="53" t="s">
        <v>144</v>
      </c>
      <c r="E54" s="53">
        <v>44182579159</v>
      </c>
      <c r="F54" s="53" t="s">
        <v>145</v>
      </c>
      <c r="G54" s="53">
        <v>4950</v>
      </c>
      <c r="H54" s="62">
        <v>45972</v>
      </c>
      <c r="I54" s="53" t="s">
        <v>652</v>
      </c>
      <c r="J54" s="53" t="s">
        <v>147</v>
      </c>
      <c r="K54" s="53">
        <v>352504847</v>
      </c>
      <c r="L54" s="53">
        <v>7765824237</v>
      </c>
      <c r="M54" s="55" t="s">
        <v>1337</v>
      </c>
    </row>
    <row r="55" spans="1:13" x14ac:dyDescent="0.25">
      <c r="A55" s="53" t="s">
        <v>12</v>
      </c>
      <c r="B55" s="53" t="s">
        <v>13</v>
      </c>
      <c r="C55" s="53" t="s">
        <v>14</v>
      </c>
      <c r="D55" s="53" t="s">
        <v>144</v>
      </c>
      <c r="E55" s="53">
        <v>44182579159</v>
      </c>
      <c r="F55" s="53" t="s">
        <v>145</v>
      </c>
      <c r="G55" s="53">
        <v>3950</v>
      </c>
      <c r="H55" s="62">
        <v>45973</v>
      </c>
      <c r="I55" s="53" t="s">
        <v>652</v>
      </c>
      <c r="J55" s="53" t="s">
        <v>147</v>
      </c>
      <c r="K55" s="53">
        <v>352504856</v>
      </c>
      <c r="L55" s="53">
        <v>7765824237</v>
      </c>
      <c r="M55" s="55" t="s">
        <v>1338</v>
      </c>
    </row>
    <row r="56" spans="1:13" x14ac:dyDescent="0.25">
      <c r="A56" s="53" t="s">
        <v>12</v>
      </c>
      <c r="B56" s="53" t="s">
        <v>13</v>
      </c>
      <c r="C56" s="53" t="s">
        <v>14</v>
      </c>
      <c r="D56" s="53" t="s">
        <v>993</v>
      </c>
      <c r="E56" s="69">
        <v>50100683547664</v>
      </c>
      <c r="F56" s="60" t="s">
        <v>994</v>
      </c>
      <c r="G56" s="53">
        <v>3950</v>
      </c>
      <c r="H56" s="62">
        <v>45973</v>
      </c>
      <c r="I56" s="61" t="s">
        <v>593</v>
      </c>
      <c r="J56" s="61" t="s">
        <v>76</v>
      </c>
      <c r="K56" s="53">
        <v>352504855</v>
      </c>
      <c r="L56" s="60">
        <v>8093441726</v>
      </c>
      <c r="M56" s="55" t="s">
        <v>1338</v>
      </c>
    </row>
    <row r="57" spans="1:13" x14ac:dyDescent="0.25">
      <c r="A57" s="53" t="s">
        <v>12</v>
      </c>
      <c r="B57" s="53" t="s">
        <v>13</v>
      </c>
      <c r="C57" s="53" t="s">
        <v>14</v>
      </c>
      <c r="D57" s="53" t="s">
        <v>36</v>
      </c>
      <c r="E57" s="53" t="s">
        <v>37</v>
      </c>
      <c r="F57" s="53" t="s">
        <v>38</v>
      </c>
      <c r="G57" s="53">
        <v>5450</v>
      </c>
      <c r="H57" s="62">
        <v>45973</v>
      </c>
      <c r="I57" s="53" t="s">
        <v>902</v>
      </c>
      <c r="J57" s="53" t="s">
        <v>901</v>
      </c>
      <c r="K57" s="53">
        <v>352504864</v>
      </c>
      <c r="L57" s="53">
        <v>9358936441</v>
      </c>
      <c r="M57" s="55" t="s">
        <v>1339</v>
      </c>
    </row>
    <row r="58" spans="1:13" x14ac:dyDescent="0.25">
      <c r="A58" s="61" t="s">
        <v>12</v>
      </c>
      <c r="B58" s="61" t="s">
        <v>13</v>
      </c>
      <c r="C58" s="61" t="s">
        <v>14</v>
      </c>
      <c r="D58" s="61" t="s">
        <v>31</v>
      </c>
      <c r="E58" s="61" t="s">
        <v>32</v>
      </c>
      <c r="F58" s="61" t="s">
        <v>33</v>
      </c>
      <c r="G58" s="53">
        <v>1500</v>
      </c>
      <c r="H58" s="62">
        <v>45973</v>
      </c>
      <c r="I58" s="61" t="s">
        <v>741</v>
      </c>
      <c r="J58" s="61" t="s">
        <v>22</v>
      </c>
      <c r="K58" s="53">
        <v>352504795</v>
      </c>
      <c r="L58" s="61">
        <v>9347726061</v>
      </c>
      <c r="M58" s="55" t="s">
        <v>1340</v>
      </c>
    </row>
    <row r="59" spans="1:13" x14ac:dyDescent="0.25">
      <c r="A59" s="53" t="s">
        <v>12</v>
      </c>
      <c r="B59" s="53" t="s">
        <v>13</v>
      </c>
      <c r="C59" s="53" t="s">
        <v>14</v>
      </c>
      <c r="D59" s="53" t="s">
        <v>435</v>
      </c>
      <c r="E59" s="53">
        <v>31095925572</v>
      </c>
      <c r="F59" s="60" t="s">
        <v>33</v>
      </c>
      <c r="G59" s="53">
        <v>3500</v>
      </c>
      <c r="H59" s="62">
        <v>45973</v>
      </c>
      <c r="I59" s="61" t="s">
        <v>966</v>
      </c>
      <c r="J59" s="61" t="s">
        <v>967</v>
      </c>
      <c r="K59" s="53">
        <v>352504815</v>
      </c>
      <c r="L59" s="60">
        <v>8084080392</v>
      </c>
      <c r="M59" s="55" t="s">
        <v>1341</v>
      </c>
    </row>
    <row r="60" spans="1:13" x14ac:dyDescent="0.25">
      <c r="A60" s="53" t="s">
        <v>12</v>
      </c>
      <c r="B60" s="53" t="s">
        <v>13</v>
      </c>
      <c r="C60" s="53" t="s">
        <v>14</v>
      </c>
      <c r="D60" s="53" t="s">
        <v>993</v>
      </c>
      <c r="E60" s="69">
        <v>50100683547664</v>
      </c>
      <c r="F60" s="60" t="s">
        <v>994</v>
      </c>
      <c r="G60" s="53">
        <v>1500</v>
      </c>
      <c r="H60" s="62">
        <v>45974</v>
      </c>
      <c r="I60" s="61" t="s">
        <v>593</v>
      </c>
      <c r="J60" s="61" t="s">
        <v>76</v>
      </c>
      <c r="K60" s="53">
        <v>352504898</v>
      </c>
      <c r="L60" s="60">
        <v>8093441726</v>
      </c>
      <c r="M60" s="55" t="s">
        <v>1342</v>
      </c>
    </row>
    <row r="61" spans="1:13" x14ac:dyDescent="0.25">
      <c r="A61" s="53" t="s">
        <v>12</v>
      </c>
      <c r="B61" s="53" t="s">
        <v>13</v>
      </c>
      <c r="C61" s="53" t="s">
        <v>14</v>
      </c>
      <c r="D61" s="53" t="s">
        <v>435</v>
      </c>
      <c r="E61" s="53">
        <v>31095925572</v>
      </c>
      <c r="F61" s="60" t="s">
        <v>33</v>
      </c>
      <c r="G61" s="53">
        <v>1500</v>
      </c>
      <c r="H61" s="62">
        <v>45974</v>
      </c>
      <c r="I61" s="61" t="s">
        <v>966</v>
      </c>
      <c r="J61" s="61" t="s">
        <v>967</v>
      </c>
      <c r="K61" s="53">
        <v>352504899</v>
      </c>
      <c r="L61" s="60">
        <v>8084080392</v>
      </c>
      <c r="M61" s="55" t="s">
        <v>1342</v>
      </c>
    </row>
    <row r="62" spans="1:13" x14ac:dyDescent="0.25">
      <c r="A62" s="53" t="s">
        <v>12</v>
      </c>
      <c r="B62" s="53" t="s">
        <v>13</v>
      </c>
      <c r="C62" s="53" t="s">
        <v>14</v>
      </c>
      <c r="D62" s="53" t="s">
        <v>144</v>
      </c>
      <c r="E62" s="53">
        <v>44182579159</v>
      </c>
      <c r="F62" s="53" t="s">
        <v>145</v>
      </c>
      <c r="G62" s="53">
        <v>2000</v>
      </c>
      <c r="H62" s="62">
        <v>45974</v>
      </c>
      <c r="I62" s="53" t="s">
        <v>652</v>
      </c>
      <c r="J62" s="53" t="s">
        <v>147</v>
      </c>
      <c r="K62" s="53">
        <v>352504888</v>
      </c>
      <c r="L62" s="53">
        <v>7765824237</v>
      </c>
      <c r="M62" s="55" t="s">
        <v>1343</v>
      </c>
    </row>
    <row r="63" spans="1:13" x14ac:dyDescent="0.25">
      <c r="A63" s="53" t="s">
        <v>12</v>
      </c>
      <c r="B63" s="53" t="s">
        <v>13</v>
      </c>
      <c r="C63" s="53" t="s">
        <v>14</v>
      </c>
      <c r="D63" s="53" t="s">
        <v>36</v>
      </c>
      <c r="E63" s="53" t="s">
        <v>37</v>
      </c>
      <c r="F63" s="53" t="s">
        <v>38</v>
      </c>
      <c r="G63" s="53">
        <v>5450</v>
      </c>
      <c r="H63" s="62">
        <v>45974</v>
      </c>
      <c r="I63" s="53" t="s">
        <v>902</v>
      </c>
      <c r="J63" s="53" t="s">
        <v>901</v>
      </c>
      <c r="K63" s="53">
        <v>352504890</v>
      </c>
      <c r="L63" s="53">
        <v>9358936441</v>
      </c>
      <c r="M63" s="55" t="s">
        <v>1344</v>
      </c>
    </row>
    <row r="64" spans="1:13" x14ac:dyDescent="0.25">
      <c r="A64" s="53" t="s">
        <v>12</v>
      </c>
      <c r="B64" s="53" t="s">
        <v>13</v>
      </c>
      <c r="C64" s="53" t="s">
        <v>14</v>
      </c>
      <c r="D64" s="53" t="s">
        <v>48</v>
      </c>
      <c r="E64" s="53" t="s">
        <v>49</v>
      </c>
      <c r="F64" s="53" t="s">
        <v>50</v>
      </c>
      <c r="G64" s="53">
        <v>6400</v>
      </c>
      <c r="H64" s="62">
        <v>45974</v>
      </c>
      <c r="I64" s="53" t="s">
        <v>572</v>
      </c>
      <c r="J64" s="53" t="s">
        <v>34</v>
      </c>
      <c r="K64" s="53">
        <v>352504835</v>
      </c>
      <c r="L64" s="53">
        <v>8520078561</v>
      </c>
      <c r="M64" s="55" t="s">
        <v>1345</v>
      </c>
    </row>
    <row r="65" spans="1:13" x14ac:dyDescent="0.25">
      <c r="A65" s="53" t="s">
        <v>12</v>
      </c>
      <c r="B65" s="53" t="s">
        <v>13</v>
      </c>
      <c r="C65" s="53" t="s">
        <v>14</v>
      </c>
      <c r="D65" s="53" t="s">
        <v>108</v>
      </c>
      <c r="E65" s="53" t="s">
        <v>109</v>
      </c>
      <c r="F65" s="53" t="s">
        <v>110</v>
      </c>
      <c r="G65" s="53">
        <v>5550</v>
      </c>
      <c r="H65" s="62">
        <v>45974</v>
      </c>
      <c r="I65" s="61" t="s">
        <v>571</v>
      </c>
      <c r="J65" s="61" t="s">
        <v>59</v>
      </c>
      <c r="K65" s="53">
        <v>352504889</v>
      </c>
      <c r="L65" s="53">
        <v>7870570436</v>
      </c>
      <c r="M65" s="55" t="s">
        <v>1346</v>
      </c>
    </row>
    <row r="66" spans="1:13" x14ac:dyDescent="0.25">
      <c r="A66" s="53" t="s">
        <v>12</v>
      </c>
      <c r="B66" s="53" t="s">
        <v>13</v>
      </c>
      <c r="C66" s="53" t="s">
        <v>14</v>
      </c>
      <c r="D66" s="53" t="s">
        <v>993</v>
      </c>
      <c r="E66" s="69">
        <v>50100683547664</v>
      </c>
      <c r="F66" s="60" t="s">
        <v>994</v>
      </c>
      <c r="G66" s="53">
        <v>7700</v>
      </c>
      <c r="H66" s="62">
        <v>45975</v>
      </c>
      <c r="I66" s="61" t="s">
        <v>593</v>
      </c>
      <c r="J66" s="61" t="s">
        <v>76</v>
      </c>
      <c r="K66" s="53">
        <v>352504898</v>
      </c>
      <c r="L66" s="60">
        <v>8093441726</v>
      </c>
      <c r="M66" s="55" t="s">
        <v>1347</v>
      </c>
    </row>
    <row r="67" spans="1:13" x14ac:dyDescent="0.25">
      <c r="A67" s="53" t="s">
        <v>12</v>
      </c>
      <c r="B67" s="53" t="s">
        <v>13</v>
      </c>
      <c r="C67" s="53" t="s">
        <v>14</v>
      </c>
      <c r="D67" s="53" t="s">
        <v>435</v>
      </c>
      <c r="E67" s="53">
        <v>31095925572</v>
      </c>
      <c r="F67" s="60" t="s">
        <v>33</v>
      </c>
      <c r="G67" s="53">
        <v>7700</v>
      </c>
      <c r="H67" s="62">
        <v>45975</v>
      </c>
      <c r="I67" s="61" t="s">
        <v>966</v>
      </c>
      <c r="J67" s="61" t="s">
        <v>967</v>
      </c>
      <c r="K67" s="53">
        <v>352504899</v>
      </c>
      <c r="L67" s="60">
        <v>8084080392</v>
      </c>
      <c r="M67" s="55" t="s">
        <v>1347</v>
      </c>
    </row>
    <row r="68" spans="1:13" x14ac:dyDescent="0.25">
      <c r="A68" s="53" t="s">
        <v>12</v>
      </c>
      <c r="B68" s="53" t="s">
        <v>13</v>
      </c>
      <c r="C68" s="53" t="s">
        <v>14</v>
      </c>
      <c r="D68" s="53" t="s">
        <v>36</v>
      </c>
      <c r="E68" s="53" t="s">
        <v>37</v>
      </c>
      <c r="F68" s="53" t="s">
        <v>38</v>
      </c>
      <c r="G68" s="53">
        <v>500</v>
      </c>
      <c r="H68" s="62">
        <v>45975</v>
      </c>
      <c r="I68" s="53" t="s">
        <v>902</v>
      </c>
      <c r="J68" s="53" t="s">
        <v>901</v>
      </c>
      <c r="K68" s="53">
        <v>352504864</v>
      </c>
      <c r="L68" s="53">
        <v>9358936441</v>
      </c>
      <c r="M68" s="55" t="s">
        <v>1348</v>
      </c>
    </row>
    <row r="69" spans="1:13" x14ac:dyDescent="0.25">
      <c r="A69" s="61" t="s">
        <v>12</v>
      </c>
      <c r="B69" s="61" t="s">
        <v>13</v>
      </c>
      <c r="C69" s="61" t="s">
        <v>14</v>
      </c>
      <c r="D69" s="61" t="s">
        <v>31</v>
      </c>
      <c r="E69" s="61" t="s">
        <v>32</v>
      </c>
      <c r="F69" s="61" t="s">
        <v>33</v>
      </c>
      <c r="G69" s="53">
        <v>400</v>
      </c>
      <c r="H69" s="62">
        <v>45975</v>
      </c>
      <c r="I69" s="61" t="s">
        <v>741</v>
      </c>
      <c r="J69" s="61" t="s">
        <v>22</v>
      </c>
      <c r="K69" s="53">
        <v>352504902</v>
      </c>
      <c r="L69" s="61">
        <v>9347726061</v>
      </c>
      <c r="M69" s="55" t="s">
        <v>1349</v>
      </c>
    </row>
    <row r="70" spans="1:13" x14ac:dyDescent="0.25">
      <c r="A70" s="61" t="s">
        <v>12</v>
      </c>
      <c r="B70" s="61" t="s">
        <v>13</v>
      </c>
      <c r="C70" s="61" t="s">
        <v>14</v>
      </c>
      <c r="D70" s="61" t="s">
        <v>31</v>
      </c>
      <c r="E70" s="61" t="s">
        <v>32</v>
      </c>
      <c r="F70" s="61" t="s">
        <v>33</v>
      </c>
      <c r="G70" s="53">
        <v>400</v>
      </c>
      <c r="H70" s="62">
        <v>45975</v>
      </c>
      <c r="I70" s="61" t="s">
        <v>741</v>
      </c>
      <c r="J70" s="61" t="s">
        <v>22</v>
      </c>
      <c r="K70" s="53">
        <v>352504903</v>
      </c>
      <c r="L70" s="61">
        <v>9347726061</v>
      </c>
      <c r="M70" s="55" t="s">
        <v>1349</v>
      </c>
    </row>
    <row r="71" spans="1:13" x14ac:dyDescent="0.25">
      <c r="A71" s="53" t="s">
        <v>12</v>
      </c>
      <c r="B71" s="53" t="s">
        <v>13</v>
      </c>
      <c r="C71" s="53" t="s">
        <v>14</v>
      </c>
      <c r="D71" s="53" t="s">
        <v>993</v>
      </c>
      <c r="E71" s="69">
        <v>50100683547664</v>
      </c>
      <c r="F71" s="60" t="s">
        <v>994</v>
      </c>
      <c r="G71" s="53">
        <v>6400</v>
      </c>
      <c r="H71" s="62">
        <v>45975</v>
      </c>
      <c r="I71" s="61" t="s">
        <v>593</v>
      </c>
      <c r="J71" s="61" t="s">
        <v>76</v>
      </c>
      <c r="K71" s="53">
        <v>352504898</v>
      </c>
      <c r="L71" s="60">
        <v>8093441726</v>
      </c>
      <c r="M71" s="55" t="s">
        <v>1350</v>
      </c>
    </row>
    <row r="72" spans="1:13" x14ac:dyDescent="0.25">
      <c r="A72" s="53" t="s">
        <v>12</v>
      </c>
      <c r="B72" s="53" t="s">
        <v>13</v>
      </c>
      <c r="C72" s="53" t="s">
        <v>14</v>
      </c>
      <c r="D72" s="53" t="s">
        <v>435</v>
      </c>
      <c r="E72" s="53">
        <v>31095925572</v>
      </c>
      <c r="F72" s="60" t="s">
        <v>33</v>
      </c>
      <c r="G72" s="53">
        <v>6400</v>
      </c>
      <c r="H72" s="62">
        <v>45975</v>
      </c>
      <c r="I72" s="61" t="s">
        <v>966</v>
      </c>
      <c r="J72" s="61" t="s">
        <v>967</v>
      </c>
      <c r="K72" s="53">
        <v>352504899</v>
      </c>
      <c r="L72" s="60">
        <v>8084080392</v>
      </c>
      <c r="M72" s="55" t="s">
        <v>1350</v>
      </c>
    </row>
    <row r="73" spans="1:13" x14ac:dyDescent="0.25">
      <c r="A73" s="53" t="s">
        <v>12</v>
      </c>
      <c r="B73" s="53" t="s">
        <v>13</v>
      </c>
      <c r="C73" s="53" t="s">
        <v>14</v>
      </c>
      <c r="D73" s="53" t="s">
        <v>48</v>
      </c>
      <c r="E73" s="53" t="s">
        <v>49</v>
      </c>
      <c r="F73" s="53" t="s">
        <v>50</v>
      </c>
      <c r="G73" s="53">
        <v>5450</v>
      </c>
      <c r="H73" s="62">
        <v>45976</v>
      </c>
      <c r="I73" s="53" t="s">
        <v>572</v>
      </c>
      <c r="J73" s="53" t="s">
        <v>34</v>
      </c>
      <c r="K73" s="53">
        <v>352504835</v>
      </c>
      <c r="L73" s="53">
        <v>8520078561</v>
      </c>
      <c r="M73" s="55" t="s">
        <v>1351</v>
      </c>
    </row>
    <row r="74" spans="1:13" x14ac:dyDescent="0.25">
      <c r="A74" s="53" t="s">
        <v>12</v>
      </c>
      <c r="B74" s="53" t="s">
        <v>13</v>
      </c>
      <c r="C74" s="53" t="s">
        <v>14</v>
      </c>
      <c r="D74" s="53" t="s">
        <v>36</v>
      </c>
      <c r="E74" s="53" t="s">
        <v>37</v>
      </c>
      <c r="F74" s="53" t="s">
        <v>38</v>
      </c>
      <c r="G74" s="53">
        <v>5450</v>
      </c>
      <c r="H74" s="62">
        <v>45976</v>
      </c>
      <c r="I74" s="53" t="s">
        <v>902</v>
      </c>
      <c r="J74" s="53" t="s">
        <v>901</v>
      </c>
      <c r="K74" s="53">
        <v>352504920</v>
      </c>
      <c r="L74" s="53">
        <v>9358936441</v>
      </c>
      <c r="M74" s="55" t="s">
        <v>1351</v>
      </c>
    </row>
    <row r="75" spans="1:13" x14ac:dyDescent="0.25">
      <c r="A75" s="53" t="s">
        <v>12</v>
      </c>
      <c r="B75" s="53" t="s">
        <v>13</v>
      </c>
      <c r="C75" s="53" t="s">
        <v>14</v>
      </c>
      <c r="D75" s="53" t="s">
        <v>108</v>
      </c>
      <c r="E75" s="53" t="s">
        <v>109</v>
      </c>
      <c r="F75" s="53" t="s">
        <v>110</v>
      </c>
      <c r="G75" s="53">
        <v>2000</v>
      </c>
      <c r="H75" s="62">
        <v>45976</v>
      </c>
      <c r="I75" s="61" t="s">
        <v>571</v>
      </c>
      <c r="J75" s="61" t="s">
        <v>59</v>
      </c>
      <c r="K75" s="53">
        <v>352504889</v>
      </c>
      <c r="L75" s="53">
        <v>7870570436</v>
      </c>
      <c r="M75" s="55" t="s">
        <v>520</v>
      </c>
    </row>
    <row r="76" spans="1:13" x14ac:dyDescent="0.25">
      <c r="A76" s="53" t="s">
        <v>12</v>
      </c>
      <c r="B76" s="53" t="s">
        <v>13</v>
      </c>
      <c r="C76" s="53" t="s">
        <v>14</v>
      </c>
      <c r="D76" s="53" t="s">
        <v>993</v>
      </c>
      <c r="E76" s="69">
        <v>50100683547664</v>
      </c>
      <c r="F76" s="60" t="s">
        <v>994</v>
      </c>
      <c r="G76" s="53">
        <v>5200</v>
      </c>
      <c r="H76" s="62">
        <v>45976</v>
      </c>
      <c r="I76" s="61" t="s">
        <v>593</v>
      </c>
      <c r="J76" s="61" t="s">
        <v>76</v>
      </c>
      <c r="K76" s="53">
        <v>352504898</v>
      </c>
      <c r="L76" s="60">
        <v>8093441726</v>
      </c>
      <c r="M76" s="55" t="s">
        <v>1352</v>
      </c>
    </row>
    <row r="77" spans="1:13" x14ac:dyDescent="0.25">
      <c r="A77" s="53" t="s">
        <v>12</v>
      </c>
      <c r="B77" s="53" t="s">
        <v>13</v>
      </c>
      <c r="C77" s="53" t="s">
        <v>14</v>
      </c>
      <c r="D77" s="53" t="s">
        <v>435</v>
      </c>
      <c r="E77" s="53">
        <v>31095925572</v>
      </c>
      <c r="F77" s="60" t="s">
        <v>33</v>
      </c>
      <c r="G77" s="53">
        <v>4950</v>
      </c>
      <c r="H77" s="62">
        <v>45976</v>
      </c>
      <c r="I77" s="61" t="s">
        <v>966</v>
      </c>
      <c r="J77" s="61" t="s">
        <v>967</v>
      </c>
      <c r="K77" s="53">
        <v>352504899</v>
      </c>
      <c r="L77" s="60">
        <v>8084080392</v>
      </c>
      <c r="M77" s="55" t="s">
        <v>1353</v>
      </c>
    </row>
    <row r="78" spans="1:13" x14ac:dyDescent="0.25">
      <c r="A78" s="53" t="s">
        <v>12</v>
      </c>
      <c r="B78" s="53" t="s">
        <v>13</v>
      </c>
      <c r="C78" s="53" t="s">
        <v>14</v>
      </c>
      <c r="D78" s="53" t="s">
        <v>48</v>
      </c>
      <c r="E78" s="53" t="s">
        <v>49</v>
      </c>
      <c r="F78" s="53" t="s">
        <v>50</v>
      </c>
      <c r="G78" s="53">
        <v>1900</v>
      </c>
      <c r="H78" s="62">
        <v>45979</v>
      </c>
      <c r="I78" s="53" t="s">
        <v>572</v>
      </c>
      <c r="J78" s="53" t="s">
        <v>34</v>
      </c>
      <c r="K78" s="53">
        <v>352504982</v>
      </c>
      <c r="L78" s="53">
        <v>8520078561</v>
      </c>
      <c r="M78" s="55" t="s">
        <v>1354</v>
      </c>
    </row>
    <row r="79" spans="1:13" x14ac:dyDescent="0.25">
      <c r="A79" s="53" t="s">
        <v>12</v>
      </c>
      <c r="B79" s="53" t="s">
        <v>13</v>
      </c>
      <c r="C79" s="53" t="s">
        <v>14</v>
      </c>
      <c r="D79" s="53" t="s">
        <v>36</v>
      </c>
      <c r="E79" s="53" t="s">
        <v>37</v>
      </c>
      <c r="F79" s="53" t="s">
        <v>38</v>
      </c>
      <c r="G79" s="53">
        <v>1900</v>
      </c>
      <c r="H79" s="62">
        <v>45979</v>
      </c>
      <c r="I79" s="53" t="s">
        <v>902</v>
      </c>
      <c r="J79" s="53" t="s">
        <v>901</v>
      </c>
      <c r="K79" s="53">
        <v>352504983</v>
      </c>
      <c r="L79" s="53">
        <v>9358936441</v>
      </c>
      <c r="M79" s="55" t="s">
        <v>1354</v>
      </c>
    </row>
    <row r="80" spans="1:13" x14ac:dyDescent="0.25">
      <c r="A80" s="53" t="s">
        <v>12</v>
      </c>
      <c r="B80" s="53" t="s">
        <v>13</v>
      </c>
      <c r="C80" s="53" t="s">
        <v>14</v>
      </c>
      <c r="D80" s="53" t="s">
        <v>343</v>
      </c>
      <c r="E80" s="54">
        <v>37223550583</v>
      </c>
      <c r="F80" s="53" t="s">
        <v>33</v>
      </c>
      <c r="G80" s="53">
        <v>6400</v>
      </c>
      <c r="H80" s="62">
        <v>45979</v>
      </c>
      <c r="I80" s="61" t="s">
        <v>895</v>
      </c>
      <c r="J80" s="61" t="s">
        <v>896</v>
      </c>
      <c r="K80" s="53">
        <v>352504696</v>
      </c>
      <c r="L80" s="53">
        <v>9031258705</v>
      </c>
      <c r="M80" s="55" t="s">
        <v>1355</v>
      </c>
    </row>
    <row r="81" spans="1:13" x14ac:dyDescent="0.25">
      <c r="A81" s="53" t="s">
        <v>12</v>
      </c>
      <c r="B81" s="53" t="s">
        <v>13</v>
      </c>
      <c r="C81" s="53" t="s">
        <v>14</v>
      </c>
      <c r="D81" s="53" t="s">
        <v>144</v>
      </c>
      <c r="E81" s="53">
        <v>44182579159</v>
      </c>
      <c r="F81" s="53" t="s">
        <v>145</v>
      </c>
      <c r="G81" s="53">
        <v>400</v>
      </c>
      <c r="H81" s="62">
        <v>45979</v>
      </c>
      <c r="I81" s="53" t="s">
        <v>652</v>
      </c>
      <c r="J81" s="53" t="s">
        <v>147</v>
      </c>
      <c r="K81" s="53">
        <v>352504987</v>
      </c>
      <c r="L81" s="53">
        <v>7765824237</v>
      </c>
      <c r="M81" s="55" t="s">
        <v>1356</v>
      </c>
    </row>
    <row r="82" spans="1:13" x14ac:dyDescent="0.25">
      <c r="A82" s="53" t="s">
        <v>12</v>
      </c>
      <c r="B82" s="53" t="s">
        <v>13</v>
      </c>
      <c r="C82" s="53" t="s">
        <v>14</v>
      </c>
      <c r="D82" s="53" t="s">
        <v>144</v>
      </c>
      <c r="E82" s="53">
        <v>44182579159</v>
      </c>
      <c r="F82" s="53" t="s">
        <v>145</v>
      </c>
      <c r="G82" s="53">
        <v>400</v>
      </c>
      <c r="H82" s="62">
        <v>45979</v>
      </c>
      <c r="I82" s="53" t="s">
        <v>652</v>
      </c>
      <c r="J82" s="53" t="s">
        <v>147</v>
      </c>
      <c r="K82" s="53">
        <v>352504988</v>
      </c>
      <c r="L82" s="53">
        <v>7765824237</v>
      </c>
      <c r="M82" s="55" t="s">
        <v>1356</v>
      </c>
    </row>
    <row r="83" spans="1:13" x14ac:dyDescent="0.25">
      <c r="A83" s="53" t="s">
        <v>12</v>
      </c>
      <c r="B83" s="53" t="s">
        <v>13</v>
      </c>
      <c r="C83" s="53" t="s">
        <v>14</v>
      </c>
      <c r="D83" s="53" t="s">
        <v>152</v>
      </c>
      <c r="E83" s="53" t="s">
        <v>153</v>
      </c>
      <c r="F83" s="60" t="s">
        <v>154</v>
      </c>
      <c r="G83" s="53">
        <v>6400</v>
      </c>
      <c r="H83" s="62">
        <v>45980</v>
      </c>
      <c r="I83" s="61" t="s">
        <v>966</v>
      </c>
      <c r="J83" s="61" t="s">
        <v>967</v>
      </c>
      <c r="K83" s="53">
        <v>352504937</v>
      </c>
      <c r="L83" s="60">
        <v>8084080392</v>
      </c>
      <c r="M83" s="55" t="s">
        <v>1357</v>
      </c>
    </row>
    <row r="84" spans="1:13" x14ac:dyDescent="0.25">
      <c r="A84" s="53" t="s">
        <v>12</v>
      </c>
      <c r="B84" s="53" t="s">
        <v>13</v>
      </c>
      <c r="C84" s="53" t="s">
        <v>14</v>
      </c>
      <c r="D84" s="53" t="s">
        <v>466</v>
      </c>
      <c r="E84" s="53" t="s">
        <v>467</v>
      </c>
      <c r="F84" s="53" t="s">
        <v>468</v>
      </c>
      <c r="G84" s="53">
        <v>10000</v>
      </c>
      <c r="H84" s="62">
        <v>45980</v>
      </c>
      <c r="I84" s="53" t="s">
        <v>1185</v>
      </c>
      <c r="J84" s="53" t="s">
        <v>470</v>
      </c>
      <c r="K84" s="53">
        <v>352505031</v>
      </c>
      <c r="L84" s="53">
        <v>8687714453</v>
      </c>
      <c r="M84" s="77" t="s">
        <v>690</v>
      </c>
    </row>
    <row r="85" spans="1:13" x14ac:dyDescent="0.25">
      <c r="A85" s="53" t="s">
        <v>12</v>
      </c>
      <c r="B85" s="53" t="s">
        <v>13</v>
      </c>
      <c r="C85" s="53" t="s">
        <v>14</v>
      </c>
      <c r="D85" s="53" t="s">
        <v>144</v>
      </c>
      <c r="E85" s="53">
        <v>44182579159</v>
      </c>
      <c r="F85" s="53" t="s">
        <v>145</v>
      </c>
      <c r="G85" s="53">
        <v>3500</v>
      </c>
      <c r="H85" s="62">
        <v>45981</v>
      </c>
      <c r="I85" s="53" t="s">
        <v>652</v>
      </c>
      <c r="J85" s="53" t="s">
        <v>147</v>
      </c>
      <c r="K85" s="53">
        <v>352504988</v>
      </c>
      <c r="L85" s="53">
        <v>7765824237</v>
      </c>
      <c r="M85" s="55" t="s">
        <v>1358</v>
      </c>
    </row>
    <row r="86" spans="1:13" x14ac:dyDescent="0.25">
      <c r="A86" s="53" t="s">
        <v>12</v>
      </c>
      <c r="B86" s="53" t="s">
        <v>13</v>
      </c>
      <c r="C86" s="53" t="s">
        <v>14</v>
      </c>
      <c r="D86" s="53" t="s">
        <v>152</v>
      </c>
      <c r="E86" s="53" t="s">
        <v>153</v>
      </c>
      <c r="F86" s="60" t="s">
        <v>154</v>
      </c>
      <c r="G86" s="53">
        <v>5450</v>
      </c>
      <c r="H86" s="62">
        <v>45981</v>
      </c>
      <c r="I86" s="61" t="s">
        <v>966</v>
      </c>
      <c r="J86" s="61" t="s">
        <v>967</v>
      </c>
      <c r="K86" s="53">
        <v>352505034</v>
      </c>
      <c r="L86" s="60">
        <v>8084080392</v>
      </c>
      <c r="M86" s="55" t="s">
        <v>535</v>
      </c>
    </row>
    <row r="87" spans="1:13" x14ac:dyDescent="0.25">
      <c r="A87" s="53" t="s">
        <v>12</v>
      </c>
      <c r="B87" s="53" t="s">
        <v>13</v>
      </c>
      <c r="C87" s="53" t="s">
        <v>14</v>
      </c>
      <c r="D87" s="53" t="s">
        <v>48</v>
      </c>
      <c r="E87" s="53" t="s">
        <v>49</v>
      </c>
      <c r="F87" s="53" t="s">
        <v>50</v>
      </c>
      <c r="G87" s="53">
        <v>4500</v>
      </c>
      <c r="H87" s="62">
        <v>45981</v>
      </c>
      <c r="I87" s="53" t="s">
        <v>572</v>
      </c>
      <c r="J87" s="53" t="s">
        <v>34</v>
      </c>
      <c r="K87" s="53">
        <v>352504982</v>
      </c>
      <c r="L87" s="53">
        <v>8520078561</v>
      </c>
      <c r="M87" s="55" t="s">
        <v>1359</v>
      </c>
    </row>
    <row r="88" spans="1:13" x14ac:dyDescent="0.25">
      <c r="A88" s="53" t="s">
        <v>12</v>
      </c>
      <c r="B88" s="53" t="s">
        <v>13</v>
      </c>
      <c r="C88" s="53" t="s">
        <v>14</v>
      </c>
      <c r="D88" s="53" t="s">
        <v>993</v>
      </c>
      <c r="E88" s="69">
        <v>50100683547664</v>
      </c>
      <c r="F88" s="60" t="s">
        <v>994</v>
      </c>
      <c r="G88" s="53">
        <v>5500</v>
      </c>
      <c r="H88" s="62">
        <v>45981</v>
      </c>
      <c r="I88" s="61" t="s">
        <v>593</v>
      </c>
      <c r="J88" s="61" t="s">
        <v>76</v>
      </c>
      <c r="K88" s="53">
        <v>352504936</v>
      </c>
      <c r="L88" s="60">
        <v>8093441726</v>
      </c>
      <c r="M88" s="55" t="s">
        <v>1360</v>
      </c>
    </row>
    <row r="89" spans="1:13" x14ac:dyDescent="0.25">
      <c r="A89" s="61" t="s">
        <v>12</v>
      </c>
      <c r="B89" s="61" t="s">
        <v>13</v>
      </c>
      <c r="C89" s="61" t="s">
        <v>14</v>
      </c>
      <c r="D89" s="61" t="s">
        <v>149</v>
      </c>
      <c r="E89" s="78">
        <v>50100624324501</v>
      </c>
      <c r="F89" s="61" t="s">
        <v>150</v>
      </c>
      <c r="G89" s="53">
        <v>5500</v>
      </c>
      <c r="H89" s="62">
        <v>45981</v>
      </c>
      <c r="I89" s="61" t="s">
        <v>741</v>
      </c>
      <c r="J89" s="61" t="s">
        <v>22</v>
      </c>
      <c r="K89" s="53">
        <v>352505030</v>
      </c>
      <c r="L89" s="61">
        <v>8789141433</v>
      </c>
      <c r="M89" s="55" t="s">
        <v>1361</v>
      </c>
    </row>
    <row r="90" spans="1:13" x14ac:dyDescent="0.25">
      <c r="A90" s="61" t="s">
        <v>12</v>
      </c>
      <c r="B90" s="61" t="s">
        <v>13</v>
      </c>
      <c r="C90" s="61" t="s">
        <v>14</v>
      </c>
      <c r="D90" s="61" t="s">
        <v>1362</v>
      </c>
      <c r="E90" s="78">
        <v>38741029924</v>
      </c>
      <c r="F90" s="61" t="s">
        <v>1363</v>
      </c>
      <c r="G90" s="53">
        <v>5500</v>
      </c>
      <c r="H90" s="62">
        <v>45981</v>
      </c>
      <c r="I90" s="61" t="s">
        <v>903</v>
      </c>
      <c r="J90" s="61" t="s">
        <v>904</v>
      </c>
      <c r="K90" s="53">
        <v>352504712</v>
      </c>
      <c r="L90" s="61">
        <v>7873686835</v>
      </c>
      <c r="M90" s="55" t="s">
        <v>1361</v>
      </c>
    </row>
    <row r="91" spans="1:13" x14ac:dyDescent="0.25">
      <c r="A91" s="53" t="s">
        <v>12</v>
      </c>
      <c r="B91" s="53" t="s">
        <v>13</v>
      </c>
      <c r="C91" s="53" t="s">
        <v>14</v>
      </c>
      <c r="D91" s="53" t="s">
        <v>343</v>
      </c>
      <c r="E91" s="54">
        <v>37223550583</v>
      </c>
      <c r="F91" s="53" t="s">
        <v>33</v>
      </c>
      <c r="G91" s="53">
        <v>1000</v>
      </c>
      <c r="H91" s="62">
        <v>45981</v>
      </c>
      <c r="I91" s="61" t="s">
        <v>895</v>
      </c>
      <c r="J91" s="61" t="s">
        <v>896</v>
      </c>
      <c r="K91" s="53">
        <v>352505057</v>
      </c>
      <c r="L91" s="53">
        <v>9031258705</v>
      </c>
      <c r="M91" s="55" t="s">
        <v>1364</v>
      </c>
    </row>
    <row r="92" spans="1:13" x14ac:dyDescent="0.25">
      <c r="A92" s="53" t="s">
        <v>12</v>
      </c>
      <c r="B92" s="53" t="s">
        <v>13</v>
      </c>
      <c r="C92" s="53" t="s">
        <v>14</v>
      </c>
      <c r="D92" s="53" t="s">
        <v>343</v>
      </c>
      <c r="E92" s="54">
        <v>37223550583</v>
      </c>
      <c r="F92" s="53" t="s">
        <v>33</v>
      </c>
      <c r="G92" s="53">
        <v>700</v>
      </c>
      <c r="H92" s="62">
        <v>45981</v>
      </c>
      <c r="I92" s="61" t="s">
        <v>895</v>
      </c>
      <c r="J92" s="61" t="s">
        <v>896</v>
      </c>
      <c r="K92" s="53">
        <v>352505058</v>
      </c>
      <c r="L92" s="53">
        <v>9031258705</v>
      </c>
      <c r="M92" s="55" t="s">
        <v>1365</v>
      </c>
    </row>
    <row r="93" spans="1:13" x14ac:dyDescent="0.25">
      <c r="A93" s="53" t="s">
        <v>12</v>
      </c>
      <c r="B93" s="53" t="s">
        <v>13</v>
      </c>
      <c r="C93" s="53" t="s">
        <v>14</v>
      </c>
      <c r="D93" s="53" t="s">
        <v>48</v>
      </c>
      <c r="E93" s="53" t="s">
        <v>49</v>
      </c>
      <c r="F93" s="53" t="s">
        <v>50</v>
      </c>
      <c r="G93" s="53">
        <v>700</v>
      </c>
      <c r="H93" s="62">
        <v>45982</v>
      </c>
      <c r="I93" s="53" t="s">
        <v>572</v>
      </c>
      <c r="J93" s="53" t="s">
        <v>34</v>
      </c>
      <c r="K93" s="53">
        <v>352504982</v>
      </c>
      <c r="L93" s="53">
        <v>8520078561</v>
      </c>
      <c r="M93" s="55" t="s">
        <v>1359</v>
      </c>
    </row>
    <row r="94" spans="1:13" x14ac:dyDescent="0.25">
      <c r="A94" s="53" t="s">
        <v>12</v>
      </c>
      <c r="B94" s="53" t="s">
        <v>13</v>
      </c>
      <c r="C94" s="53" t="s">
        <v>14</v>
      </c>
      <c r="D94" s="53" t="s">
        <v>993</v>
      </c>
      <c r="E94" s="69">
        <v>50100683547664</v>
      </c>
      <c r="F94" s="60" t="s">
        <v>994</v>
      </c>
      <c r="G94" s="53">
        <v>500</v>
      </c>
      <c r="H94" s="62">
        <v>45982</v>
      </c>
      <c r="I94" s="61" t="s">
        <v>593</v>
      </c>
      <c r="J94" s="61" t="s">
        <v>76</v>
      </c>
      <c r="K94" s="53">
        <v>352504936</v>
      </c>
      <c r="L94" s="60">
        <v>8093441726</v>
      </c>
      <c r="M94" s="55" t="s">
        <v>1360</v>
      </c>
    </row>
    <row r="95" spans="1:13" x14ac:dyDescent="0.25">
      <c r="A95" s="61" t="s">
        <v>12</v>
      </c>
      <c r="B95" s="61" t="s">
        <v>13</v>
      </c>
      <c r="C95" s="61" t="s">
        <v>14</v>
      </c>
      <c r="D95" s="61" t="s">
        <v>149</v>
      </c>
      <c r="E95" s="78">
        <v>50100624324501</v>
      </c>
      <c r="F95" s="61" t="s">
        <v>150</v>
      </c>
      <c r="G95" s="53">
        <v>1800</v>
      </c>
      <c r="H95" s="62">
        <v>45982</v>
      </c>
      <c r="I95" s="61" t="s">
        <v>741</v>
      </c>
      <c r="J95" s="61" t="s">
        <v>22</v>
      </c>
      <c r="K95" s="53">
        <v>352505030</v>
      </c>
      <c r="L95" s="61">
        <v>8789141433</v>
      </c>
      <c r="M95" s="55" t="s">
        <v>1361</v>
      </c>
    </row>
    <row r="96" spans="1:13" x14ac:dyDescent="0.25">
      <c r="A96" s="61" t="s">
        <v>12</v>
      </c>
      <c r="B96" s="61" t="s">
        <v>13</v>
      </c>
      <c r="C96" s="61" t="s">
        <v>14</v>
      </c>
      <c r="D96" s="61" t="s">
        <v>1362</v>
      </c>
      <c r="E96" s="78">
        <v>38741029924</v>
      </c>
      <c r="F96" s="61" t="s">
        <v>1363</v>
      </c>
      <c r="G96" s="53">
        <v>1800</v>
      </c>
      <c r="H96" s="62">
        <v>45982</v>
      </c>
      <c r="I96" s="61" t="s">
        <v>903</v>
      </c>
      <c r="J96" s="61" t="s">
        <v>904</v>
      </c>
      <c r="K96" s="53">
        <v>352505071</v>
      </c>
      <c r="L96" s="61">
        <v>7873686835</v>
      </c>
      <c r="M96" s="55" t="s">
        <v>1361</v>
      </c>
    </row>
    <row r="97" spans="1:13" x14ac:dyDescent="0.25">
      <c r="A97" s="53" t="s">
        <v>12</v>
      </c>
      <c r="B97" s="53" t="s">
        <v>13</v>
      </c>
      <c r="C97" s="53" t="s">
        <v>14</v>
      </c>
      <c r="D97" s="53" t="s">
        <v>36</v>
      </c>
      <c r="E97" s="53" t="s">
        <v>37</v>
      </c>
      <c r="F97" s="53" t="s">
        <v>38</v>
      </c>
      <c r="G97" s="53">
        <v>7700</v>
      </c>
      <c r="H97" s="62">
        <v>45982</v>
      </c>
      <c r="I97" s="53" t="s">
        <v>902</v>
      </c>
      <c r="J97" s="53" t="s">
        <v>901</v>
      </c>
      <c r="K97" s="53">
        <v>352504983</v>
      </c>
      <c r="L97" s="53">
        <v>9358936441</v>
      </c>
      <c r="M97" s="55" t="s">
        <v>1366</v>
      </c>
    </row>
    <row r="98" spans="1:13" x14ac:dyDescent="0.25">
      <c r="A98" s="53" t="s">
        <v>12</v>
      </c>
      <c r="B98" s="53" t="s">
        <v>13</v>
      </c>
      <c r="C98" s="53" t="s">
        <v>14</v>
      </c>
      <c r="D98" s="53" t="s">
        <v>144</v>
      </c>
      <c r="E98" s="53">
        <v>44182579159</v>
      </c>
      <c r="F98" s="53" t="s">
        <v>145</v>
      </c>
      <c r="G98" s="53">
        <v>7700</v>
      </c>
      <c r="H98" s="62">
        <v>45982</v>
      </c>
      <c r="I98" s="53" t="s">
        <v>652</v>
      </c>
      <c r="J98" s="53" t="s">
        <v>147</v>
      </c>
      <c r="K98" s="53">
        <v>352505083</v>
      </c>
      <c r="L98" s="53">
        <v>7765824237</v>
      </c>
      <c r="M98" s="55" t="s">
        <v>1366</v>
      </c>
    </row>
    <row r="99" spans="1:13" x14ac:dyDescent="0.25">
      <c r="A99" s="53" t="s">
        <v>12</v>
      </c>
      <c r="B99" s="53" t="s">
        <v>13</v>
      </c>
      <c r="C99" s="53" t="s">
        <v>14</v>
      </c>
      <c r="D99" s="53" t="s">
        <v>152</v>
      </c>
      <c r="E99" s="53" t="s">
        <v>153</v>
      </c>
      <c r="F99" s="60" t="s">
        <v>154</v>
      </c>
      <c r="G99" s="53">
        <v>7700</v>
      </c>
      <c r="H99" s="62">
        <v>45982</v>
      </c>
      <c r="I99" s="61" t="s">
        <v>966</v>
      </c>
      <c r="J99" s="61" t="s">
        <v>967</v>
      </c>
      <c r="K99" s="53">
        <v>352505084</v>
      </c>
      <c r="L99" s="60">
        <v>8084080392</v>
      </c>
      <c r="M99" s="55" t="s">
        <v>1366</v>
      </c>
    </row>
    <row r="100" spans="1:13" x14ac:dyDescent="0.25">
      <c r="A100" s="53" t="s">
        <v>12</v>
      </c>
      <c r="B100" s="53" t="s">
        <v>13</v>
      </c>
      <c r="C100" s="53" t="s">
        <v>14</v>
      </c>
      <c r="D100" s="53" t="s">
        <v>36</v>
      </c>
      <c r="E100" s="53" t="s">
        <v>37</v>
      </c>
      <c r="F100" s="53" t="s">
        <v>38</v>
      </c>
      <c r="G100" s="53">
        <v>6400</v>
      </c>
      <c r="H100" s="62">
        <v>45982</v>
      </c>
      <c r="I100" s="53" t="s">
        <v>902</v>
      </c>
      <c r="J100" s="53" t="s">
        <v>901</v>
      </c>
      <c r="K100" s="53">
        <v>352505085</v>
      </c>
      <c r="L100" s="53">
        <v>9358936441</v>
      </c>
      <c r="M100" s="55" t="s">
        <v>1368</v>
      </c>
    </row>
    <row r="101" spans="1:13" x14ac:dyDescent="0.25">
      <c r="A101" s="53" t="s">
        <v>12</v>
      </c>
      <c r="B101" s="53" t="s">
        <v>13</v>
      </c>
      <c r="C101" s="53" t="s">
        <v>14</v>
      </c>
      <c r="D101" s="53" t="s">
        <v>144</v>
      </c>
      <c r="E101" s="53">
        <v>44182579159</v>
      </c>
      <c r="F101" s="53" t="s">
        <v>145</v>
      </c>
      <c r="G101" s="53">
        <v>1500</v>
      </c>
      <c r="H101" s="62">
        <v>45983</v>
      </c>
      <c r="I101" s="53" t="s">
        <v>652</v>
      </c>
      <c r="J101" s="53" t="s">
        <v>147</v>
      </c>
      <c r="K101" s="53">
        <v>352505083</v>
      </c>
      <c r="L101" s="53">
        <v>7765824237</v>
      </c>
      <c r="M101" s="55" t="s">
        <v>1367</v>
      </c>
    </row>
    <row r="102" spans="1:13" x14ac:dyDescent="0.25">
      <c r="A102" s="53" t="s">
        <v>12</v>
      </c>
      <c r="B102" s="53" t="s">
        <v>13</v>
      </c>
      <c r="C102" s="53" t="s">
        <v>14</v>
      </c>
      <c r="D102" s="53" t="s">
        <v>152</v>
      </c>
      <c r="E102" s="53" t="s">
        <v>153</v>
      </c>
      <c r="F102" s="60" t="s">
        <v>154</v>
      </c>
      <c r="G102" s="53">
        <v>1500</v>
      </c>
      <c r="H102" s="62">
        <v>45983</v>
      </c>
      <c r="I102" s="61" t="s">
        <v>966</v>
      </c>
      <c r="J102" s="61" t="s">
        <v>967</v>
      </c>
      <c r="K102" s="53">
        <v>352505084</v>
      </c>
      <c r="L102" s="60">
        <v>8084080392</v>
      </c>
      <c r="M102" s="55" t="s">
        <v>1367</v>
      </c>
    </row>
    <row r="103" spans="1:13" x14ac:dyDescent="0.25">
      <c r="A103" s="53" t="s">
        <v>12</v>
      </c>
      <c r="B103" s="53" t="s">
        <v>13</v>
      </c>
      <c r="C103" s="53" t="s">
        <v>14</v>
      </c>
      <c r="D103" s="53" t="s">
        <v>343</v>
      </c>
      <c r="E103" s="54">
        <v>37223550583</v>
      </c>
      <c r="F103" s="53" t="s">
        <v>33</v>
      </c>
      <c r="G103" s="53">
        <v>1500</v>
      </c>
      <c r="H103" s="62">
        <v>45983</v>
      </c>
      <c r="I103" s="61" t="s">
        <v>895</v>
      </c>
      <c r="J103" s="61" t="s">
        <v>896</v>
      </c>
      <c r="K103" s="53">
        <v>352505057</v>
      </c>
      <c r="L103" s="53">
        <v>9031258705</v>
      </c>
      <c r="M103" s="55" t="s">
        <v>1369</v>
      </c>
    </row>
    <row r="104" spans="1:13" x14ac:dyDescent="0.25">
      <c r="A104" s="53" t="s">
        <v>12</v>
      </c>
      <c r="B104" s="53" t="s">
        <v>13</v>
      </c>
      <c r="C104" s="53" t="s">
        <v>14</v>
      </c>
      <c r="D104" s="53" t="s">
        <v>36</v>
      </c>
      <c r="E104" s="53" t="s">
        <v>37</v>
      </c>
      <c r="F104" s="53" t="s">
        <v>38</v>
      </c>
      <c r="G104" s="53">
        <v>1500</v>
      </c>
      <c r="H104" s="62">
        <v>45983</v>
      </c>
      <c r="I104" s="53" t="s">
        <v>902</v>
      </c>
      <c r="J104" s="53" t="s">
        <v>901</v>
      </c>
      <c r="K104" s="53">
        <v>352505091</v>
      </c>
      <c r="L104" s="53">
        <v>9358936441</v>
      </c>
      <c r="M104" s="55" t="s">
        <v>1370</v>
      </c>
    </row>
    <row r="105" spans="1:13" x14ac:dyDescent="0.25">
      <c r="A105" s="53" t="s">
        <v>12</v>
      </c>
      <c r="B105" s="53" t="s">
        <v>13</v>
      </c>
      <c r="C105" s="53" t="s">
        <v>14</v>
      </c>
      <c r="D105" s="53" t="s">
        <v>152</v>
      </c>
      <c r="E105" s="53" t="s">
        <v>153</v>
      </c>
      <c r="F105" s="60" t="s">
        <v>154</v>
      </c>
      <c r="G105" s="53">
        <v>5450</v>
      </c>
      <c r="H105" s="62">
        <v>45983</v>
      </c>
      <c r="I105" s="61" t="s">
        <v>966</v>
      </c>
      <c r="J105" s="61" t="s">
        <v>967</v>
      </c>
      <c r="K105" s="53">
        <v>352505092</v>
      </c>
      <c r="L105" s="60">
        <v>8084080392</v>
      </c>
      <c r="M105" s="55" t="s">
        <v>1371</v>
      </c>
    </row>
    <row r="106" spans="1:13" x14ac:dyDescent="0.25">
      <c r="A106" s="53" t="s">
        <v>12</v>
      </c>
      <c r="B106" s="53" t="s">
        <v>13</v>
      </c>
      <c r="C106" s="53" t="s">
        <v>14</v>
      </c>
      <c r="D106" s="53" t="s">
        <v>144</v>
      </c>
      <c r="E106" s="53">
        <v>44182579159</v>
      </c>
      <c r="F106" s="53" t="s">
        <v>145</v>
      </c>
      <c r="G106" s="53">
        <v>6400</v>
      </c>
      <c r="H106" s="62">
        <v>45983</v>
      </c>
      <c r="I106" s="53" t="s">
        <v>652</v>
      </c>
      <c r="J106" s="53" t="s">
        <v>147</v>
      </c>
      <c r="K106" s="53">
        <v>352505093</v>
      </c>
      <c r="L106" s="53">
        <v>7765824237</v>
      </c>
      <c r="M106" s="55" t="s">
        <v>1372</v>
      </c>
    </row>
    <row r="107" spans="1:13" x14ac:dyDescent="0.25">
      <c r="A107" s="53" t="s">
        <v>12</v>
      </c>
      <c r="B107" s="53" t="s">
        <v>13</v>
      </c>
      <c r="C107" s="53" t="s">
        <v>14</v>
      </c>
      <c r="D107" s="53" t="s">
        <v>993</v>
      </c>
      <c r="E107" s="69">
        <v>50100683547664</v>
      </c>
      <c r="F107" s="60" t="s">
        <v>994</v>
      </c>
      <c r="G107" s="53">
        <v>6400</v>
      </c>
      <c r="H107" s="62">
        <v>45983</v>
      </c>
      <c r="I107" s="61" t="s">
        <v>593</v>
      </c>
      <c r="J107" s="61" t="s">
        <v>76</v>
      </c>
      <c r="K107" s="53">
        <v>352505080</v>
      </c>
      <c r="L107" s="60">
        <v>8093441726</v>
      </c>
      <c r="M107" s="55" t="s">
        <v>1373</v>
      </c>
    </row>
    <row r="108" spans="1:13" x14ac:dyDescent="0.25">
      <c r="A108" s="61" t="s">
        <v>12</v>
      </c>
      <c r="B108" s="61" t="s">
        <v>13</v>
      </c>
      <c r="C108" s="61" t="s">
        <v>14</v>
      </c>
      <c r="D108" s="61" t="s">
        <v>149</v>
      </c>
      <c r="E108" s="78">
        <v>50100624324501</v>
      </c>
      <c r="F108" s="61" t="s">
        <v>150</v>
      </c>
      <c r="G108" s="53">
        <v>5450</v>
      </c>
      <c r="H108" s="62">
        <v>45983</v>
      </c>
      <c r="I108" s="61" t="s">
        <v>741</v>
      </c>
      <c r="J108" s="61" t="s">
        <v>22</v>
      </c>
      <c r="K108" s="53">
        <v>352505078</v>
      </c>
      <c r="L108" s="61">
        <v>8789141433</v>
      </c>
      <c r="M108" s="55" t="s">
        <v>1371</v>
      </c>
    </row>
    <row r="109" spans="1:13" x14ac:dyDescent="0.25">
      <c r="A109" s="61" t="s">
        <v>12</v>
      </c>
      <c r="B109" s="61" t="s">
        <v>13</v>
      </c>
      <c r="C109" s="61" t="s">
        <v>14</v>
      </c>
      <c r="D109" s="61" t="s">
        <v>1362</v>
      </c>
      <c r="E109" s="78">
        <v>38741029924</v>
      </c>
      <c r="F109" s="61" t="s">
        <v>1363</v>
      </c>
      <c r="G109" s="53">
        <v>5450</v>
      </c>
      <c r="H109" s="62">
        <v>45983</v>
      </c>
      <c r="I109" s="61" t="s">
        <v>903</v>
      </c>
      <c r="J109" s="61" t="s">
        <v>904</v>
      </c>
      <c r="K109" s="53">
        <v>352505081</v>
      </c>
      <c r="L109" s="61">
        <v>7873686835</v>
      </c>
      <c r="M109" s="55" t="s">
        <v>1371</v>
      </c>
    </row>
    <row r="110" spans="1:13" x14ac:dyDescent="0.25">
      <c r="A110" s="53" t="s">
        <v>12</v>
      </c>
      <c r="B110" s="53" t="s">
        <v>13</v>
      </c>
      <c r="C110" s="53" t="s">
        <v>14</v>
      </c>
      <c r="D110" s="53" t="s">
        <v>144</v>
      </c>
      <c r="E110" s="53">
        <v>44182579159</v>
      </c>
      <c r="F110" s="53" t="s">
        <v>145</v>
      </c>
      <c r="G110" s="53">
        <v>1000</v>
      </c>
      <c r="H110" s="62">
        <v>45984</v>
      </c>
      <c r="I110" s="53" t="s">
        <v>652</v>
      </c>
      <c r="J110" s="53" t="s">
        <v>147</v>
      </c>
      <c r="K110" s="53">
        <v>352505117</v>
      </c>
      <c r="L110" s="53">
        <v>7765824237</v>
      </c>
      <c r="M110" s="55" t="s">
        <v>1374</v>
      </c>
    </row>
    <row r="111" spans="1:13" x14ac:dyDescent="0.25">
      <c r="A111" s="53" t="s">
        <v>12</v>
      </c>
      <c r="B111" s="53" t="s">
        <v>13</v>
      </c>
      <c r="C111" s="53" t="s">
        <v>14</v>
      </c>
      <c r="D111" s="53" t="s">
        <v>144</v>
      </c>
      <c r="E111" s="53">
        <v>44182579159</v>
      </c>
      <c r="F111" s="53" t="s">
        <v>145</v>
      </c>
      <c r="G111" s="53">
        <v>700</v>
      </c>
      <c r="H111" s="62">
        <v>45984</v>
      </c>
      <c r="I111" s="53" t="s">
        <v>652</v>
      </c>
      <c r="J111" s="53" t="s">
        <v>147</v>
      </c>
      <c r="K111" s="53">
        <v>352505127</v>
      </c>
      <c r="L111" s="53">
        <v>7765824237</v>
      </c>
      <c r="M111" s="55" t="s">
        <v>1374</v>
      </c>
    </row>
    <row r="112" spans="1:13" x14ac:dyDescent="0.25">
      <c r="A112" s="53" t="s">
        <v>12</v>
      </c>
      <c r="B112" s="53" t="s">
        <v>13</v>
      </c>
      <c r="C112" s="53" t="s">
        <v>14</v>
      </c>
      <c r="D112" s="53" t="s">
        <v>36</v>
      </c>
      <c r="E112" s="53" t="s">
        <v>37</v>
      </c>
      <c r="F112" s="53" t="s">
        <v>38</v>
      </c>
      <c r="G112" s="53">
        <v>1000</v>
      </c>
      <c r="H112" s="62">
        <v>45984</v>
      </c>
      <c r="I112" s="53" t="s">
        <v>902</v>
      </c>
      <c r="J112" s="53" t="s">
        <v>901</v>
      </c>
      <c r="K112" s="53">
        <v>352505118</v>
      </c>
      <c r="L112" s="53">
        <v>9358936441</v>
      </c>
      <c r="M112" s="55" t="s">
        <v>1374</v>
      </c>
    </row>
    <row r="113" spans="1:13" x14ac:dyDescent="0.25">
      <c r="A113" s="53" t="s">
        <v>12</v>
      </c>
      <c r="B113" s="53" t="s">
        <v>13</v>
      </c>
      <c r="C113" s="53" t="s">
        <v>14</v>
      </c>
      <c r="D113" s="53" t="s">
        <v>36</v>
      </c>
      <c r="E113" s="53" t="s">
        <v>37</v>
      </c>
      <c r="F113" s="53" t="s">
        <v>38</v>
      </c>
      <c r="G113" s="53">
        <v>700</v>
      </c>
      <c r="H113" s="62">
        <v>45984</v>
      </c>
      <c r="I113" s="53" t="s">
        <v>902</v>
      </c>
      <c r="J113" s="53" t="s">
        <v>901</v>
      </c>
      <c r="K113" s="53">
        <v>352505126</v>
      </c>
      <c r="L113" s="53">
        <v>9358936441</v>
      </c>
      <c r="M113" s="55" t="s">
        <v>1374</v>
      </c>
    </row>
    <row r="114" spans="1:13" x14ac:dyDescent="0.25">
      <c r="A114" s="53" t="s">
        <v>12</v>
      </c>
      <c r="B114" s="53" t="s">
        <v>13</v>
      </c>
      <c r="C114" s="53" t="s">
        <v>14</v>
      </c>
      <c r="D114" s="53" t="s">
        <v>108</v>
      </c>
      <c r="E114" s="53" t="s">
        <v>109</v>
      </c>
      <c r="F114" s="53" t="s">
        <v>110</v>
      </c>
      <c r="G114" s="53">
        <v>1000</v>
      </c>
      <c r="H114" s="62">
        <v>45985</v>
      </c>
      <c r="I114" s="61" t="s">
        <v>571</v>
      </c>
      <c r="J114" s="61" t="s">
        <v>59</v>
      </c>
      <c r="K114" s="53">
        <v>352505111</v>
      </c>
      <c r="L114" s="53">
        <v>7870570436</v>
      </c>
      <c r="M114" s="55" t="s">
        <v>1375</v>
      </c>
    </row>
    <row r="115" spans="1:13" x14ac:dyDescent="0.25">
      <c r="A115" s="61" t="s">
        <v>12</v>
      </c>
      <c r="B115" s="61" t="s">
        <v>13</v>
      </c>
      <c r="C115" s="61" t="s">
        <v>14</v>
      </c>
      <c r="D115" s="61" t="s">
        <v>31</v>
      </c>
      <c r="E115" s="61" t="s">
        <v>32</v>
      </c>
      <c r="F115" s="61" t="s">
        <v>33</v>
      </c>
      <c r="G115" s="53">
        <v>1000</v>
      </c>
      <c r="H115" s="62">
        <v>45985</v>
      </c>
      <c r="I115" s="61" t="s">
        <v>741</v>
      </c>
      <c r="J115" s="61" t="s">
        <v>22</v>
      </c>
      <c r="K115" s="53">
        <v>352505142</v>
      </c>
      <c r="L115" s="61">
        <v>9347726061</v>
      </c>
      <c r="M115" s="55" t="s">
        <v>1376</v>
      </c>
    </row>
    <row r="116" spans="1:13" x14ac:dyDescent="0.25">
      <c r="A116" s="61" t="s">
        <v>12</v>
      </c>
      <c r="B116" s="61" t="s">
        <v>13</v>
      </c>
      <c r="C116" s="61" t="s">
        <v>14</v>
      </c>
      <c r="D116" s="61" t="s">
        <v>31</v>
      </c>
      <c r="E116" s="61" t="s">
        <v>32</v>
      </c>
      <c r="F116" s="61" t="s">
        <v>33</v>
      </c>
      <c r="G116" s="53">
        <v>1000</v>
      </c>
      <c r="H116" s="62">
        <v>45985</v>
      </c>
      <c r="I116" s="61" t="s">
        <v>741</v>
      </c>
      <c r="J116" s="61" t="s">
        <v>22</v>
      </c>
      <c r="K116" s="53">
        <v>352505143</v>
      </c>
      <c r="L116" s="61">
        <v>9347726061</v>
      </c>
      <c r="M116" s="55" t="s">
        <v>1377</v>
      </c>
    </row>
    <row r="117" spans="1:13" x14ac:dyDescent="0.25">
      <c r="A117" s="61" t="s">
        <v>12</v>
      </c>
      <c r="B117" s="61" t="s">
        <v>13</v>
      </c>
      <c r="C117" s="61" t="s">
        <v>14</v>
      </c>
      <c r="D117" s="61" t="s">
        <v>149</v>
      </c>
      <c r="E117" s="78">
        <v>50100624324501</v>
      </c>
      <c r="F117" s="61" t="s">
        <v>150</v>
      </c>
      <c r="G117" s="53">
        <v>7700</v>
      </c>
      <c r="H117" s="62">
        <v>45985</v>
      </c>
      <c r="I117" s="61" t="s">
        <v>741</v>
      </c>
      <c r="J117" s="61" t="s">
        <v>22</v>
      </c>
      <c r="K117" s="53">
        <v>352505119</v>
      </c>
      <c r="L117" s="61">
        <v>8789141433</v>
      </c>
      <c r="M117" s="55" t="s">
        <v>1378</v>
      </c>
    </row>
    <row r="118" spans="1:13" x14ac:dyDescent="0.25">
      <c r="A118" s="61" t="s">
        <v>12</v>
      </c>
      <c r="B118" s="61" t="s">
        <v>13</v>
      </c>
      <c r="C118" s="61" t="s">
        <v>14</v>
      </c>
      <c r="D118" s="61" t="s">
        <v>1362</v>
      </c>
      <c r="E118" s="78">
        <v>38741029924</v>
      </c>
      <c r="F118" s="61" t="s">
        <v>1363</v>
      </c>
      <c r="G118" s="53">
        <v>7700</v>
      </c>
      <c r="H118" s="62">
        <v>45985</v>
      </c>
      <c r="I118" s="61" t="s">
        <v>903</v>
      </c>
      <c r="J118" s="61" t="s">
        <v>904</v>
      </c>
      <c r="K118" s="53">
        <v>352505120</v>
      </c>
      <c r="L118" s="61">
        <v>7873686835</v>
      </c>
      <c r="M118" s="55" t="s">
        <v>1378</v>
      </c>
    </row>
    <row r="119" spans="1:13" x14ac:dyDescent="0.25">
      <c r="A119" s="53" t="s">
        <v>12</v>
      </c>
      <c r="B119" s="53" t="s">
        <v>13</v>
      </c>
      <c r="C119" s="53" t="s">
        <v>14</v>
      </c>
      <c r="D119" s="53" t="s">
        <v>36</v>
      </c>
      <c r="E119" s="53" t="s">
        <v>37</v>
      </c>
      <c r="F119" s="53" t="s">
        <v>38</v>
      </c>
      <c r="G119" s="53">
        <v>6100</v>
      </c>
      <c r="H119" s="62">
        <v>45990</v>
      </c>
      <c r="I119" s="53" t="s">
        <v>902</v>
      </c>
      <c r="J119" s="53" t="s">
        <v>901</v>
      </c>
      <c r="K119" s="53">
        <v>352505288</v>
      </c>
      <c r="L119" s="53">
        <v>9358936441</v>
      </c>
      <c r="M119" s="55" t="s">
        <v>1379</v>
      </c>
    </row>
    <row r="120" spans="1:13" x14ac:dyDescent="0.25">
      <c r="A120" s="61" t="s">
        <v>12</v>
      </c>
      <c r="B120" s="61" t="s">
        <v>13</v>
      </c>
      <c r="C120" s="61" t="s">
        <v>14</v>
      </c>
      <c r="D120" s="61" t="s">
        <v>31</v>
      </c>
      <c r="E120" s="61" t="s">
        <v>32</v>
      </c>
      <c r="F120" s="61" t="s">
        <v>33</v>
      </c>
      <c r="G120" s="53">
        <v>6400</v>
      </c>
      <c r="H120" s="62">
        <v>45990</v>
      </c>
      <c r="I120" s="61" t="s">
        <v>571</v>
      </c>
      <c r="J120" s="61" t="s">
        <v>59</v>
      </c>
      <c r="K120" s="53">
        <v>352505281</v>
      </c>
      <c r="L120" s="61">
        <v>9347726061</v>
      </c>
      <c r="M120" s="55" t="s">
        <v>1380</v>
      </c>
    </row>
    <row r="121" spans="1:13" x14ac:dyDescent="0.25">
      <c r="A121" s="53" t="s">
        <v>12</v>
      </c>
      <c r="B121" s="53" t="s">
        <v>13</v>
      </c>
      <c r="C121" s="53" t="s">
        <v>14</v>
      </c>
      <c r="D121" s="53" t="s">
        <v>144</v>
      </c>
      <c r="E121" s="53">
        <v>44182579159</v>
      </c>
      <c r="F121" s="53" t="s">
        <v>145</v>
      </c>
      <c r="G121" s="53">
        <v>1000</v>
      </c>
      <c r="H121" s="62">
        <v>45990</v>
      </c>
      <c r="I121" s="53" t="s">
        <v>652</v>
      </c>
      <c r="J121" s="53" t="s">
        <v>147</v>
      </c>
      <c r="K121" s="53">
        <v>352505236</v>
      </c>
      <c r="L121" s="53">
        <v>7765824237</v>
      </c>
      <c r="M121" s="55" t="s">
        <v>1381</v>
      </c>
    </row>
    <row r="122" spans="1:13" x14ac:dyDescent="0.25">
      <c r="A122" s="53" t="s">
        <v>12</v>
      </c>
      <c r="B122" s="53" t="s">
        <v>13</v>
      </c>
      <c r="C122" s="53" t="s">
        <v>14</v>
      </c>
      <c r="D122" s="53" t="s">
        <v>993</v>
      </c>
      <c r="E122" s="69">
        <v>50100683547664</v>
      </c>
      <c r="F122" s="60" t="s">
        <v>994</v>
      </c>
      <c r="G122" s="53">
        <v>3000</v>
      </c>
      <c r="H122" s="62">
        <v>45991</v>
      </c>
      <c r="I122" s="61" t="s">
        <v>593</v>
      </c>
      <c r="J122" s="61" t="s">
        <v>76</v>
      </c>
      <c r="K122" s="53">
        <v>352505300</v>
      </c>
      <c r="L122" s="60">
        <v>8093441726</v>
      </c>
      <c r="M122" s="55" t="s">
        <v>1382</v>
      </c>
    </row>
    <row r="123" spans="1:13" x14ac:dyDescent="0.25">
      <c r="A123" s="53" t="s">
        <v>12</v>
      </c>
      <c r="B123" s="53" t="s">
        <v>13</v>
      </c>
      <c r="C123" s="53" t="s">
        <v>14</v>
      </c>
      <c r="D123" s="53" t="s">
        <v>993</v>
      </c>
      <c r="E123" s="69">
        <v>50100683547664</v>
      </c>
      <c r="F123" s="60" t="s">
        <v>994</v>
      </c>
      <c r="G123" s="53">
        <v>6400</v>
      </c>
      <c r="H123" s="62">
        <v>45991</v>
      </c>
      <c r="I123" s="61" t="s">
        <v>593</v>
      </c>
      <c r="J123" s="61" t="s">
        <v>76</v>
      </c>
      <c r="K123" s="53">
        <v>352505300</v>
      </c>
      <c r="L123" s="60">
        <v>8093441726</v>
      </c>
      <c r="M123" s="55" t="s">
        <v>1380</v>
      </c>
    </row>
  </sheetData>
  <autoFilter ref="A1:M123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M203"/>
  <sheetViews>
    <sheetView topLeftCell="B1" zoomScaleNormal="100" workbookViewId="0">
      <pane ySplit="1" topLeftCell="A2" activePane="bottomLeft" state="frozen"/>
      <selection pane="bottomLeft" activeCell="M102" sqref="A1:M203"/>
    </sheetView>
  </sheetViews>
  <sheetFormatPr defaultRowHeight="12" x14ac:dyDescent="0.25"/>
  <cols>
    <col min="1" max="1" width="17.77734375" style="59" customWidth="1"/>
    <col min="2" max="2" width="9.77734375" style="59" customWidth="1"/>
    <col min="3" max="3" width="13" style="59" customWidth="1"/>
    <col min="4" max="4" width="14" style="59" bestFit="1" customWidth="1"/>
    <col min="5" max="5" width="15.33203125" style="59" bestFit="1" customWidth="1"/>
    <col min="6" max="6" width="12.44140625" style="59" bestFit="1" customWidth="1"/>
    <col min="7" max="7" width="9" style="59" customWidth="1"/>
    <col min="8" max="8" width="11.109375" style="59" bestFit="1" customWidth="1"/>
    <col min="9" max="9" width="15" style="59" bestFit="1" customWidth="1"/>
    <col min="10" max="10" width="8.5546875" style="59" bestFit="1" customWidth="1"/>
    <col min="11" max="11" width="9" style="59" customWidth="1"/>
    <col min="12" max="12" width="11.21875" style="59" customWidth="1"/>
    <col min="13" max="13" width="70.44140625" style="59" bestFit="1" customWidth="1"/>
    <col min="14" max="16384" width="8.88671875" style="59"/>
  </cols>
  <sheetData>
    <row r="1" spans="1:13" ht="24" x14ac:dyDescent="0.25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7" t="s">
        <v>7</v>
      </c>
      <c r="I1" s="56" t="s">
        <v>8</v>
      </c>
      <c r="J1" s="56" t="s">
        <v>9</v>
      </c>
      <c r="K1" s="56" t="s">
        <v>10</v>
      </c>
      <c r="L1" s="56" t="s">
        <v>949</v>
      </c>
      <c r="M1" s="58" t="s">
        <v>11</v>
      </c>
    </row>
    <row r="2" spans="1:13" hidden="1" x14ac:dyDescent="0.25">
      <c r="A2" s="53" t="s">
        <v>12</v>
      </c>
      <c r="B2" s="53" t="s">
        <v>13</v>
      </c>
      <c r="C2" s="53" t="s">
        <v>14</v>
      </c>
      <c r="D2" s="53" t="s">
        <v>48</v>
      </c>
      <c r="E2" s="53" t="s">
        <v>49</v>
      </c>
      <c r="F2" s="53" t="s">
        <v>50</v>
      </c>
      <c r="G2" s="53">
        <v>2000</v>
      </c>
      <c r="H2" s="62">
        <v>45992</v>
      </c>
      <c r="I2" s="53" t="s">
        <v>572</v>
      </c>
      <c r="J2" s="53" t="s">
        <v>34</v>
      </c>
      <c r="K2" s="53">
        <v>352505079</v>
      </c>
      <c r="L2" s="53">
        <v>8520078561</v>
      </c>
      <c r="M2" s="55" t="s">
        <v>1384</v>
      </c>
    </row>
    <row r="3" spans="1:13" hidden="1" x14ac:dyDescent="0.25">
      <c r="A3" s="53" t="s">
        <v>12</v>
      </c>
      <c r="B3" s="53" t="s">
        <v>13</v>
      </c>
      <c r="C3" s="53" t="s">
        <v>14</v>
      </c>
      <c r="D3" s="53" t="s">
        <v>36</v>
      </c>
      <c r="E3" s="53" t="s">
        <v>37</v>
      </c>
      <c r="F3" s="53" t="s">
        <v>38</v>
      </c>
      <c r="G3" s="53">
        <v>500</v>
      </c>
      <c r="H3" s="62">
        <v>45992</v>
      </c>
      <c r="I3" s="53" t="s">
        <v>902</v>
      </c>
      <c r="J3" s="53" t="s">
        <v>901</v>
      </c>
      <c r="K3" s="53">
        <v>352505306</v>
      </c>
      <c r="L3" s="53">
        <v>9358936441</v>
      </c>
      <c r="M3" s="55" t="s">
        <v>1383</v>
      </c>
    </row>
    <row r="4" spans="1:13" x14ac:dyDescent="0.25">
      <c r="A4" s="61" t="s">
        <v>12</v>
      </c>
      <c r="B4" s="61" t="s">
        <v>13</v>
      </c>
      <c r="C4" s="61" t="s">
        <v>14</v>
      </c>
      <c r="D4" s="61" t="s">
        <v>31</v>
      </c>
      <c r="E4" s="61" t="s">
        <v>32</v>
      </c>
      <c r="F4" s="61" t="s">
        <v>33</v>
      </c>
      <c r="G4" s="53">
        <v>5200</v>
      </c>
      <c r="H4" s="62">
        <v>45992</v>
      </c>
      <c r="I4" s="61" t="s">
        <v>571</v>
      </c>
      <c r="J4" s="61" t="s">
        <v>59</v>
      </c>
      <c r="K4" s="53">
        <v>352505304</v>
      </c>
      <c r="L4" s="61">
        <v>9347726061</v>
      </c>
      <c r="M4" s="55" t="s">
        <v>1385</v>
      </c>
    </row>
    <row r="5" spans="1:13" hidden="1" x14ac:dyDescent="0.25">
      <c r="A5" s="53" t="s">
        <v>12</v>
      </c>
      <c r="B5" s="53" t="s">
        <v>13</v>
      </c>
      <c r="C5" s="53" t="s">
        <v>14</v>
      </c>
      <c r="D5" s="53" t="s">
        <v>993</v>
      </c>
      <c r="E5" s="69">
        <v>50100683547664</v>
      </c>
      <c r="F5" s="60" t="s">
        <v>994</v>
      </c>
      <c r="G5" s="53">
        <v>5200</v>
      </c>
      <c r="H5" s="62">
        <v>45992</v>
      </c>
      <c r="I5" s="61" t="s">
        <v>593</v>
      </c>
      <c r="J5" s="61" t="s">
        <v>76</v>
      </c>
      <c r="K5" s="53">
        <v>352505305</v>
      </c>
      <c r="L5" s="60">
        <v>8093441726</v>
      </c>
      <c r="M5" s="55" t="s">
        <v>1385</v>
      </c>
    </row>
    <row r="6" spans="1:13" hidden="1" x14ac:dyDescent="0.25">
      <c r="A6" s="53" t="s">
        <v>12</v>
      </c>
      <c r="B6" s="53" t="s">
        <v>13</v>
      </c>
      <c r="C6" s="53" t="s">
        <v>14</v>
      </c>
      <c r="D6" s="53" t="s">
        <v>48</v>
      </c>
      <c r="E6" s="53" t="s">
        <v>49</v>
      </c>
      <c r="F6" s="53" t="s">
        <v>50</v>
      </c>
      <c r="G6" s="53">
        <v>6100</v>
      </c>
      <c r="H6" s="62">
        <v>45993</v>
      </c>
      <c r="I6" s="53" t="s">
        <v>572</v>
      </c>
      <c r="J6" s="53" t="s">
        <v>34</v>
      </c>
      <c r="K6" s="53">
        <v>352505162</v>
      </c>
      <c r="L6" s="53">
        <v>8520078561</v>
      </c>
      <c r="M6" s="55" t="s">
        <v>1386</v>
      </c>
    </row>
    <row r="7" spans="1:13" hidden="1" x14ac:dyDescent="0.25">
      <c r="A7" s="53" t="s">
        <v>12</v>
      </c>
      <c r="B7" s="53" t="s">
        <v>13</v>
      </c>
      <c r="C7" s="53" t="s">
        <v>14</v>
      </c>
      <c r="D7" s="53" t="s">
        <v>343</v>
      </c>
      <c r="E7" s="54">
        <v>37223550583</v>
      </c>
      <c r="F7" s="53" t="s">
        <v>33</v>
      </c>
      <c r="G7" s="53">
        <v>4950</v>
      </c>
      <c r="H7" s="62">
        <v>45993</v>
      </c>
      <c r="I7" s="61" t="s">
        <v>895</v>
      </c>
      <c r="J7" s="61" t="s">
        <v>896</v>
      </c>
      <c r="K7" s="53">
        <v>352505302</v>
      </c>
      <c r="L7" s="53">
        <v>9031258705</v>
      </c>
      <c r="M7" s="55" t="s">
        <v>1387</v>
      </c>
    </row>
    <row r="8" spans="1:13" hidden="1" x14ac:dyDescent="0.25">
      <c r="A8" s="53" t="s">
        <v>12</v>
      </c>
      <c r="B8" s="53" t="s">
        <v>13</v>
      </c>
      <c r="C8" s="53" t="s">
        <v>14</v>
      </c>
      <c r="D8" s="53" t="s">
        <v>343</v>
      </c>
      <c r="E8" s="54">
        <v>37223550583</v>
      </c>
      <c r="F8" s="53" t="s">
        <v>33</v>
      </c>
      <c r="G8" s="53">
        <v>2000</v>
      </c>
      <c r="H8" s="62">
        <v>45994</v>
      </c>
      <c r="I8" s="61" t="s">
        <v>895</v>
      </c>
      <c r="J8" s="61" t="s">
        <v>896</v>
      </c>
      <c r="K8" s="53">
        <v>352505353</v>
      </c>
      <c r="L8" s="53">
        <v>9031258705</v>
      </c>
      <c r="M8" s="55" t="s">
        <v>1388</v>
      </c>
    </row>
    <row r="9" spans="1:13" hidden="1" x14ac:dyDescent="0.25">
      <c r="A9" s="53" t="s">
        <v>12</v>
      </c>
      <c r="B9" s="53" t="s">
        <v>13</v>
      </c>
      <c r="C9" s="53" t="s">
        <v>14</v>
      </c>
      <c r="D9" s="53" t="s">
        <v>36</v>
      </c>
      <c r="E9" s="53" t="s">
        <v>37</v>
      </c>
      <c r="F9" s="53" t="s">
        <v>38</v>
      </c>
      <c r="G9" s="53">
        <v>7500</v>
      </c>
      <c r="H9" s="62">
        <v>45994</v>
      </c>
      <c r="I9" s="53" t="s">
        <v>902</v>
      </c>
      <c r="J9" s="53" t="s">
        <v>901</v>
      </c>
      <c r="K9" s="53">
        <v>352505306</v>
      </c>
      <c r="L9" s="53">
        <v>9358936441</v>
      </c>
      <c r="M9" s="55" t="s">
        <v>1389</v>
      </c>
    </row>
    <row r="10" spans="1:13" hidden="1" x14ac:dyDescent="0.25">
      <c r="A10" s="53" t="s">
        <v>12</v>
      </c>
      <c r="B10" s="53" t="s">
        <v>13</v>
      </c>
      <c r="C10" s="53" t="s">
        <v>14</v>
      </c>
      <c r="D10" s="53" t="s">
        <v>993</v>
      </c>
      <c r="E10" s="69">
        <v>50100683547664</v>
      </c>
      <c r="F10" s="60" t="s">
        <v>994</v>
      </c>
      <c r="G10" s="53">
        <v>7500</v>
      </c>
      <c r="H10" s="62">
        <v>45994</v>
      </c>
      <c r="I10" s="61" t="s">
        <v>593</v>
      </c>
      <c r="J10" s="61" t="s">
        <v>76</v>
      </c>
      <c r="K10" s="53">
        <v>352505347</v>
      </c>
      <c r="L10" s="60">
        <v>8093441726</v>
      </c>
      <c r="M10" s="55" t="s">
        <v>1389</v>
      </c>
    </row>
    <row r="11" spans="1:13" hidden="1" x14ac:dyDescent="0.25">
      <c r="A11" s="53" t="s">
        <v>12</v>
      </c>
      <c r="B11" s="53" t="s">
        <v>13</v>
      </c>
      <c r="C11" s="53" t="s">
        <v>14</v>
      </c>
      <c r="D11" s="53" t="s">
        <v>343</v>
      </c>
      <c r="E11" s="54">
        <v>37223550583</v>
      </c>
      <c r="F11" s="53" t="s">
        <v>33</v>
      </c>
      <c r="G11" s="53">
        <v>2500</v>
      </c>
      <c r="H11" s="62">
        <v>45995</v>
      </c>
      <c r="I11" s="61" t="s">
        <v>895</v>
      </c>
      <c r="J11" s="61" t="s">
        <v>896</v>
      </c>
      <c r="K11" s="53">
        <v>352505382</v>
      </c>
      <c r="L11" s="53">
        <v>9031258705</v>
      </c>
      <c r="M11" s="55" t="s">
        <v>1390</v>
      </c>
    </row>
    <row r="12" spans="1:13" hidden="1" x14ac:dyDescent="0.25">
      <c r="A12" s="53" t="s">
        <v>12</v>
      </c>
      <c r="B12" s="53" t="s">
        <v>13</v>
      </c>
      <c r="C12" s="53" t="s">
        <v>14</v>
      </c>
      <c r="D12" s="53" t="s">
        <v>144</v>
      </c>
      <c r="E12" s="53">
        <v>44182579159</v>
      </c>
      <c r="F12" s="53" t="s">
        <v>145</v>
      </c>
      <c r="G12" s="53">
        <v>6100</v>
      </c>
      <c r="H12" s="62">
        <v>45995</v>
      </c>
      <c r="I12" s="53" t="s">
        <v>652</v>
      </c>
      <c r="J12" s="53" t="s">
        <v>147</v>
      </c>
      <c r="K12" s="53">
        <v>352505385</v>
      </c>
      <c r="L12" s="53">
        <v>7765824237</v>
      </c>
      <c r="M12" s="55" t="s">
        <v>1391</v>
      </c>
    </row>
    <row r="13" spans="1:13" hidden="1" x14ac:dyDescent="0.25">
      <c r="A13" s="53" t="s">
        <v>12</v>
      </c>
      <c r="B13" s="53" t="s">
        <v>13</v>
      </c>
      <c r="C13" s="53" t="s">
        <v>14</v>
      </c>
      <c r="D13" s="53" t="s">
        <v>48</v>
      </c>
      <c r="E13" s="53" t="s">
        <v>49</v>
      </c>
      <c r="F13" s="53" t="s">
        <v>50</v>
      </c>
      <c r="G13" s="53">
        <v>1000</v>
      </c>
      <c r="H13" s="62">
        <v>45995</v>
      </c>
      <c r="I13" s="53" t="s">
        <v>572</v>
      </c>
      <c r="J13" s="53" t="s">
        <v>34</v>
      </c>
      <c r="K13" s="53">
        <v>352505374</v>
      </c>
      <c r="L13" s="53">
        <v>8520078561</v>
      </c>
      <c r="M13" s="55" t="s">
        <v>1392</v>
      </c>
    </row>
    <row r="14" spans="1:13" hidden="1" x14ac:dyDescent="0.25">
      <c r="A14" s="53" t="s">
        <v>12</v>
      </c>
      <c r="B14" s="53" t="s">
        <v>13</v>
      </c>
      <c r="C14" s="53" t="s">
        <v>14</v>
      </c>
      <c r="D14" s="53" t="s">
        <v>36</v>
      </c>
      <c r="E14" s="53" t="s">
        <v>37</v>
      </c>
      <c r="F14" s="53" t="s">
        <v>38</v>
      </c>
      <c r="G14" s="53">
        <v>1000</v>
      </c>
      <c r="H14" s="62">
        <v>45995</v>
      </c>
      <c r="I14" s="53" t="s">
        <v>902</v>
      </c>
      <c r="J14" s="53" t="s">
        <v>901</v>
      </c>
      <c r="K14" s="53">
        <v>352505376</v>
      </c>
      <c r="L14" s="53">
        <v>9358936441</v>
      </c>
      <c r="M14" s="55" t="s">
        <v>1392</v>
      </c>
    </row>
    <row r="15" spans="1:13" hidden="1" x14ac:dyDescent="0.25">
      <c r="A15" s="53" t="s">
        <v>12</v>
      </c>
      <c r="B15" s="53" t="s">
        <v>13</v>
      </c>
      <c r="C15" s="53" t="s">
        <v>14</v>
      </c>
      <c r="D15" s="53" t="s">
        <v>152</v>
      </c>
      <c r="E15" s="53" t="s">
        <v>153</v>
      </c>
      <c r="F15" s="60" t="s">
        <v>154</v>
      </c>
      <c r="G15" s="53">
        <v>1000</v>
      </c>
      <c r="H15" s="62">
        <v>45995</v>
      </c>
      <c r="I15" s="61" t="s">
        <v>966</v>
      </c>
      <c r="J15" s="61" t="s">
        <v>967</v>
      </c>
      <c r="K15" s="53">
        <v>352505377</v>
      </c>
      <c r="L15" s="60">
        <v>8084080392</v>
      </c>
      <c r="M15" s="55" t="s">
        <v>1392</v>
      </c>
    </row>
    <row r="16" spans="1:13" hidden="1" x14ac:dyDescent="0.25">
      <c r="A16" s="53" t="s">
        <v>12</v>
      </c>
      <c r="B16" s="53" t="s">
        <v>13</v>
      </c>
      <c r="C16" s="53" t="s">
        <v>14</v>
      </c>
      <c r="D16" s="53" t="s">
        <v>144</v>
      </c>
      <c r="E16" s="53">
        <v>44182579159</v>
      </c>
      <c r="F16" s="53" t="s">
        <v>145</v>
      </c>
      <c r="G16" s="53">
        <v>1000</v>
      </c>
      <c r="H16" s="62">
        <v>45995</v>
      </c>
      <c r="I16" s="53" t="s">
        <v>652</v>
      </c>
      <c r="J16" s="53" t="s">
        <v>147</v>
      </c>
      <c r="K16" s="53">
        <v>352505385</v>
      </c>
      <c r="L16" s="53">
        <v>7765824237</v>
      </c>
      <c r="M16" s="55" t="s">
        <v>1392</v>
      </c>
    </row>
    <row r="17" spans="1:13" hidden="1" x14ac:dyDescent="0.25">
      <c r="A17" s="53" t="s">
        <v>12</v>
      </c>
      <c r="B17" s="53" t="s">
        <v>13</v>
      </c>
      <c r="C17" s="53" t="s">
        <v>14</v>
      </c>
      <c r="D17" s="53" t="s">
        <v>993</v>
      </c>
      <c r="E17" s="69">
        <v>50100683547664</v>
      </c>
      <c r="F17" s="60" t="s">
        <v>994</v>
      </c>
      <c r="G17" s="53">
        <v>1000</v>
      </c>
      <c r="H17" s="62">
        <v>45995</v>
      </c>
      <c r="I17" s="61" t="s">
        <v>593</v>
      </c>
      <c r="J17" s="61" t="s">
        <v>76</v>
      </c>
      <c r="K17" s="53">
        <v>352505384</v>
      </c>
      <c r="L17" s="60">
        <v>8093441726</v>
      </c>
      <c r="M17" s="55" t="s">
        <v>1392</v>
      </c>
    </row>
    <row r="18" spans="1:13" x14ac:dyDescent="0.25">
      <c r="A18" s="61" t="s">
        <v>12</v>
      </c>
      <c r="B18" s="61" t="s">
        <v>13</v>
      </c>
      <c r="C18" s="61" t="s">
        <v>14</v>
      </c>
      <c r="D18" s="61" t="s">
        <v>31</v>
      </c>
      <c r="E18" s="61" t="s">
        <v>32</v>
      </c>
      <c r="F18" s="61" t="s">
        <v>33</v>
      </c>
      <c r="G18" s="53">
        <v>500</v>
      </c>
      <c r="H18" s="62">
        <v>45995</v>
      </c>
      <c r="I18" s="61" t="s">
        <v>571</v>
      </c>
      <c r="J18" s="61" t="s">
        <v>59</v>
      </c>
      <c r="K18" s="53">
        <v>352505375</v>
      </c>
      <c r="L18" s="61">
        <v>9347726061</v>
      </c>
      <c r="M18" s="55" t="s">
        <v>1394</v>
      </c>
    </row>
    <row r="19" spans="1:13" hidden="1" x14ac:dyDescent="0.25">
      <c r="A19" s="53" t="s">
        <v>12</v>
      </c>
      <c r="B19" s="53" t="s">
        <v>13</v>
      </c>
      <c r="C19" s="53" t="s">
        <v>14</v>
      </c>
      <c r="D19" s="53" t="s">
        <v>343</v>
      </c>
      <c r="E19" s="54">
        <v>37223550583</v>
      </c>
      <c r="F19" s="53" t="s">
        <v>33</v>
      </c>
      <c r="G19" s="53">
        <v>2500</v>
      </c>
      <c r="H19" s="62">
        <v>45995</v>
      </c>
      <c r="I19" s="61" t="s">
        <v>895</v>
      </c>
      <c r="J19" s="61" t="s">
        <v>896</v>
      </c>
      <c r="K19" s="53">
        <v>352505387</v>
      </c>
      <c r="L19" s="53">
        <v>9031258705</v>
      </c>
      <c r="M19" s="55" t="s">
        <v>1390</v>
      </c>
    </row>
    <row r="20" spans="1:13" hidden="1" x14ac:dyDescent="0.25">
      <c r="A20" s="53" t="s">
        <v>12</v>
      </c>
      <c r="B20" s="53" t="s">
        <v>13</v>
      </c>
      <c r="C20" s="53" t="s">
        <v>14</v>
      </c>
      <c r="D20" s="53" t="s">
        <v>48</v>
      </c>
      <c r="E20" s="53" t="s">
        <v>49</v>
      </c>
      <c r="F20" s="53" t="s">
        <v>50</v>
      </c>
      <c r="G20" s="53">
        <v>1500</v>
      </c>
      <c r="H20" s="62">
        <v>45995</v>
      </c>
      <c r="I20" s="53" t="s">
        <v>572</v>
      </c>
      <c r="J20" s="53" t="s">
        <v>34</v>
      </c>
      <c r="K20" s="53">
        <v>352505374</v>
      </c>
      <c r="L20" s="53">
        <v>8520078561</v>
      </c>
      <c r="M20" s="55" t="s">
        <v>1393</v>
      </c>
    </row>
    <row r="21" spans="1:13" hidden="1" x14ac:dyDescent="0.25">
      <c r="A21" s="53" t="s">
        <v>12</v>
      </c>
      <c r="B21" s="53" t="s">
        <v>13</v>
      </c>
      <c r="C21" s="53" t="s">
        <v>14</v>
      </c>
      <c r="D21" s="53" t="s">
        <v>343</v>
      </c>
      <c r="E21" s="54">
        <v>37223550583</v>
      </c>
      <c r="F21" s="53" t="s">
        <v>33</v>
      </c>
      <c r="G21" s="53">
        <v>5200</v>
      </c>
      <c r="H21" s="62">
        <v>45995</v>
      </c>
      <c r="I21" s="61" t="s">
        <v>895</v>
      </c>
      <c r="J21" s="61" t="s">
        <v>896</v>
      </c>
      <c r="K21" s="53">
        <v>352505387</v>
      </c>
      <c r="L21" s="53">
        <v>9031258705</v>
      </c>
      <c r="M21" s="55" t="s">
        <v>1395</v>
      </c>
    </row>
    <row r="22" spans="1:13" hidden="1" x14ac:dyDescent="0.25">
      <c r="A22" s="53" t="s">
        <v>12</v>
      </c>
      <c r="B22" s="53" t="s">
        <v>13</v>
      </c>
      <c r="C22" s="53" t="s">
        <v>14</v>
      </c>
      <c r="D22" s="53" t="s">
        <v>36</v>
      </c>
      <c r="E22" s="53" t="s">
        <v>37</v>
      </c>
      <c r="F22" s="53" t="s">
        <v>38</v>
      </c>
      <c r="G22" s="53">
        <v>6400</v>
      </c>
      <c r="H22" s="62">
        <v>45995</v>
      </c>
      <c r="I22" s="53" t="s">
        <v>902</v>
      </c>
      <c r="J22" s="53" t="s">
        <v>901</v>
      </c>
      <c r="K22" s="53">
        <v>352505376</v>
      </c>
      <c r="L22" s="53">
        <v>9358936441</v>
      </c>
      <c r="M22" s="55" t="s">
        <v>1396</v>
      </c>
    </row>
    <row r="23" spans="1:13" hidden="1" x14ac:dyDescent="0.25">
      <c r="A23" s="53" t="s">
        <v>12</v>
      </c>
      <c r="B23" s="53" t="s">
        <v>13</v>
      </c>
      <c r="C23" s="53" t="s">
        <v>14</v>
      </c>
      <c r="D23" s="53" t="s">
        <v>993</v>
      </c>
      <c r="E23" s="69">
        <v>50100683547664</v>
      </c>
      <c r="F23" s="60" t="s">
        <v>994</v>
      </c>
      <c r="G23" s="53">
        <v>2000</v>
      </c>
      <c r="H23" s="62">
        <v>45995</v>
      </c>
      <c r="I23" s="61" t="s">
        <v>593</v>
      </c>
      <c r="J23" s="61" t="s">
        <v>76</v>
      </c>
      <c r="K23" s="53">
        <v>352505384</v>
      </c>
      <c r="L23" s="60">
        <v>8093441726</v>
      </c>
      <c r="M23" s="55" t="s">
        <v>1397</v>
      </c>
    </row>
    <row r="24" spans="1:13" x14ac:dyDescent="0.25">
      <c r="A24" s="61" t="s">
        <v>12</v>
      </c>
      <c r="B24" s="61" t="s">
        <v>13</v>
      </c>
      <c r="C24" s="61" t="s">
        <v>14</v>
      </c>
      <c r="D24" s="61" t="s">
        <v>31</v>
      </c>
      <c r="E24" s="61" t="s">
        <v>32</v>
      </c>
      <c r="F24" s="61" t="s">
        <v>33</v>
      </c>
      <c r="G24" s="53">
        <v>1500</v>
      </c>
      <c r="H24" s="62">
        <v>45996</v>
      </c>
      <c r="I24" s="61" t="s">
        <v>571</v>
      </c>
      <c r="J24" s="61" t="s">
        <v>59</v>
      </c>
      <c r="K24" s="53">
        <v>352505375</v>
      </c>
      <c r="L24" s="61">
        <v>9347726061</v>
      </c>
      <c r="M24" s="55" t="s">
        <v>1398</v>
      </c>
    </row>
    <row r="25" spans="1:13" hidden="1" x14ac:dyDescent="0.25">
      <c r="A25" s="53" t="s">
        <v>12</v>
      </c>
      <c r="B25" s="53" t="s">
        <v>13</v>
      </c>
      <c r="C25" s="53" t="s">
        <v>14</v>
      </c>
      <c r="D25" s="53" t="s">
        <v>144</v>
      </c>
      <c r="E25" s="53">
        <v>44182579159</v>
      </c>
      <c r="F25" s="53" t="s">
        <v>145</v>
      </c>
      <c r="G25" s="53">
        <v>7500</v>
      </c>
      <c r="H25" s="62">
        <v>45996</v>
      </c>
      <c r="I25" s="53" t="s">
        <v>652</v>
      </c>
      <c r="J25" s="53" t="s">
        <v>147</v>
      </c>
      <c r="K25" s="53">
        <v>352505385</v>
      </c>
      <c r="L25" s="53">
        <v>7765824237</v>
      </c>
      <c r="M25" s="55" t="s">
        <v>1399</v>
      </c>
    </row>
    <row r="26" spans="1:13" hidden="1" x14ac:dyDescent="0.25">
      <c r="A26" s="53" t="s">
        <v>12</v>
      </c>
      <c r="B26" s="53" t="s">
        <v>13</v>
      </c>
      <c r="C26" s="53" t="s">
        <v>14</v>
      </c>
      <c r="D26" s="53" t="s">
        <v>36</v>
      </c>
      <c r="E26" s="53" t="s">
        <v>37</v>
      </c>
      <c r="F26" s="53" t="s">
        <v>38</v>
      </c>
      <c r="G26" s="53">
        <v>7500</v>
      </c>
      <c r="H26" s="62">
        <v>45996</v>
      </c>
      <c r="I26" s="53" t="s">
        <v>902</v>
      </c>
      <c r="J26" s="53" t="s">
        <v>901</v>
      </c>
      <c r="K26" s="53">
        <v>352505394</v>
      </c>
      <c r="L26" s="53">
        <v>9358936441</v>
      </c>
      <c r="M26" s="55" t="s">
        <v>1399</v>
      </c>
    </row>
    <row r="27" spans="1:13" hidden="1" x14ac:dyDescent="0.25">
      <c r="A27" s="53" t="s">
        <v>12</v>
      </c>
      <c r="B27" s="53" t="s">
        <v>13</v>
      </c>
      <c r="C27" s="53" t="s">
        <v>14</v>
      </c>
      <c r="D27" s="53" t="s">
        <v>152</v>
      </c>
      <c r="E27" s="53" t="s">
        <v>153</v>
      </c>
      <c r="F27" s="60" t="s">
        <v>154</v>
      </c>
      <c r="G27" s="53">
        <v>7500</v>
      </c>
      <c r="H27" s="62">
        <v>45996</v>
      </c>
      <c r="I27" s="61" t="s">
        <v>966</v>
      </c>
      <c r="J27" s="61" t="s">
        <v>967</v>
      </c>
      <c r="K27" s="53">
        <v>352505395</v>
      </c>
      <c r="L27" s="60">
        <v>8084080392</v>
      </c>
      <c r="M27" s="55" t="s">
        <v>1399</v>
      </c>
    </row>
    <row r="28" spans="1:13" hidden="1" x14ac:dyDescent="0.25">
      <c r="A28" s="53" t="s">
        <v>12</v>
      </c>
      <c r="B28" s="53" t="s">
        <v>13</v>
      </c>
      <c r="C28" s="53" t="s">
        <v>14</v>
      </c>
      <c r="D28" s="53" t="s">
        <v>993</v>
      </c>
      <c r="E28" s="69">
        <v>50100683547664</v>
      </c>
      <c r="F28" s="60" t="s">
        <v>994</v>
      </c>
      <c r="G28" s="53">
        <v>2500</v>
      </c>
      <c r="H28" s="62">
        <v>45996</v>
      </c>
      <c r="I28" s="61" t="s">
        <v>593</v>
      </c>
      <c r="J28" s="61" t="s">
        <v>76</v>
      </c>
      <c r="K28" s="53">
        <v>352505384</v>
      </c>
      <c r="L28" s="60">
        <v>8093441726</v>
      </c>
      <c r="M28" s="55" t="s">
        <v>1400</v>
      </c>
    </row>
    <row r="29" spans="1:13" hidden="1" x14ac:dyDescent="0.25">
      <c r="A29" s="53" t="s">
        <v>12</v>
      </c>
      <c r="B29" s="53" t="s">
        <v>13</v>
      </c>
      <c r="C29" s="53" t="s">
        <v>14</v>
      </c>
      <c r="D29" s="53" t="s">
        <v>343</v>
      </c>
      <c r="E29" s="54">
        <v>37223550583</v>
      </c>
      <c r="F29" s="53" t="s">
        <v>33</v>
      </c>
      <c r="G29" s="53">
        <v>5500</v>
      </c>
      <c r="H29" s="62">
        <v>45996</v>
      </c>
      <c r="I29" s="61" t="s">
        <v>895</v>
      </c>
      <c r="J29" s="61" t="s">
        <v>896</v>
      </c>
      <c r="K29" s="53">
        <v>352505393</v>
      </c>
      <c r="L29" s="53">
        <v>9031258705</v>
      </c>
      <c r="M29" s="55" t="s">
        <v>1401</v>
      </c>
    </row>
    <row r="30" spans="1:13" hidden="1" x14ac:dyDescent="0.25">
      <c r="A30" s="53" t="s">
        <v>12</v>
      </c>
      <c r="B30" s="53" t="s">
        <v>13</v>
      </c>
      <c r="C30" s="53" t="s">
        <v>14</v>
      </c>
      <c r="D30" s="53" t="s">
        <v>48</v>
      </c>
      <c r="E30" s="53" t="s">
        <v>49</v>
      </c>
      <c r="F30" s="53" t="s">
        <v>50</v>
      </c>
      <c r="G30" s="53">
        <v>1000</v>
      </c>
      <c r="H30" s="62">
        <v>45997</v>
      </c>
      <c r="I30" s="53" t="s">
        <v>572</v>
      </c>
      <c r="J30" s="53" t="s">
        <v>34</v>
      </c>
      <c r="K30" s="53">
        <v>352505400</v>
      </c>
      <c r="L30" s="53">
        <v>8520078561</v>
      </c>
      <c r="M30" s="55" t="s">
        <v>1402</v>
      </c>
    </row>
    <row r="31" spans="1:13" x14ac:dyDescent="0.25">
      <c r="A31" s="61" t="s">
        <v>12</v>
      </c>
      <c r="B31" s="61" t="s">
        <v>13</v>
      </c>
      <c r="C31" s="61" t="s">
        <v>14</v>
      </c>
      <c r="D31" s="61" t="s">
        <v>31</v>
      </c>
      <c r="E31" s="61" t="s">
        <v>32</v>
      </c>
      <c r="F31" s="61" t="s">
        <v>33</v>
      </c>
      <c r="G31" s="53">
        <v>1000</v>
      </c>
      <c r="H31" s="62">
        <v>45997</v>
      </c>
      <c r="I31" s="61" t="s">
        <v>571</v>
      </c>
      <c r="J31" s="61" t="s">
        <v>59</v>
      </c>
      <c r="K31" s="53">
        <v>352505413</v>
      </c>
      <c r="L31" s="61">
        <v>9347726061</v>
      </c>
      <c r="M31" s="55" t="s">
        <v>1402</v>
      </c>
    </row>
    <row r="32" spans="1:13" hidden="1" x14ac:dyDescent="0.25">
      <c r="A32" s="53" t="s">
        <v>12</v>
      </c>
      <c r="B32" s="53" t="s">
        <v>13</v>
      </c>
      <c r="C32" s="53" t="s">
        <v>14</v>
      </c>
      <c r="D32" s="53" t="s">
        <v>144</v>
      </c>
      <c r="E32" s="53">
        <v>44182579159</v>
      </c>
      <c r="F32" s="53" t="s">
        <v>145</v>
      </c>
      <c r="G32" s="53">
        <v>500</v>
      </c>
      <c r="H32" s="62">
        <v>45997</v>
      </c>
      <c r="I32" s="53" t="s">
        <v>652</v>
      </c>
      <c r="J32" s="53" t="s">
        <v>147</v>
      </c>
      <c r="K32" s="53">
        <v>352505414</v>
      </c>
      <c r="L32" s="53">
        <v>7765824237</v>
      </c>
      <c r="M32" s="55" t="s">
        <v>1403</v>
      </c>
    </row>
    <row r="33" spans="1:13" hidden="1" x14ac:dyDescent="0.25">
      <c r="A33" s="53" t="s">
        <v>12</v>
      </c>
      <c r="B33" s="53" t="s">
        <v>13</v>
      </c>
      <c r="C33" s="53" t="s">
        <v>14</v>
      </c>
      <c r="D33" s="53" t="s">
        <v>343</v>
      </c>
      <c r="E33" s="54">
        <v>37223550583</v>
      </c>
      <c r="F33" s="53" t="s">
        <v>33</v>
      </c>
      <c r="G33" s="53">
        <v>5200</v>
      </c>
      <c r="H33" s="62">
        <v>45997</v>
      </c>
      <c r="I33" s="61" t="s">
        <v>895</v>
      </c>
      <c r="J33" s="61" t="s">
        <v>896</v>
      </c>
      <c r="K33" s="53">
        <v>352505412</v>
      </c>
      <c r="L33" s="53">
        <v>9031258705</v>
      </c>
      <c r="M33" s="55" t="s">
        <v>602</v>
      </c>
    </row>
    <row r="34" spans="1:13" hidden="1" x14ac:dyDescent="0.25">
      <c r="A34" s="53" t="s">
        <v>12</v>
      </c>
      <c r="B34" s="53" t="s">
        <v>13</v>
      </c>
      <c r="C34" s="53" t="s">
        <v>14</v>
      </c>
      <c r="D34" s="53" t="s">
        <v>993</v>
      </c>
      <c r="E34" s="69">
        <v>50100683547664</v>
      </c>
      <c r="F34" s="60" t="s">
        <v>994</v>
      </c>
      <c r="G34" s="53">
        <v>6000</v>
      </c>
      <c r="H34" s="62">
        <v>45997</v>
      </c>
      <c r="I34" s="61" t="s">
        <v>593</v>
      </c>
      <c r="J34" s="61" t="s">
        <v>76</v>
      </c>
      <c r="K34" s="53">
        <v>352505411</v>
      </c>
      <c r="L34" s="60">
        <v>8093441726</v>
      </c>
      <c r="M34" s="55" t="s">
        <v>1404</v>
      </c>
    </row>
    <row r="35" spans="1:13" hidden="1" x14ac:dyDescent="0.25">
      <c r="A35" s="53" t="s">
        <v>12</v>
      </c>
      <c r="B35" s="53" t="s">
        <v>13</v>
      </c>
      <c r="C35" s="53" t="s">
        <v>14</v>
      </c>
      <c r="D35" s="53" t="s">
        <v>1406</v>
      </c>
      <c r="E35" s="69">
        <v>645602010014653</v>
      </c>
      <c r="F35" s="60" t="s">
        <v>1407</v>
      </c>
      <c r="G35" s="53">
        <v>7500</v>
      </c>
      <c r="H35" s="62">
        <v>45997</v>
      </c>
      <c r="I35" s="61" t="s">
        <v>903</v>
      </c>
      <c r="J35" s="61" t="s">
        <v>904</v>
      </c>
      <c r="K35" s="53">
        <v>352505416</v>
      </c>
      <c r="L35" s="60">
        <v>8084480157</v>
      </c>
      <c r="M35" s="55" t="s">
        <v>1405</v>
      </c>
    </row>
    <row r="36" spans="1:13" hidden="1" x14ac:dyDescent="0.25">
      <c r="A36" s="53" t="s">
        <v>12</v>
      </c>
      <c r="B36" s="53" t="s">
        <v>13</v>
      </c>
      <c r="C36" s="53" t="s">
        <v>14</v>
      </c>
      <c r="D36" s="53" t="s">
        <v>36</v>
      </c>
      <c r="E36" s="53" t="s">
        <v>37</v>
      </c>
      <c r="F36" s="53" t="s">
        <v>38</v>
      </c>
      <c r="G36" s="53">
        <v>1000</v>
      </c>
      <c r="H36" s="62">
        <v>45999</v>
      </c>
      <c r="I36" s="53" t="s">
        <v>902</v>
      </c>
      <c r="J36" s="53" t="s">
        <v>901</v>
      </c>
      <c r="K36" s="53">
        <v>352505419</v>
      </c>
      <c r="L36" s="53">
        <v>9358936441</v>
      </c>
      <c r="M36" s="55" t="s">
        <v>1411</v>
      </c>
    </row>
    <row r="37" spans="1:13" hidden="1" x14ac:dyDescent="0.25">
      <c r="A37" s="53" t="s">
        <v>12</v>
      </c>
      <c r="B37" s="53" t="s">
        <v>13</v>
      </c>
      <c r="C37" s="53" t="s">
        <v>14</v>
      </c>
      <c r="D37" s="53" t="s">
        <v>152</v>
      </c>
      <c r="E37" s="53" t="s">
        <v>153</v>
      </c>
      <c r="F37" s="60" t="s">
        <v>154</v>
      </c>
      <c r="G37" s="53">
        <v>500</v>
      </c>
      <c r="H37" s="62">
        <v>45999</v>
      </c>
      <c r="I37" s="61" t="s">
        <v>966</v>
      </c>
      <c r="J37" s="61" t="s">
        <v>967</v>
      </c>
      <c r="K37" s="53">
        <v>352505418</v>
      </c>
      <c r="L37" s="60">
        <v>8084080392</v>
      </c>
      <c r="M37" s="55" t="s">
        <v>1412</v>
      </c>
    </row>
    <row r="38" spans="1:13" hidden="1" x14ac:dyDescent="0.25">
      <c r="A38" s="53" t="s">
        <v>12</v>
      </c>
      <c r="B38" s="53" t="s">
        <v>13</v>
      </c>
      <c r="C38" s="53" t="s">
        <v>14</v>
      </c>
      <c r="D38" s="53" t="s">
        <v>1406</v>
      </c>
      <c r="E38" s="69">
        <v>645602010014653</v>
      </c>
      <c r="F38" s="60" t="s">
        <v>1407</v>
      </c>
      <c r="G38" s="53">
        <v>1000</v>
      </c>
      <c r="H38" s="62">
        <v>45999</v>
      </c>
      <c r="I38" s="61" t="s">
        <v>903</v>
      </c>
      <c r="J38" s="61" t="s">
        <v>904</v>
      </c>
      <c r="K38" s="53">
        <v>352505416</v>
      </c>
      <c r="L38" s="60">
        <v>8084480157</v>
      </c>
      <c r="M38" s="55" t="s">
        <v>1411</v>
      </c>
    </row>
    <row r="39" spans="1:13" hidden="1" x14ac:dyDescent="0.25">
      <c r="A39" s="53" t="s">
        <v>12</v>
      </c>
      <c r="B39" s="53" t="s">
        <v>13</v>
      </c>
      <c r="C39" s="53" t="s">
        <v>14</v>
      </c>
      <c r="D39" s="53" t="s">
        <v>343</v>
      </c>
      <c r="E39" s="54">
        <v>37223550583</v>
      </c>
      <c r="F39" s="53" t="s">
        <v>33</v>
      </c>
      <c r="G39" s="53">
        <v>5200</v>
      </c>
      <c r="H39" s="62">
        <v>45999</v>
      </c>
      <c r="I39" s="61" t="s">
        <v>895</v>
      </c>
      <c r="J39" s="61" t="s">
        <v>896</v>
      </c>
      <c r="K39" s="53">
        <v>352505437</v>
      </c>
      <c r="L39" s="53">
        <v>9031258705</v>
      </c>
      <c r="M39" s="55" t="s">
        <v>1408</v>
      </c>
    </row>
    <row r="40" spans="1:13" hidden="1" x14ac:dyDescent="0.25">
      <c r="A40" s="53" t="s">
        <v>12</v>
      </c>
      <c r="B40" s="53" t="s">
        <v>13</v>
      </c>
      <c r="C40" s="53" t="s">
        <v>14</v>
      </c>
      <c r="D40" s="53" t="s">
        <v>144</v>
      </c>
      <c r="E40" s="53">
        <v>44182579159</v>
      </c>
      <c r="F40" s="53" t="s">
        <v>145</v>
      </c>
      <c r="G40" s="53">
        <v>4950</v>
      </c>
      <c r="H40" s="62">
        <v>45999</v>
      </c>
      <c r="I40" s="53" t="s">
        <v>652</v>
      </c>
      <c r="J40" s="53" t="s">
        <v>147</v>
      </c>
      <c r="K40" s="53">
        <v>352505414</v>
      </c>
      <c r="L40" s="53">
        <v>7765824237</v>
      </c>
      <c r="M40" s="55" t="s">
        <v>1409</v>
      </c>
    </row>
    <row r="41" spans="1:13" hidden="1" x14ac:dyDescent="0.25">
      <c r="A41" s="61" t="s">
        <v>12</v>
      </c>
      <c r="B41" s="61" t="s">
        <v>13</v>
      </c>
      <c r="C41" s="61" t="s">
        <v>14</v>
      </c>
      <c r="D41" s="61" t="s">
        <v>149</v>
      </c>
      <c r="E41" s="78">
        <v>50100624324501</v>
      </c>
      <c r="F41" s="61" t="s">
        <v>150</v>
      </c>
      <c r="G41" s="53">
        <v>3500</v>
      </c>
      <c r="H41" s="62">
        <v>45999</v>
      </c>
      <c r="I41" s="61" t="s">
        <v>741</v>
      </c>
      <c r="J41" s="61" t="s">
        <v>22</v>
      </c>
      <c r="K41" s="53">
        <v>352505391</v>
      </c>
      <c r="L41" s="61">
        <v>8789141433</v>
      </c>
      <c r="M41" s="55" t="s">
        <v>1410</v>
      </c>
    </row>
    <row r="42" spans="1:13" hidden="1" x14ac:dyDescent="0.25">
      <c r="A42" s="53" t="s">
        <v>12</v>
      </c>
      <c r="B42" s="53" t="s">
        <v>13</v>
      </c>
      <c r="C42" s="53" t="s">
        <v>14</v>
      </c>
      <c r="D42" s="53" t="s">
        <v>108</v>
      </c>
      <c r="E42" s="53" t="s">
        <v>109</v>
      </c>
      <c r="F42" s="53" t="s">
        <v>110</v>
      </c>
      <c r="G42" s="53">
        <v>3500</v>
      </c>
      <c r="H42" s="62">
        <v>45999</v>
      </c>
      <c r="I42" s="61" t="s">
        <v>667</v>
      </c>
      <c r="J42" s="61" t="s">
        <v>98</v>
      </c>
      <c r="K42" s="53">
        <v>352505438</v>
      </c>
      <c r="L42" s="53">
        <v>7870570436</v>
      </c>
      <c r="M42" s="55" t="s">
        <v>1410</v>
      </c>
    </row>
    <row r="43" spans="1:13" hidden="1" x14ac:dyDescent="0.25">
      <c r="A43" s="53" t="s">
        <v>12</v>
      </c>
      <c r="B43" s="53" t="s">
        <v>13</v>
      </c>
      <c r="C43" s="53" t="s">
        <v>14</v>
      </c>
      <c r="D43" s="53" t="s">
        <v>36</v>
      </c>
      <c r="E43" s="53" t="s">
        <v>37</v>
      </c>
      <c r="F43" s="53" t="s">
        <v>38</v>
      </c>
      <c r="G43" s="53">
        <v>6400</v>
      </c>
      <c r="H43" s="62">
        <v>45999</v>
      </c>
      <c r="I43" s="53" t="s">
        <v>902</v>
      </c>
      <c r="J43" s="53" t="s">
        <v>901</v>
      </c>
      <c r="K43" s="53">
        <v>352505419</v>
      </c>
      <c r="L43" s="53">
        <v>9358936441</v>
      </c>
      <c r="M43" s="55" t="s">
        <v>1413</v>
      </c>
    </row>
    <row r="44" spans="1:13" hidden="1" x14ac:dyDescent="0.25">
      <c r="A44" s="53" t="s">
        <v>12</v>
      </c>
      <c r="B44" s="53" t="s">
        <v>13</v>
      </c>
      <c r="C44" s="53" t="s">
        <v>14</v>
      </c>
      <c r="D44" s="53" t="s">
        <v>152</v>
      </c>
      <c r="E44" s="53" t="s">
        <v>153</v>
      </c>
      <c r="F44" s="60" t="s">
        <v>154</v>
      </c>
      <c r="G44" s="53">
        <v>5200</v>
      </c>
      <c r="H44" s="62">
        <v>45999</v>
      </c>
      <c r="I44" s="61" t="s">
        <v>966</v>
      </c>
      <c r="J44" s="61" t="s">
        <v>967</v>
      </c>
      <c r="K44" s="53">
        <v>352505418</v>
      </c>
      <c r="L44" s="60">
        <v>8084080392</v>
      </c>
      <c r="M44" s="55" t="s">
        <v>1414</v>
      </c>
    </row>
    <row r="45" spans="1:13" hidden="1" x14ac:dyDescent="0.25">
      <c r="A45" s="53" t="s">
        <v>12</v>
      </c>
      <c r="B45" s="53" t="s">
        <v>13</v>
      </c>
      <c r="C45" s="53" t="s">
        <v>14</v>
      </c>
      <c r="D45" s="53" t="s">
        <v>993</v>
      </c>
      <c r="E45" s="69">
        <v>50100683547664</v>
      </c>
      <c r="F45" s="60" t="s">
        <v>994</v>
      </c>
      <c r="G45" s="53">
        <v>1000</v>
      </c>
      <c r="H45" s="62">
        <v>45999</v>
      </c>
      <c r="I45" s="61" t="s">
        <v>593</v>
      </c>
      <c r="J45" s="61" t="s">
        <v>76</v>
      </c>
      <c r="K45" s="53">
        <v>352505469</v>
      </c>
      <c r="L45" s="60">
        <v>8093441726</v>
      </c>
      <c r="M45" s="55" t="s">
        <v>1415</v>
      </c>
    </row>
    <row r="46" spans="1:13" hidden="1" x14ac:dyDescent="0.25">
      <c r="A46" s="53" t="s">
        <v>12</v>
      </c>
      <c r="B46" s="53" t="s">
        <v>13</v>
      </c>
      <c r="C46" s="53" t="s">
        <v>14</v>
      </c>
      <c r="D46" s="53" t="s">
        <v>144</v>
      </c>
      <c r="E46" s="53">
        <v>44182579159</v>
      </c>
      <c r="F46" s="53" t="s">
        <v>145</v>
      </c>
      <c r="G46" s="53">
        <v>6500</v>
      </c>
      <c r="H46" s="62">
        <v>46000</v>
      </c>
      <c r="I46" s="53" t="s">
        <v>652</v>
      </c>
      <c r="J46" s="53" t="s">
        <v>147</v>
      </c>
      <c r="K46" s="53">
        <v>352505474</v>
      </c>
      <c r="L46" s="53">
        <v>7765824237</v>
      </c>
      <c r="M46" s="55" t="s">
        <v>1416</v>
      </c>
    </row>
    <row r="47" spans="1:13" hidden="1" x14ac:dyDescent="0.25">
      <c r="A47" s="53" t="s">
        <v>12</v>
      </c>
      <c r="B47" s="53" t="s">
        <v>13</v>
      </c>
      <c r="C47" s="53" t="s">
        <v>14</v>
      </c>
      <c r="D47" s="53" t="s">
        <v>343</v>
      </c>
      <c r="E47" s="54">
        <v>37223550583</v>
      </c>
      <c r="F47" s="53" t="s">
        <v>33</v>
      </c>
      <c r="G47" s="53">
        <v>5450</v>
      </c>
      <c r="H47" s="62">
        <v>46000</v>
      </c>
      <c r="I47" s="61" t="s">
        <v>895</v>
      </c>
      <c r="J47" s="61" t="s">
        <v>896</v>
      </c>
      <c r="K47" s="53">
        <v>352505477</v>
      </c>
      <c r="L47" s="53">
        <v>9031258705</v>
      </c>
      <c r="M47" s="55" t="s">
        <v>1417</v>
      </c>
    </row>
    <row r="48" spans="1:13" hidden="1" x14ac:dyDescent="0.25">
      <c r="A48" s="61" t="s">
        <v>12</v>
      </c>
      <c r="B48" s="61" t="s">
        <v>13</v>
      </c>
      <c r="C48" s="61" t="s">
        <v>14</v>
      </c>
      <c r="D48" s="61" t="s">
        <v>149</v>
      </c>
      <c r="E48" s="78">
        <v>50100624324501</v>
      </c>
      <c r="F48" s="61" t="s">
        <v>150</v>
      </c>
      <c r="G48" s="53">
        <v>1500</v>
      </c>
      <c r="H48" s="62">
        <v>46000</v>
      </c>
      <c r="I48" s="61" t="s">
        <v>741</v>
      </c>
      <c r="J48" s="61" t="s">
        <v>22</v>
      </c>
      <c r="K48" s="53">
        <v>352505475</v>
      </c>
      <c r="L48" s="61">
        <v>8789141433</v>
      </c>
      <c r="M48" s="55" t="s">
        <v>1418</v>
      </c>
    </row>
    <row r="49" spans="1:13" hidden="1" x14ac:dyDescent="0.25">
      <c r="A49" s="61" t="s">
        <v>12</v>
      </c>
      <c r="B49" s="61" t="s">
        <v>13</v>
      </c>
      <c r="C49" s="61" t="s">
        <v>14</v>
      </c>
      <c r="D49" s="61" t="s">
        <v>149</v>
      </c>
      <c r="E49" s="78">
        <v>50100624324501</v>
      </c>
      <c r="F49" s="61" t="s">
        <v>150</v>
      </c>
      <c r="G49" s="53">
        <v>5450</v>
      </c>
      <c r="H49" s="62">
        <v>46000</v>
      </c>
      <c r="I49" s="61" t="s">
        <v>741</v>
      </c>
      <c r="J49" s="61" t="s">
        <v>22</v>
      </c>
      <c r="K49" s="53">
        <v>352505475</v>
      </c>
      <c r="L49" s="61">
        <v>8789141433</v>
      </c>
      <c r="M49" s="55" t="s">
        <v>1417</v>
      </c>
    </row>
    <row r="50" spans="1:13" hidden="1" x14ac:dyDescent="0.25">
      <c r="A50" s="53" t="s">
        <v>12</v>
      </c>
      <c r="B50" s="53" t="s">
        <v>13</v>
      </c>
      <c r="C50" s="53" t="s">
        <v>14</v>
      </c>
      <c r="D50" s="53" t="s">
        <v>108</v>
      </c>
      <c r="E50" s="53" t="s">
        <v>109</v>
      </c>
      <c r="F50" s="53" t="s">
        <v>110</v>
      </c>
      <c r="G50" s="53">
        <v>1500</v>
      </c>
      <c r="H50" s="62">
        <v>46000</v>
      </c>
      <c r="I50" s="61" t="s">
        <v>667</v>
      </c>
      <c r="J50" s="61" t="s">
        <v>98</v>
      </c>
      <c r="K50" s="53">
        <v>352505490</v>
      </c>
      <c r="L50" s="53">
        <v>7870570436</v>
      </c>
      <c r="M50" s="55" t="s">
        <v>1418</v>
      </c>
    </row>
    <row r="51" spans="1:13" hidden="1" x14ac:dyDescent="0.25">
      <c r="A51" s="53" t="s">
        <v>12</v>
      </c>
      <c r="B51" s="53" t="s">
        <v>13</v>
      </c>
      <c r="C51" s="53" t="s">
        <v>14</v>
      </c>
      <c r="D51" s="53" t="s">
        <v>108</v>
      </c>
      <c r="E51" s="53" t="s">
        <v>109</v>
      </c>
      <c r="F51" s="53" t="s">
        <v>110</v>
      </c>
      <c r="G51" s="53">
        <v>4950</v>
      </c>
      <c r="H51" s="62">
        <v>46000</v>
      </c>
      <c r="I51" s="61" t="s">
        <v>667</v>
      </c>
      <c r="J51" s="61" t="s">
        <v>98</v>
      </c>
      <c r="K51" s="53">
        <v>352505490</v>
      </c>
      <c r="L51" s="53">
        <v>7870570436</v>
      </c>
      <c r="M51" s="55" t="s">
        <v>1419</v>
      </c>
    </row>
    <row r="52" spans="1:13" hidden="1" x14ac:dyDescent="0.25">
      <c r="A52" s="53" t="s">
        <v>12</v>
      </c>
      <c r="B52" s="53" t="s">
        <v>13</v>
      </c>
      <c r="C52" s="53" t="s">
        <v>14</v>
      </c>
      <c r="D52" s="53" t="s">
        <v>1406</v>
      </c>
      <c r="E52" s="69">
        <v>645602010014653</v>
      </c>
      <c r="F52" s="60" t="s">
        <v>1407</v>
      </c>
      <c r="G52" s="53">
        <v>5450</v>
      </c>
      <c r="H52" s="62">
        <v>46000</v>
      </c>
      <c r="I52" s="61" t="s">
        <v>903</v>
      </c>
      <c r="J52" s="61" t="s">
        <v>904</v>
      </c>
      <c r="K52" s="53">
        <v>352505416</v>
      </c>
      <c r="L52" s="60">
        <v>8084480157</v>
      </c>
      <c r="M52" s="55" t="s">
        <v>1417</v>
      </c>
    </row>
    <row r="53" spans="1:13" hidden="1" x14ac:dyDescent="0.25">
      <c r="A53" s="53" t="s">
        <v>12</v>
      </c>
      <c r="B53" s="53" t="s">
        <v>13</v>
      </c>
      <c r="C53" s="53" t="s">
        <v>14</v>
      </c>
      <c r="D53" s="53" t="s">
        <v>993</v>
      </c>
      <c r="E53" s="69">
        <v>50100683547664</v>
      </c>
      <c r="F53" s="60" t="s">
        <v>994</v>
      </c>
      <c r="G53" s="53">
        <v>5450</v>
      </c>
      <c r="H53" s="62">
        <v>46000</v>
      </c>
      <c r="I53" s="61" t="s">
        <v>593</v>
      </c>
      <c r="J53" s="61" t="s">
        <v>76</v>
      </c>
      <c r="K53" s="53">
        <v>352505469</v>
      </c>
      <c r="L53" s="60">
        <v>8093441726</v>
      </c>
      <c r="M53" s="55" t="s">
        <v>1417</v>
      </c>
    </row>
    <row r="54" spans="1:13" hidden="1" x14ac:dyDescent="0.25">
      <c r="A54" s="53" t="s">
        <v>12</v>
      </c>
      <c r="B54" s="53" t="s">
        <v>13</v>
      </c>
      <c r="C54" s="53" t="s">
        <v>14</v>
      </c>
      <c r="D54" s="53" t="s">
        <v>152</v>
      </c>
      <c r="E54" s="53" t="s">
        <v>153</v>
      </c>
      <c r="F54" s="60" t="s">
        <v>154</v>
      </c>
      <c r="G54" s="53">
        <v>6400</v>
      </c>
      <c r="H54" s="62">
        <v>46000</v>
      </c>
      <c r="I54" s="61" t="s">
        <v>966</v>
      </c>
      <c r="J54" s="61" t="s">
        <v>967</v>
      </c>
      <c r="K54" s="53">
        <v>352505485</v>
      </c>
      <c r="L54" s="60">
        <v>8084080392</v>
      </c>
      <c r="M54" s="55" t="s">
        <v>619</v>
      </c>
    </row>
    <row r="55" spans="1:13" hidden="1" x14ac:dyDescent="0.25">
      <c r="A55" s="53" t="s">
        <v>12</v>
      </c>
      <c r="B55" s="53" t="s">
        <v>13</v>
      </c>
      <c r="C55" s="53" t="s">
        <v>14</v>
      </c>
      <c r="D55" s="53" t="s">
        <v>343</v>
      </c>
      <c r="E55" s="54">
        <v>37223550583</v>
      </c>
      <c r="F55" s="53" t="s">
        <v>33</v>
      </c>
      <c r="G55" s="53">
        <v>2000</v>
      </c>
      <c r="H55" s="62">
        <v>46001</v>
      </c>
      <c r="I55" s="61" t="s">
        <v>895</v>
      </c>
      <c r="J55" s="61" t="s">
        <v>896</v>
      </c>
      <c r="K55" s="53">
        <v>352505505</v>
      </c>
      <c r="L55" s="53">
        <v>9031258705</v>
      </c>
      <c r="M55" s="55" t="s">
        <v>1422</v>
      </c>
    </row>
    <row r="56" spans="1:13" hidden="1" x14ac:dyDescent="0.25">
      <c r="A56" s="61" t="s">
        <v>12</v>
      </c>
      <c r="B56" s="61" t="s">
        <v>13</v>
      </c>
      <c r="C56" s="61" t="s">
        <v>14</v>
      </c>
      <c r="D56" s="61" t="s">
        <v>149</v>
      </c>
      <c r="E56" s="78">
        <v>50100624324501</v>
      </c>
      <c r="F56" s="61" t="s">
        <v>150</v>
      </c>
      <c r="G56" s="53">
        <v>7700</v>
      </c>
      <c r="H56" s="62">
        <v>46001</v>
      </c>
      <c r="I56" s="61" t="s">
        <v>741</v>
      </c>
      <c r="J56" s="61" t="s">
        <v>22</v>
      </c>
      <c r="K56" s="53">
        <v>352505507</v>
      </c>
      <c r="L56" s="61">
        <v>8789141433</v>
      </c>
      <c r="M56" s="55" t="s">
        <v>1420</v>
      </c>
    </row>
    <row r="57" spans="1:13" hidden="1" x14ac:dyDescent="0.25">
      <c r="A57" s="53" t="s">
        <v>12</v>
      </c>
      <c r="B57" s="53" t="s">
        <v>13</v>
      </c>
      <c r="C57" s="53" t="s">
        <v>14</v>
      </c>
      <c r="D57" s="53" t="s">
        <v>152</v>
      </c>
      <c r="E57" s="53" t="s">
        <v>153</v>
      </c>
      <c r="F57" s="60" t="s">
        <v>154</v>
      </c>
      <c r="G57" s="53">
        <v>6400</v>
      </c>
      <c r="H57" s="62">
        <v>46001</v>
      </c>
      <c r="I57" s="61" t="s">
        <v>966</v>
      </c>
      <c r="J57" s="61" t="s">
        <v>967</v>
      </c>
      <c r="K57" s="53">
        <v>352505513</v>
      </c>
      <c r="L57" s="60">
        <v>8084080392</v>
      </c>
      <c r="M57" s="55" t="s">
        <v>624</v>
      </c>
    </row>
    <row r="58" spans="1:13" hidden="1" x14ac:dyDescent="0.25">
      <c r="A58" s="53" t="s">
        <v>12</v>
      </c>
      <c r="B58" s="53" t="s">
        <v>13</v>
      </c>
      <c r="C58" s="53" t="s">
        <v>14</v>
      </c>
      <c r="D58" s="53" t="s">
        <v>108</v>
      </c>
      <c r="E58" s="53" t="s">
        <v>109</v>
      </c>
      <c r="F58" s="53" t="s">
        <v>110</v>
      </c>
      <c r="G58" s="53">
        <v>5200</v>
      </c>
      <c r="H58" s="62">
        <v>46001</v>
      </c>
      <c r="I58" s="61" t="s">
        <v>667</v>
      </c>
      <c r="J58" s="61" t="s">
        <v>98</v>
      </c>
      <c r="K58" s="53">
        <v>352505509</v>
      </c>
      <c r="L58" s="53">
        <v>7870570436</v>
      </c>
      <c r="M58" s="55" t="s">
        <v>1421</v>
      </c>
    </row>
    <row r="59" spans="1:13" hidden="1" x14ac:dyDescent="0.25">
      <c r="A59" s="53" t="s">
        <v>12</v>
      </c>
      <c r="B59" s="53" t="s">
        <v>13</v>
      </c>
      <c r="C59" s="53" t="s">
        <v>14</v>
      </c>
      <c r="D59" s="53" t="s">
        <v>36</v>
      </c>
      <c r="E59" s="53" t="s">
        <v>37</v>
      </c>
      <c r="F59" s="53" t="s">
        <v>38</v>
      </c>
      <c r="G59" s="53">
        <v>1500</v>
      </c>
      <c r="H59" s="62">
        <v>46001</v>
      </c>
      <c r="I59" s="53" t="s">
        <v>902</v>
      </c>
      <c r="J59" s="53" t="s">
        <v>901</v>
      </c>
      <c r="K59" s="53">
        <v>352505520</v>
      </c>
      <c r="L59" s="53">
        <v>9358936441</v>
      </c>
      <c r="M59" s="55" t="s">
        <v>1425</v>
      </c>
    </row>
    <row r="60" spans="1:13" hidden="1" x14ac:dyDescent="0.25">
      <c r="A60" s="53" t="s">
        <v>12</v>
      </c>
      <c r="B60" s="53" t="s">
        <v>13</v>
      </c>
      <c r="C60" s="53" t="s">
        <v>14</v>
      </c>
      <c r="D60" s="53" t="s">
        <v>1406</v>
      </c>
      <c r="E60" s="69">
        <v>645602010014653</v>
      </c>
      <c r="F60" s="60" t="s">
        <v>1407</v>
      </c>
      <c r="G60" s="53">
        <v>5450</v>
      </c>
      <c r="H60" s="62">
        <v>46001</v>
      </c>
      <c r="I60" s="61" t="s">
        <v>903</v>
      </c>
      <c r="J60" s="61" t="s">
        <v>904</v>
      </c>
      <c r="K60" s="53">
        <v>352505506</v>
      </c>
      <c r="L60" s="60">
        <v>8084480157</v>
      </c>
      <c r="M60" s="55" t="s">
        <v>1423</v>
      </c>
    </row>
    <row r="61" spans="1:13" hidden="1" x14ac:dyDescent="0.25">
      <c r="A61" s="53" t="s">
        <v>12</v>
      </c>
      <c r="B61" s="53" t="s">
        <v>13</v>
      </c>
      <c r="C61" s="53" t="s">
        <v>14</v>
      </c>
      <c r="D61" s="53" t="s">
        <v>144</v>
      </c>
      <c r="E61" s="53">
        <v>44182579159</v>
      </c>
      <c r="F61" s="53" t="s">
        <v>145</v>
      </c>
      <c r="G61" s="53">
        <v>5450</v>
      </c>
      <c r="H61" s="62">
        <v>46001</v>
      </c>
      <c r="I61" s="53" t="s">
        <v>652</v>
      </c>
      <c r="J61" s="53" t="s">
        <v>147</v>
      </c>
      <c r="K61" s="53">
        <v>352505510</v>
      </c>
      <c r="L61" s="53">
        <v>7765824237</v>
      </c>
      <c r="M61" s="55" t="s">
        <v>1423</v>
      </c>
    </row>
    <row r="62" spans="1:13" hidden="1" x14ac:dyDescent="0.25">
      <c r="A62" s="53" t="s">
        <v>12</v>
      </c>
      <c r="B62" s="53" t="s">
        <v>13</v>
      </c>
      <c r="C62" s="53" t="s">
        <v>14</v>
      </c>
      <c r="D62" s="53" t="s">
        <v>993</v>
      </c>
      <c r="E62" s="69">
        <v>50100683547664</v>
      </c>
      <c r="F62" s="60" t="s">
        <v>994</v>
      </c>
      <c r="G62" s="53">
        <v>5200</v>
      </c>
      <c r="H62" s="62">
        <v>46001</v>
      </c>
      <c r="I62" s="61" t="s">
        <v>593</v>
      </c>
      <c r="J62" s="61" t="s">
        <v>76</v>
      </c>
      <c r="K62" s="53">
        <v>352505508</v>
      </c>
      <c r="L62" s="60">
        <v>8093441726</v>
      </c>
      <c r="M62" s="55" t="s">
        <v>1424</v>
      </c>
    </row>
    <row r="63" spans="1:13" hidden="1" x14ac:dyDescent="0.25">
      <c r="A63" s="53" t="s">
        <v>12</v>
      </c>
      <c r="B63" s="53" t="s">
        <v>13</v>
      </c>
      <c r="C63" s="53" t="s">
        <v>14</v>
      </c>
      <c r="D63" s="53" t="s">
        <v>993</v>
      </c>
      <c r="E63" s="69">
        <v>50100683547664</v>
      </c>
      <c r="F63" s="60" t="s">
        <v>994</v>
      </c>
      <c r="G63" s="53">
        <v>5200</v>
      </c>
      <c r="H63" s="62">
        <v>46002</v>
      </c>
      <c r="I63" s="61" t="s">
        <v>593</v>
      </c>
      <c r="J63" s="61" t="s">
        <v>76</v>
      </c>
      <c r="K63" s="53">
        <v>352505528</v>
      </c>
      <c r="L63" s="60">
        <v>8093441726</v>
      </c>
      <c r="M63" s="55" t="s">
        <v>1426</v>
      </c>
    </row>
    <row r="64" spans="1:13" hidden="1" x14ac:dyDescent="0.25">
      <c r="A64" s="61" t="s">
        <v>12</v>
      </c>
      <c r="B64" s="61" t="s">
        <v>13</v>
      </c>
      <c r="C64" s="61" t="s">
        <v>14</v>
      </c>
      <c r="D64" s="61" t="s">
        <v>149</v>
      </c>
      <c r="E64" s="78">
        <v>50100624324501</v>
      </c>
      <c r="F64" s="61" t="s">
        <v>150</v>
      </c>
      <c r="G64" s="53">
        <v>5450</v>
      </c>
      <c r="H64" s="62">
        <v>46002</v>
      </c>
      <c r="I64" s="61" t="s">
        <v>741</v>
      </c>
      <c r="J64" s="61" t="s">
        <v>22</v>
      </c>
      <c r="K64" s="53">
        <v>352505531</v>
      </c>
      <c r="L64" s="61">
        <v>8789141433</v>
      </c>
      <c r="M64" s="55" t="s">
        <v>1427</v>
      </c>
    </row>
    <row r="65" spans="1:13" hidden="1" x14ac:dyDescent="0.25">
      <c r="A65" s="53" t="s">
        <v>12</v>
      </c>
      <c r="B65" s="53" t="s">
        <v>13</v>
      </c>
      <c r="C65" s="53" t="s">
        <v>14</v>
      </c>
      <c r="D65" s="53" t="s">
        <v>1406</v>
      </c>
      <c r="E65" s="69">
        <v>645602010014653</v>
      </c>
      <c r="F65" s="60" t="s">
        <v>1407</v>
      </c>
      <c r="G65" s="53">
        <v>5450</v>
      </c>
      <c r="H65" s="62">
        <v>46002</v>
      </c>
      <c r="I65" s="61" t="s">
        <v>903</v>
      </c>
      <c r="J65" s="61" t="s">
        <v>904</v>
      </c>
      <c r="K65" s="53">
        <v>352505533</v>
      </c>
      <c r="L65" s="60">
        <v>8084480157</v>
      </c>
      <c r="M65" s="55" t="s">
        <v>1427</v>
      </c>
    </row>
    <row r="66" spans="1:13" hidden="1" x14ac:dyDescent="0.25">
      <c r="A66" s="53" t="s">
        <v>12</v>
      </c>
      <c r="B66" s="53" t="s">
        <v>13</v>
      </c>
      <c r="C66" s="53" t="s">
        <v>14</v>
      </c>
      <c r="D66" s="53" t="s">
        <v>152</v>
      </c>
      <c r="E66" s="53" t="s">
        <v>153</v>
      </c>
      <c r="F66" s="60" t="s">
        <v>154</v>
      </c>
      <c r="G66" s="53">
        <v>5450</v>
      </c>
      <c r="H66" s="62">
        <v>46002</v>
      </c>
      <c r="I66" s="61" t="s">
        <v>966</v>
      </c>
      <c r="J66" s="61" t="s">
        <v>967</v>
      </c>
      <c r="K66" s="53">
        <v>352505529</v>
      </c>
      <c r="L66" s="60">
        <v>8084080392</v>
      </c>
      <c r="M66" s="55" t="s">
        <v>1427</v>
      </c>
    </row>
    <row r="67" spans="1:13" hidden="1" x14ac:dyDescent="0.25">
      <c r="A67" s="53" t="s">
        <v>12</v>
      </c>
      <c r="B67" s="53" t="s">
        <v>13</v>
      </c>
      <c r="C67" s="53" t="s">
        <v>14</v>
      </c>
      <c r="D67" s="53" t="s">
        <v>48</v>
      </c>
      <c r="E67" s="53" t="s">
        <v>49</v>
      </c>
      <c r="F67" s="53" t="s">
        <v>50</v>
      </c>
      <c r="G67" s="53">
        <v>3500</v>
      </c>
      <c r="H67" s="62">
        <v>46002</v>
      </c>
      <c r="I67" s="53" t="s">
        <v>572</v>
      </c>
      <c r="J67" s="53" t="s">
        <v>34</v>
      </c>
      <c r="K67" s="53">
        <v>352505521</v>
      </c>
      <c r="L67" s="53">
        <v>8520078561</v>
      </c>
      <c r="M67" s="55" t="s">
        <v>1428</v>
      </c>
    </row>
    <row r="68" spans="1:13" hidden="1" x14ac:dyDescent="0.25">
      <c r="A68" s="53" t="s">
        <v>12</v>
      </c>
      <c r="B68" s="53" t="s">
        <v>13</v>
      </c>
      <c r="C68" s="53" t="s">
        <v>14</v>
      </c>
      <c r="D68" s="53" t="s">
        <v>343</v>
      </c>
      <c r="E68" s="54">
        <v>37223550583</v>
      </c>
      <c r="F68" s="53" t="s">
        <v>33</v>
      </c>
      <c r="G68" s="53">
        <v>1000</v>
      </c>
      <c r="H68" s="62">
        <v>46002</v>
      </c>
      <c r="I68" s="61" t="s">
        <v>895</v>
      </c>
      <c r="J68" s="61" t="s">
        <v>896</v>
      </c>
      <c r="K68" s="53">
        <v>352505553</v>
      </c>
      <c r="L68" s="53">
        <v>9031258705</v>
      </c>
      <c r="M68" s="55" t="s">
        <v>1429</v>
      </c>
    </row>
    <row r="69" spans="1:13" hidden="1" x14ac:dyDescent="0.25">
      <c r="A69" s="53" t="s">
        <v>12</v>
      </c>
      <c r="B69" s="53" t="s">
        <v>13</v>
      </c>
      <c r="C69" s="53" t="s">
        <v>14</v>
      </c>
      <c r="D69" s="53" t="s">
        <v>343</v>
      </c>
      <c r="E69" s="54">
        <v>37223550583</v>
      </c>
      <c r="F69" s="53" t="s">
        <v>33</v>
      </c>
      <c r="G69" s="53">
        <v>700</v>
      </c>
      <c r="H69" s="62">
        <v>46002</v>
      </c>
      <c r="I69" s="61" t="s">
        <v>895</v>
      </c>
      <c r="J69" s="61" t="s">
        <v>896</v>
      </c>
      <c r="K69" s="53">
        <v>352505555</v>
      </c>
      <c r="L69" s="53">
        <v>9031258705</v>
      </c>
      <c r="M69" s="55" t="s">
        <v>1429</v>
      </c>
    </row>
    <row r="70" spans="1:13" hidden="1" x14ac:dyDescent="0.25">
      <c r="A70" s="53" t="s">
        <v>12</v>
      </c>
      <c r="B70" s="53" t="s">
        <v>13</v>
      </c>
      <c r="C70" s="53" t="s">
        <v>14</v>
      </c>
      <c r="D70" s="53" t="s">
        <v>144</v>
      </c>
      <c r="E70" s="53">
        <v>44182579159</v>
      </c>
      <c r="F70" s="53" t="s">
        <v>145</v>
      </c>
      <c r="G70" s="53">
        <v>1900</v>
      </c>
      <c r="H70" s="62">
        <v>46002</v>
      </c>
      <c r="I70" s="53" t="s">
        <v>652</v>
      </c>
      <c r="J70" s="53" t="s">
        <v>147</v>
      </c>
      <c r="K70" s="53">
        <v>352505557</v>
      </c>
      <c r="L70" s="53">
        <v>7765824237</v>
      </c>
      <c r="M70" s="55" t="s">
        <v>1430</v>
      </c>
    </row>
    <row r="71" spans="1:13" hidden="1" x14ac:dyDescent="0.25">
      <c r="A71" s="53" t="s">
        <v>12</v>
      </c>
      <c r="B71" s="53" t="s">
        <v>13</v>
      </c>
      <c r="C71" s="53" t="s">
        <v>14</v>
      </c>
      <c r="D71" s="53" t="s">
        <v>144</v>
      </c>
      <c r="E71" s="53">
        <v>44182579159</v>
      </c>
      <c r="F71" s="53" t="s">
        <v>145</v>
      </c>
      <c r="G71" s="53">
        <v>7500</v>
      </c>
      <c r="H71" s="62">
        <v>46002</v>
      </c>
      <c r="I71" s="53" t="s">
        <v>652</v>
      </c>
      <c r="J71" s="53" t="s">
        <v>147</v>
      </c>
      <c r="K71" s="53">
        <v>352505557</v>
      </c>
      <c r="L71" s="53">
        <v>7765824237</v>
      </c>
      <c r="M71" s="55" t="s">
        <v>1431</v>
      </c>
    </row>
    <row r="72" spans="1:13" hidden="1" x14ac:dyDescent="0.25">
      <c r="A72" s="53" t="s">
        <v>12</v>
      </c>
      <c r="B72" s="53" t="s">
        <v>13</v>
      </c>
      <c r="C72" s="53" t="s">
        <v>14</v>
      </c>
      <c r="D72" s="53" t="s">
        <v>108</v>
      </c>
      <c r="E72" s="53" t="s">
        <v>109</v>
      </c>
      <c r="F72" s="53" t="s">
        <v>110</v>
      </c>
      <c r="G72" s="53">
        <v>7500</v>
      </c>
      <c r="H72" s="62">
        <v>46003</v>
      </c>
      <c r="I72" s="61" t="s">
        <v>667</v>
      </c>
      <c r="J72" s="61" t="s">
        <v>98</v>
      </c>
      <c r="K72" s="53">
        <v>352505565</v>
      </c>
      <c r="L72" s="53">
        <v>7870570436</v>
      </c>
      <c r="M72" s="55" t="s">
        <v>1431</v>
      </c>
    </row>
    <row r="73" spans="1:13" hidden="1" x14ac:dyDescent="0.25">
      <c r="A73" s="53" t="s">
        <v>12</v>
      </c>
      <c r="B73" s="53" t="s">
        <v>13</v>
      </c>
      <c r="C73" s="53" t="s">
        <v>14</v>
      </c>
      <c r="D73" s="53" t="s">
        <v>48</v>
      </c>
      <c r="E73" s="53" t="s">
        <v>49</v>
      </c>
      <c r="F73" s="53" t="s">
        <v>50</v>
      </c>
      <c r="G73" s="53">
        <v>5450</v>
      </c>
      <c r="H73" s="62">
        <v>46003</v>
      </c>
      <c r="I73" s="53" t="s">
        <v>572</v>
      </c>
      <c r="J73" s="53" t="s">
        <v>34</v>
      </c>
      <c r="K73" s="53">
        <v>352505569</v>
      </c>
      <c r="L73" s="53">
        <v>8520078561</v>
      </c>
      <c r="M73" s="55" t="s">
        <v>1432</v>
      </c>
    </row>
    <row r="74" spans="1:13" hidden="1" x14ac:dyDescent="0.25">
      <c r="A74" s="53" t="s">
        <v>12</v>
      </c>
      <c r="B74" s="53" t="s">
        <v>13</v>
      </c>
      <c r="C74" s="53" t="s">
        <v>14</v>
      </c>
      <c r="D74" s="53" t="s">
        <v>1406</v>
      </c>
      <c r="E74" s="69">
        <v>645602010014653</v>
      </c>
      <c r="F74" s="60" t="s">
        <v>1407</v>
      </c>
      <c r="G74" s="53">
        <v>5450</v>
      </c>
      <c r="H74" s="62">
        <v>46003</v>
      </c>
      <c r="I74" s="61" t="s">
        <v>903</v>
      </c>
      <c r="J74" s="61" t="s">
        <v>904</v>
      </c>
      <c r="K74" s="53">
        <v>352505568</v>
      </c>
      <c r="L74" s="60">
        <v>8084480157</v>
      </c>
      <c r="M74" s="55" t="s">
        <v>1432</v>
      </c>
    </row>
    <row r="75" spans="1:13" hidden="1" x14ac:dyDescent="0.25">
      <c r="A75" s="61" t="s">
        <v>12</v>
      </c>
      <c r="B75" s="61" t="s">
        <v>13</v>
      </c>
      <c r="C75" s="61" t="s">
        <v>14</v>
      </c>
      <c r="D75" s="61" t="s">
        <v>149</v>
      </c>
      <c r="E75" s="78">
        <v>50100624324501</v>
      </c>
      <c r="F75" s="61" t="s">
        <v>150</v>
      </c>
      <c r="G75" s="53">
        <v>5450</v>
      </c>
      <c r="H75" s="62">
        <v>46003</v>
      </c>
      <c r="I75" s="61" t="s">
        <v>741</v>
      </c>
      <c r="J75" s="61" t="s">
        <v>22</v>
      </c>
      <c r="K75" s="53">
        <v>352505567</v>
      </c>
      <c r="L75" s="61">
        <v>8789141433</v>
      </c>
      <c r="M75" s="55" t="s">
        <v>1432</v>
      </c>
    </row>
    <row r="76" spans="1:13" hidden="1" x14ac:dyDescent="0.25">
      <c r="A76" s="53" t="s">
        <v>12</v>
      </c>
      <c r="B76" s="53" t="s">
        <v>13</v>
      </c>
      <c r="C76" s="53" t="s">
        <v>14</v>
      </c>
      <c r="D76" s="53" t="s">
        <v>152</v>
      </c>
      <c r="E76" s="53" t="s">
        <v>153</v>
      </c>
      <c r="F76" s="60" t="s">
        <v>154</v>
      </c>
      <c r="G76" s="53">
        <v>1900</v>
      </c>
      <c r="H76" s="62">
        <v>46003</v>
      </c>
      <c r="I76" s="61" t="s">
        <v>966</v>
      </c>
      <c r="J76" s="61" t="s">
        <v>967</v>
      </c>
      <c r="K76" s="53">
        <v>352505594</v>
      </c>
      <c r="L76" s="60">
        <v>8084080392</v>
      </c>
      <c r="M76" s="55" t="s">
        <v>1433</v>
      </c>
    </row>
    <row r="77" spans="1:13" hidden="1" x14ac:dyDescent="0.25">
      <c r="A77" s="53" t="s">
        <v>12</v>
      </c>
      <c r="B77" s="53" t="s">
        <v>13</v>
      </c>
      <c r="C77" s="53" t="s">
        <v>14</v>
      </c>
      <c r="D77" s="53" t="s">
        <v>343</v>
      </c>
      <c r="E77" s="54">
        <v>37223550583</v>
      </c>
      <c r="F77" s="53" t="s">
        <v>33</v>
      </c>
      <c r="G77" s="53">
        <v>1000</v>
      </c>
      <c r="H77" s="62">
        <v>46003</v>
      </c>
      <c r="I77" s="61" t="s">
        <v>895</v>
      </c>
      <c r="J77" s="61" t="s">
        <v>896</v>
      </c>
      <c r="K77" s="53">
        <v>352505595</v>
      </c>
      <c r="L77" s="53">
        <v>9031258705</v>
      </c>
      <c r="M77" s="55" t="s">
        <v>1434</v>
      </c>
    </row>
    <row r="78" spans="1:13" hidden="1" x14ac:dyDescent="0.25">
      <c r="A78" s="53" t="s">
        <v>12</v>
      </c>
      <c r="B78" s="53" t="s">
        <v>13</v>
      </c>
      <c r="C78" s="53" t="s">
        <v>14</v>
      </c>
      <c r="D78" s="53" t="s">
        <v>343</v>
      </c>
      <c r="E78" s="54">
        <v>37223550583</v>
      </c>
      <c r="F78" s="53" t="s">
        <v>33</v>
      </c>
      <c r="G78" s="53">
        <v>1000</v>
      </c>
      <c r="H78" s="62">
        <v>46003</v>
      </c>
      <c r="I78" s="61" t="s">
        <v>895</v>
      </c>
      <c r="J78" s="61" t="s">
        <v>896</v>
      </c>
      <c r="K78" s="53">
        <v>352505596</v>
      </c>
      <c r="L78" s="53">
        <v>9031258705</v>
      </c>
      <c r="M78" s="55" t="s">
        <v>1435</v>
      </c>
    </row>
    <row r="79" spans="1:13" hidden="1" x14ac:dyDescent="0.25">
      <c r="A79" s="53" t="s">
        <v>12</v>
      </c>
      <c r="B79" s="53" t="s">
        <v>13</v>
      </c>
      <c r="C79" s="53" t="s">
        <v>14</v>
      </c>
      <c r="D79" s="53" t="s">
        <v>343</v>
      </c>
      <c r="E79" s="54">
        <v>37223550583</v>
      </c>
      <c r="F79" s="53" t="s">
        <v>33</v>
      </c>
      <c r="G79" s="53">
        <v>700</v>
      </c>
      <c r="H79" s="62">
        <v>46003</v>
      </c>
      <c r="I79" s="61" t="s">
        <v>895</v>
      </c>
      <c r="J79" s="61" t="s">
        <v>896</v>
      </c>
      <c r="K79" s="53">
        <v>352505597</v>
      </c>
      <c r="L79" s="53">
        <v>9031258705</v>
      </c>
      <c r="M79" s="55" t="s">
        <v>1435</v>
      </c>
    </row>
    <row r="80" spans="1:13" hidden="1" x14ac:dyDescent="0.25">
      <c r="A80" s="53" t="s">
        <v>12</v>
      </c>
      <c r="B80" s="53" t="s">
        <v>13</v>
      </c>
      <c r="C80" s="53" t="s">
        <v>14</v>
      </c>
      <c r="D80" s="53" t="s">
        <v>993</v>
      </c>
      <c r="E80" s="69">
        <v>50100683547664</v>
      </c>
      <c r="F80" s="60" t="s">
        <v>994</v>
      </c>
      <c r="G80" s="53">
        <v>5450</v>
      </c>
      <c r="H80" s="62">
        <v>46004</v>
      </c>
      <c r="I80" s="61" t="s">
        <v>593</v>
      </c>
      <c r="J80" s="61" t="s">
        <v>76</v>
      </c>
      <c r="K80" s="53">
        <v>352505558</v>
      </c>
      <c r="L80" s="60">
        <v>8093441726</v>
      </c>
      <c r="M80" s="55" t="s">
        <v>1436</v>
      </c>
    </row>
    <row r="81" spans="1:13" hidden="1" x14ac:dyDescent="0.25">
      <c r="A81" s="53" t="s">
        <v>12</v>
      </c>
      <c r="B81" s="53" t="s">
        <v>13</v>
      </c>
      <c r="C81" s="53" t="s">
        <v>14</v>
      </c>
      <c r="D81" s="53" t="s">
        <v>144</v>
      </c>
      <c r="E81" s="53">
        <v>44182579159</v>
      </c>
      <c r="F81" s="53" t="s">
        <v>145</v>
      </c>
      <c r="G81" s="53">
        <v>500</v>
      </c>
      <c r="H81" s="62">
        <v>46004</v>
      </c>
      <c r="I81" s="53" t="s">
        <v>652</v>
      </c>
      <c r="J81" s="53" t="s">
        <v>147</v>
      </c>
      <c r="K81" s="53">
        <v>352505598</v>
      </c>
      <c r="L81" s="53">
        <v>7765824237</v>
      </c>
      <c r="M81" s="55" t="s">
        <v>1438</v>
      </c>
    </row>
    <row r="82" spans="1:13" hidden="1" x14ac:dyDescent="0.25">
      <c r="A82" s="53" t="s">
        <v>12</v>
      </c>
      <c r="B82" s="53" t="s">
        <v>13</v>
      </c>
      <c r="C82" s="53" t="s">
        <v>14</v>
      </c>
      <c r="D82" s="53" t="s">
        <v>144</v>
      </c>
      <c r="E82" s="53">
        <v>44182579159</v>
      </c>
      <c r="F82" s="53" t="s">
        <v>145</v>
      </c>
      <c r="G82" s="53">
        <v>5450</v>
      </c>
      <c r="H82" s="62">
        <v>46004</v>
      </c>
      <c r="I82" s="53" t="s">
        <v>652</v>
      </c>
      <c r="J82" s="53" t="s">
        <v>147</v>
      </c>
      <c r="K82" s="53">
        <v>352505598</v>
      </c>
      <c r="L82" s="53">
        <v>7765824237</v>
      </c>
      <c r="M82" s="55" t="s">
        <v>1436</v>
      </c>
    </row>
    <row r="83" spans="1:13" hidden="1" x14ac:dyDescent="0.25">
      <c r="A83" s="53" t="s">
        <v>12</v>
      </c>
      <c r="B83" s="53" t="s">
        <v>13</v>
      </c>
      <c r="C83" s="53" t="s">
        <v>14</v>
      </c>
      <c r="D83" s="53" t="s">
        <v>1406</v>
      </c>
      <c r="E83" s="69">
        <v>645602010014653</v>
      </c>
      <c r="F83" s="53" t="s">
        <v>1407</v>
      </c>
      <c r="G83" s="53">
        <v>5450</v>
      </c>
      <c r="H83" s="62">
        <v>46004</v>
      </c>
      <c r="I83" s="53" t="s">
        <v>903</v>
      </c>
      <c r="J83" s="53" t="s">
        <v>904</v>
      </c>
      <c r="K83" s="53">
        <v>352505613</v>
      </c>
      <c r="L83" s="53">
        <v>8084480157</v>
      </c>
      <c r="M83" s="55" t="s">
        <v>1436</v>
      </c>
    </row>
    <row r="84" spans="1:13" hidden="1" x14ac:dyDescent="0.25">
      <c r="A84" s="53" t="s">
        <v>12</v>
      </c>
      <c r="B84" s="53" t="s">
        <v>13</v>
      </c>
      <c r="C84" s="53" t="s">
        <v>14</v>
      </c>
      <c r="D84" s="53" t="s">
        <v>48</v>
      </c>
      <c r="E84" s="53" t="s">
        <v>49</v>
      </c>
      <c r="F84" s="53" t="s">
        <v>50</v>
      </c>
      <c r="G84" s="53">
        <v>5200</v>
      </c>
      <c r="H84" s="62">
        <v>46004</v>
      </c>
      <c r="I84" s="53" t="s">
        <v>572</v>
      </c>
      <c r="J84" s="53" t="s">
        <v>34</v>
      </c>
      <c r="K84" s="53">
        <v>352505612</v>
      </c>
      <c r="L84" s="53">
        <v>8520078561</v>
      </c>
      <c r="M84" s="55" t="s">
        <v>1437</v>
      </c>
    </row>
    <row r="85" spans="1:13" hidden="1" x14ac:dyDescent="0.25">
      <c r="A85" s="53" t="s">
        <v>12</v>
      </c>
      <c r="B85" s="53" t="s">
        <v>13</v>
      </c>
      <c r="C85" s="53" t="s">
        <v>14</v>
      </c>
      <c r="D85" s="53" t="s">
        <v>152</v>
      </c>
      <c r="E85" s="53" t="s">
        <v>153</v>
      </c>
      <c r="F85" s="60" t="s">
        <v>154</v>
      </c>
      <c r="G85" s="53">
        <v>4950</v>
      </c>
      <c r="H85" s="62">
        <v>46004</v>
      </c>
      <c r="I85" s="61" t="s">
        <v>966</v>
      </c>
      <c r="J85" s="61" t="s">
        <v>967</v>
      </c>
      <c r="K85" s="53">
        <v>352505594</v>
      </c>
      <c r="L85" s="60">
        <v>8084080392</v>
      </c>
      <c r="M85" s="55" t="s">
        <v>1439</v>
      </c>
    </row>
    <row r="86" spans="1:13" hidden="1" x14ac:dyDescent="0.25">
      <c r="A86" s="53" t="s">
        <v>12</v>
      </c>
      <c r="B86" s="53" t="s">
        <v>13</v>
      </c>
      <c r="C86" s="53" t="s">
        <v>14</v>
      </c>
      <c r="D86" s="53" t="s">
        <v>108</v>
      </c>
      <c r="E86" s="53" t="s">
        <v>109</v>
      </c>
      <c r="F86" s="53" t="s">
        <v>110</v>
      </c>
      <c r="G86" s="53">
        <v>1500</v>
      </c>
      <c r="H86" s="62">
        <v>46006</v>
      </c>
      <c r="I86" s="61" t="s">
        <v>667</v>
      </c>
      <c r="J86" s="61" t="s">
        <v>98</v>
      </c>
      <c r="K86" s="53">
        <v>352505378</v>
      </c>
      <c r="L86" s="53">
        <v>7870570436</v>
      </c>
      <c r="M86" s="55" t="s">
        <v>1440</v>
      </c>
    </row>
    <row r="87" spans="1:13" hidden="1" x14ac:dyDescent="0.25">
      <c r="A87" s="53" t="s">
        <v>12</v>
      </c>
      <c r="B87" s="53" t="s">
        <v>13</v>
      </c>
      <c r="C87" s="53" t="s">
        <v>14</v>
      </c>
      <c r="D87" s="53" t="s">
        <v>108</v>
      </c>
      <c r="E87" s="53" t="s">
        <v>109</v>
      </c>
      <c r="F87" s="53" t="s">
        <v>110</v>
      </c>
      <c r="G87" s="53">
        <v>1000</v>
      </c>
      <c r="H87" s="62">
        <v>46006</v>
      </c>
      <c r="I87" s="61" t="s">
        <v>667</v>
      </c>
      <c r="J87" s="61" t="s">
        <v>98</v>
      </c>
      <c r="K87" s="53">
        <v>352505618</v>
      </c>
      <c r="L87" s="53">
        <v>7870570436</v>
      </c>
      <c r="M87" s="55" t="s">
        <v>1441</v>
      </c>
    </row>
    <row r="88" spans="1:13" hidden="1" x14ac:dyDescent="0.25">
      <c r="A88" s="61" t="s">
        <v>12</v>
      </c>
      <c r="B88" s="61" t="s">
        <v>13</v>
      </c>
      <c r="C88" s="61" t="s">
        <v>14</v>
      </c>
      <c r="D88" s="61" t="s">
        <v>149</v>
      </c>
      <c r="E88" s="78">
        <v>50100624324501</v>
      </c>
      <c r="F88" s="61" t="s">
        <v>150</v>
      </c>
      <c r="G88" s="53">
        <v>5450</v>
      </c>
      <c r="H88" s="62">
        <v>46006</v>
      </c>
      <c r="I88" s="61" t="s">
        <v>741</v>
      </c>
      <c r="J88" s="61" t="s">
        <v>22</v>
      </c>
      <c r="K88" s="53">
        <v>352505614</v>
      </c>
      <c r="L88" s="61">
        <v>8789141433</v>
      </c>
      <c r="M88" s="55" t="s">
        <v>1442</v>
      </c>
    </row>
    <row r="89" spans="1:13" hidden="1" x14ac:dyDescent="0.25">
      <c r="A89" s="53" t="s">
        <v>12</v>
      </c>
      <c r="B89" s="53" t="s">
        <v>13</v>
      </c>
      <c r="C89" s="53" t="s">
        <v>14</v>
      </c>
      <c r="D89" s="53" t="s">
        <v>144</v>
      </c>
      <c r="E89" s="53">
        <v>44182579159</v>
      </c>
      <c r="F89" s="53" t="s">
        <v>145</v>
      </c>
      <c r="G89" s="53">
        <v>5450</v>
      </c>
      <c r="H89" s="62">
        <v>46006</v>
      </c>
      <c r="I89" s="53" t="s">
        <v>652</v>
      </c>
      <c r="J89" s="53" t="s">
        <v>147</v>
      </c>
      <c r="K89" s="53">
        <v>352505665</v>
      </c>
      <c r="L89" s="53">
        <v>7765824237</v>
      </c>
      <c r="M89" s="55" t="s">
        <v>1436</v>
      </c>
    </row>
    <row r="90" spans="1:13" hidden="1" x14ac:dyDescent="0.25">
      <c r="A90" s="53" t="s">
        <v>12</v>
      </c>
      <c r="B90" s="53" t="s">
        <v>13</v>
      </c>
      <c r="C90" s="53" t="s">
        <v>14</v>
      </c>
      <c r="D90" s="53" t="s">
        <v>993</v>
      </c>
      <c r="E90" s="69">
        <v>50100683547664</v>
      </c>
      <c r="F90" s="60" t="s">
        <v>994</v>
      </c>
      <c r="G90" s="53">
        <v>1500</v>
      </c>
      <c r="H90" s="62">
        <v>46006</v>
      </c>
      <c r="I90" s="61" t="s">
        <v>593</v>
      </c>
      <c r="J90" s="61" t="s">
        <v>76</v>
      </c>
      <c r="K90" s="53">
        <v>352505672</v>
      </c>
      <c r="L90" s="60">
        <v>8093441726</v>
      </c>
      <c r="M90" s="55" t="s">
        <v>1443</v>
      </c>
    </row>
    <row r="91" spans="1:13" hidden="1" x14ac:dyDescent="0.25">
      <c r="A91" s="53" t="s">
        <v>12</v>
      </c>
      <c r="B91" s="53" t="s">
        <v>13</v>
      </c>
      <c r="C91" s="53" t="s">
        <v>14</v>
      </c>
      <c r="D91" s="53" t="s">
        <v>993</v>
      </c>
      <c r="E91" s="69">
        <v>50100683547664</v>
      </c>
      <c r="F91" s="60" t="s">
        <v>994</v>
      </c>
      <c r="G91" s="53">
        <v>5200</v>
      </c>
      <c r="H91" s="62">
        <v>46006</v>
      </c>
      <c r="I91" s="61" t="s">
        <v>593</v>
      </c>
      <c r="J91" s="61" t="s">
        <v>76</v>
      </c>
      <c r="K91" s="53">
        <v>352505672</v>
      </c>
      <c r="L91" s="60">
        <v>8093441726</v>
      </c>
      <c r="M91" s="55" t="s">
        <v>1444</v>
      </c>
    </row>
    <row r="92" spans="1:13" hidden="1" x14ac:dyDescent="0.25">
      <c r="A92" s="53" t="s">
        <v>12</v>
      </c>
      <c r="B92" s="53" t="s">
        <v>13</v>
      </c>
      <c r="C92" s="53" t="s">
        <v>14</v>
      </c>
      <c r="D92" s="53" t="s">
        <v>1406</v>
      </c>
      <c r="E92" s="69">
        <v>645602010014653</v>
      </c>
      <c r="F92" s="53" t="s">
        <v>1407</v>
      </c>
      <c r="G92" s="53">
        <v>7500</v>
      </c>
      <c r="H92" s="62">
        <v>46006</v>
      </c>
      <c r="I92" s="53" t="s">
        <v>903</v>
      </c>
      <c r="J92" s="53" t="s">
        <v>904</v>
      </c>
      <c r="K92" s="53">
        <v>352505666</v>
      </c>
      <c r="L92" s="53">
        <v>8084480157</v>
      </c>
      <c r="M92" s="55" t="s">
        <v>1445</v>
      </c>
    </row>
    <row r="93" spans="1:13" hidden="1" x14ac:dyDescent="0.25">
      <c r="A93" s="53" t="s">
        <v>12</v>
      </c>
      <c r="B93" s="53" t="s">
        <v>13</v>
      </c>
      <c r="C93" s="53" t="s">
        <v>14</v>
      </c>
      <c r="D93" s="53" t="s">
        <v>152</v>
      </c>
      <c r="E93" s="53" t="s">
        <v>153</v>
      </c>
      <c r="F93" s="60" t="s">
        <v>154</v>
      </c>
      <c r="G93" s="53">
        <v>5200</v>
      </c>
      <c r="H93" s="62">
        <v>46007</v>
      </c>
      <c r="I93" s="61" t="s">
        <v>966</v>
      </c>
      <c r="J93" s="61" t="s">
        <v>967</v>
      </c>
      <c r="K93" s="53">
        <v>352505654</v>
      </c>
      <c r="L93" s="60">
        <v>8084080392</v>
      </c>
      <c r="M93" s="55" t="s">
        <v>1446</v>
      </c>
    </row>
    <row r="94" spans="1:13" hidden="1" x14ac:dyDescent="0.25">
      <c r="A94" s="61" t="s">
        <v>12</v>
      </c>
      <c r="B94" s="61" t="s">
        <v>13</v>
      </c>
      <c r="C94" s="61" t="s">
        <v>14</v>
      </c>
      <c r="D94" s="61" t="s">
        <v>149</v>
      </c>
      <c r="E94" s="78">
        <v>50100624324501</v>
      </c>
      <c r="F94" s="61" t="s">
        <v>150</v>
      </c>
      <c r="G94" s="53">
        <v>4950</v>
      </c>
      <c r="H94" s="62">
        <v>46007</v>
      </c>
      <c r="I94" s="61" t="s">
        <v>741</v>
      </c>
      <c r="J94" s="61" t="s">
        <v>22</v>
      </c>
      <c r="K94" s="53">
        <v>352505685</v>
      </c>
      <c r="L94" s="61">
        <v>8789141433</v>
      </c>
      <c r="M94" s="55" t="s">
        <v>1447</v>
      </c>
    </row>
    <row r="95" spans="1:13" hidden="1" x14ac:dyDescent="0.25">
      <c r="A95" s="53" t="s">
        <v>12</v>
      </c>
      <c r="B95" s="53" t="s">
        <v>13</v>
      </c>
      <c r="C95" s="53" t="s">
        <v>14</v>
      </c>
      <c r="D95" s="53" t="s">
        <v>36</v>
      </c>
      <c r="E95" s="53" t="s">
        <v>37</v>
      </c>
      <c r="F95" s="53" t="s">
        <v>38</v>
      </c>
      <c r="G95" s="53">
        <v>1000</v>
      </c>
      <c r="H95" s="62">
        <v>46008</v>
      </c>
      <c r="I95" s="53" t="s">
        <v>902</v>
      </c>
      <c r="J95" s="53" t="s">
        <v>901</v>
      </c>
      <c r="K95" s="53">
        <v>352505708</v>
      </c>
      <c r="L95" s="53">
        <v>9358936441</v>
      </c>
      <c r="M95" s="55" t="s">
        <v>1448</v>
      </c>
    </row>
    <row r="96" spans="1:13" hidden="1" x14ac:dyDescent="0.25">
      <c r="A96" s="53" t="s">
        <v>12</v>
      </c>
      <c r="B96" s="53" t="s">
        <v>13</v>
      </c>
      <c r="C96" s="53" t="s">
        <v>14</v>
      </c>
      <c r="D96" s="53" t="s">
        <v>36</v>
      </c>
      <c r="E96" s="53" t="s">
        <v>37</v>
      </c>
      <c r="F96" s="53" t="s">
        <v>38</v>
      </c>
      <c r="G96" s="53">
        <v>700</v>
      </c>
      <c r="H96" s="62">
        <v>46008</v>
      </c>
      <c r="I96" s="53" t="s">
        <v>902</v>
      </c>
      <c r="J96" s="53" t="s">
        <v>901</v>
      </c>
      <c r="K96" s="53">
        <v>352505709</v>
      </c>
      <c r="L96" s="53">
        <v>9358936441</v>
      </c>
      <c r="M96" s="55" t="s">
        <v>1448</v>
      </c>
    </row>
    <row r="97" spans="1:13" hidden="1" x14ac:dyDescent="0.25">
      <c r="A97" s="53" t="s">
        <v>12</v>
      </c>
      <c r="B97" s="53" t="s">
        <v>13</v>
      </c>
      <c r="C97" s="53" t="s">
        <v>14</v>
      </c>
      <c r="D97" s="53" t="s">
        <v>1406</v>
      </c>
      <c r="E97" s="69">
        <v>645602010014653</v>
      </c>
      <c r="F97" s="53" t="s">
        <v>1407</v>
      </c>
      <c r="G97" s="53">
        <v>1000</v>
      </c>
      <c r="H97" s="62">
        <v>46008</v>
      </c>
      <c r="I97" s="53" t="s">
        <v>903</v>
      </c>
      <c r="J97" s="53" t="s">
        <v>904</v>
      </c>
      <c r="K97" s="53">
        <v>352505722</v>
      </c>
      <c r="L97" s="53">
        <v>8084480157</v>
      </c>
      <c r="M97" s="55" t="s">
        <v>1449</v>
      </c>
    </row>
    <row r="98" spans="1:13" hidden="1" x14ac:dyDescent="0.25">
      <c r="A98" s="53" t="s">
        <v>12</v>
      </c>
      <c r="B98" s="53" t="s">
        <v>13</v>
      </c>
      <c r="C98" s="53" t="s">
        <v>14</v>
      </c>
      <c r="D98" s="53" t="s">
        <v>48</v>
      </c>
      <c r="E98" s="53" t="s">
        <v>49</v>
      </c>
      <c r="F98" s="53" t="s">
        <v>50</v>
      </c>
      <c r="G98" s="53">
        <v>3700</v>
      </c>
      <c r="H98" s="62">
        <v>46008</v>
      </c>
      <c r="I98" s="53" t="s">
        <v>572</v>
      </c>
      <c r="J98" s="53" t="s">
        <v>34</v>
      </c>
      <c r="K98" s="53">
        <v>352505651</v>
      </c>
      <c r="L98" s="53">
        <v>8520078561</v>
      </c>
      <c r="M98" s="55" t="s">
        <v>1450</v>
      </c>
    </row>
    <row r="99" spans="1:13" hidden="1" x14ac:dyDescent="0.25">
      <c r="A99" s="61" t="s">
        <v>12</v>
      </c>
      <c r="B99" s="61" t="s">
        <v>13</v>
      </c>
      <c r="C99" s="61" t="s">
        <v>14</v>
      </c>
      <c r="D99" s="61" t="s">
        <v>149</v>
      </c>
      <c r="E99" s="78">
        <v>50100624324501</v>
      </c>
      <c r="F99" s="61" t="s">
        <v>150</v>
      </c>
      <c r="G99" s="53">
        <v>3700</v>
      </c>
      <c r="H99" s="62">
        <v>46008</v>
      </c>
      <c r="I99" s="61" t="s">
        <v>741</v>
      </c>
      <c r="J99" s="61" t="s">
        <v>22</v>
      </c>
      <c r="K99" s="53">
        <v>352505719</v>
      </c>
      <c r="L99" s="61">
        <v>8789141433</v>
      </c>
      <c r="M99" s="55" t="s">
        <v>1450</v>
      </c>
    </row>
    <row r="100" spans="1:13" hidden="1" x14ac:dyDescent="0.25">
      <c r="A100" s="53" t="s">
        <v>12</v>
      </c>
      <c r="B100" s="53" t="s">
        <v>13</v>
      </c>
      <c r="C100" s="53" t="s">
        <v>14</v>
      </c>
      <c r="D100" s="53" t="s">
        <v>36</v>
      </c>
      <c r="E100" s="53" t="s">
        <v>37</v>
      </c>
      <c r="F100" s="53" t="s">
        <v>38</v>
      </c>
      <c r="G100" s="53">
        <v>6100</v>
      </c>
      <c r="H100" s="62">
        <v>46008</v>
      </c>
      <c r="I100" s="53" t="s">
        <v>902</v>
      </c>
      <c r="J100" s="53" t="s">
        <v>901</v>
      </c>
      <c r="K100" s="53">
        <v>352505709</v>
      </c>
      <c r="L100" s="53">
        <v>9358936441</v>
      </c>
      <c r="M100" s="55" t="s">
        <v>1451</v>
      </c>
    </row>
    <row r="101" spans="1:13" hidden="1" x14ac:dyDescent="0.25">
      <c r="A101" s="53" t="s">
        <v>12</v>
      </c>
      <c r="B101" s="53" t="s">
        <v>13</v>
      </c>
      <c r="C101" s="53" t="s">
        <v>14</v>
      </c>
      <c r="D101" s="53" t="s">
        <v>144</v>
      </c>
      <c r="E101" s="53">
        <v>44182579159</v>
      </c>
      <c r="F101" s="53" t="s">
        <v>145</v>
      </c>
      <c r="G101" s="53">
        <v>2000</v>
      </c>
      <c r="H101" s="62">
        <v>46008</v>
      </c>
      <c r="I101" s="53" t="s">
        <v>652</v>
      </c>
      <c r="J101" s="53" t="s">
        <v>147</v>
      </c>
      <c r="K101" s="53">
        <v>352505686</v>
      </c>
      <c r="L101" s="53">
        <v>7765824237</v>
      </c>
      <c r="M101" s="55" t="s">
        <v>1452</v>
      </c>
    </row>
    <row r="102" spans="1:13" x14ac:dyDescent="0.25">
      <c r="A102" s="61" t="s">
        <v>12</v>
      </c>
      <c r="B102" s="61" t="s">
        <v>13</v>
      </c>
      <c r="C102" s="61" t="s">
        <v>14</v>
      </c>
      <c r="D102" s="61" t="s">
        <v>31</v>
      </c>
      <c r="E102" s="61" t="s">
        <v>32</v>
      </c>
      <c r="F102" s="61" t="s">
        <v>33</v>
      </c>
      <c r="G102" s="53">
        <v>4500</v>
      </c>
      <c r="H102" s="62">
        <v>46009</v>
      </c>
      <c r="I102" s="61" t="s">
        <v>571</v>
      </c>
      <c r="J102" s="61" t="s">
        <v>59</v>
      </c>
      <c r="K102" s="53">
        <v>352505734</v>
      </c>
      <c r="L102" s="61">
        <v>9347726061</v>
      </c>
      <c r="M102" s="55" t="s">
        <v>1454</v>
      </c>
    </row>
    <row r="103" spans="1:13" hidden="1" x14ac:dyDescent="0.25">
      <c r="A103" s="53" t="s">
        <v>12</v>
      </c>
      <c r="B103" s="53" t="s">
        <v>13</v>
      </c>
      <c r="C103" s="53" t="s">
        <v>14</v>
      </c>
      <c r="D103" s="53" t="s">
        <v>993</v>
      </c>
      <c r="E103" s="69">
        <v>50100683547664</v>
      </c>
      <c r="F103" s="60" t="s">
        <v>994</v>
      </c>
      <c r="G103" s="53">
        <v>3950</v>
      </c>
      <c r="H103" s="62">
        <v>46009</v>
      </c>
      <c r="I103" s="61" t="s">
        <v>593</v>
      </c>
      <c r="J103" s="61" t="s">
        <v>76</v>
      </c>
      <c r="K103" s="53">
        <v>352505687</v>
      </c>
      <c r="L103" s="60">
        <v>8093441726</v>
      </c>
      <c r="M103" s="55" t="s">
        <v>1453</v>
      </c>
    </row>
    <row r="104" spans="1:13" hidden="1" x14ac:dyDescent="0.25">
      <c r="A104" s="53" t="s">
        <v>12</v>
      </c>
      <c r="B104" s="53" t="s">
        <v>13</v>
      </c>
      <c r="C104" s="53" t="s">
        <v>14</v>
      </c>
      <c r="D104" s="53" t="s">
        <v>152</v>
      </c>
      <c r="E104" s="53" t="s">
        <v>153</v>
      </c>
      <c r="F104" s="60" t="s">
        <v>154</v>
      </c>
      <c r="G104" s="53">
        <v>3950</v>
      </c>
      <c r="H104" s="62">
        <v>46009</v>
      </c>
      <c r="I104" s="61" t="s">
        <v>966</v>
      </c>
      <c r="J104" s="61" t="s">
        <v>967</v>
      </c>
      <c r="K104" s="53">
        <v>352505720</v>
      </c>
      <c r="L104" s="60">
        <v>8084080392</v>
      </c>
      <c r="M104" s="55" t="s">
        <v>1453</v>
      </c>
    </row>
    <row r="105" spans="1:13" hidden="1" x14ac:dyDescent="0.25">
      <c r="A105" s="53" t="s">
        <v>12</v>
      </c>
      <c r="B105" s="53" t="s">
        <v>13</v>
      </c>
      <c r="C105" s="53" t="s">
        <v>14</v>
      </c>
      <c r="D105" s="53" t="s">
        <v>48</v>
      </c>
      <c r="E105" s="53" t="s">
        <v>49</v>
      </c>
      <c r="F105" s="53" t="s">
        <v>50</v>
      </c>
      <c r="G105" s="53">
        <v>1900</v>
      </c>
      <c r="H105" s="62">
        <v>46009</v>
      </c>
      <c r="I105" s="53" t="s">
        <v>572</v>
      </c>
      <c r="J105" s="53" t="s">
        <v>34</v>
      </c>
      <c r="K105" s="53">
        <v>352505762</v>
      </c>
      <c r="L105" s="53">
        <v>8520078561</v>
      </c>
      <c r="M105" s="55" t="s">
        <v>1455</v>
      </c>
    </row>
    <row r="106" spans="1:13" hidden="1" x14ac:dyDescent="0.25">
      <c r="A106" s="61" t="s">
        <v>12</v>
      </c>
      <c r="B106" s="61" t="s">
        <v>13</v>
      </c>
      <c r="C106" s="61" t="s">
        <v>14</v>
      </c>
      <c r="D106" s="61" t="s">
        <v>149</v>
      </c>
      <c r="E106" s="78">
        <v>50100624324501</v>
      </c>
      <c r="F106" s="61" t="s">
        <v>150</v>
      </c>
      <c r="G106" s="53">
        <v>1900</v>
      </c>
      <c r="H106" s="62">
        <v>46009</v>
      </c>
      <c r="I106" s="61" t="s">
        <v>741</v>
      </c>
      <c r="J106" s="61" t="s">
        <v>22</v>
      </c>
      <c r="K106" s="53">
        <v>352505761</v>
      </c>
      <c r="L106" s="61">
        <v>8789141433</v>
      </c>
      <c r="M106" s="55" t="s">
        <v>1455</v>
      </c>
    </row>
    <row r="107" spans="1:13" hidden="1" x14ac:dyDescent="0.25">
      <c r="A107" s="53" t="s">
        <v>12</v>
      </c>
      <c r="B107" s="53" t="s">
        <v>13</v>
      </c>
      <c r="C107" s="53" t="s">
        <v>14</v>
      </c>
      <c r="D107" s="53" t="s">
        <v>36</v>
      </c>
      <c r="E107" s="53" t="s">
        <v>37</v>
      </c>
      <c r="F107" s="53" t="s">
        <v>38</v>
      </c>
      <c r="G107" s="53">
        <v>1000</v>
      </c>
      <c r="H107" s="62">
        <v>46009</v>
      </c>
      <c r="I107" s="53" t="s">
        <v>902</v>
      </c>
      <c r="J107" s="53" t="s">
        <v>901</v>
      </c>
      <c r="K107" s="53">
        <v>352505740</v>
      </c>
      <c r="L107" s="53">
        <v>9358936441</v>
      </c>
      <c r="M107" s="55" t="s">
        <v>1456</v>
      </c>
    </row>
    <row r="108" spans="1:13" hidden="1" x14ac:dyDescent="0.25">
      <c r="A108" s="53" t="s">
        <v>12</v>
      </c>
      <c r="B108" s="53" t="s">
        <v>13</v>
      </c>
      <c r="C108" s="53" t="s">
        <v>14</v>
      </c>
      <c r="D108" s="53" t="s">
        <v>1406</v>
      </c>
      <c r="E108" s="69">
        <v>645602010014653</v>
      </c>
      <c r="F108" s="53" t="s">
        <v>1407</v>
      </c>
      <c r="G108" s="53">
        <v>5700</v>
      </c>
      <c r="H108" s="62">
        <v>46010</v>
      </c>
      <c r="I108" s="53" t="s">
        <v>903</v>
      </c>
      <c r="J108" s="53" t="s">
        <v>904</v>
      </c>
      <c r="K108" s="53">
        <v>352505722</v>
      </c>
      <c r="L108" s="53">
        <v>8084480157</v>
      </c>
      <c r="M108" s="55" t="s">
        <v>1458</v>
      </c>
    </row>
    <row r="109" spans="1:13" hidden="1" x14ac:dyDescent="0.25">
      <c r="A109" s="53" t="s">
        <v>12</v>
      </c>
      <c r="B109" s="53" t="s">
        <v>13</v>
      </c>
      <c r="C109" s="53" t="s">
        <v>14</v>
      </c>
      <c r="D109" s="53" t="s">
        <v>108</v>
      </c>
      <c r="E109" s="53" t="s">
        <v>109</v>
      </c>
      <c r="F109" s="53" t="s">
        <v>110</v>
      </c>
      <c r="G109" s="53">
        <v>5700</v>
      </c>
      <c r="H109" s="62">
        <v>46010</v>
      </c>
      <c r="I109" s="61" t="s">
        <v>667</v>
      </c>
      <c r="J109" s="61" t="s">
        <v>98</v>
      </c>
      <c r="K109" s="53">
        <v>352505618</v>
      </c>
      <c r="L109" s="53">
        <v>7870570436</v>
      </c>
      <c r="M109" s="55" t="s">
        <v>1458</v>
      </c>
    </row>
    <row r="110" spans="1:13" x14ac:dyDescent="0.25">
      <c r="A110" s="61" t="s">
        <v>12</v>
      </c>
      <c r="B110" s="61" t="s">
        <v>13</v>
      </c>
      <c r="C110" s="61" t="s">
        <v>14</v>
      </c>
      <c r="D110" s="61" t="s">
        <v>31</v>
      </c>
      <c r="E110" s="61" t="s">
        <v>32</v>
      </c>
      <c r="F110" s="61" t="s">
        <v>33</v>
      </c>
      <c r="G110" s="53">
        <f>5700+400</f>
        <v>6100</v>
      </c>
      <c r="H110" s="62">
        <v>46010</v>
      </c>
      <c r="I110" s="61" t="s">
        <v>571</v>
      </c>
      <c r="J110" s="61" t="s">
        <v>59</v>
      </c>
      <c r="K110" s="53">
        <v>352505734</v>
      </c>
      <c r="L110" s="61">
        <v>9347726061</v>
      </c>
      <c r="M110" s="55" t="s">
        <v>1459</v>
      </c>
    </row>
    <row r="111" spans="1:13" hidden="1" x14ac:dyDescent="0.25">
      <c r="A111" s="53" t="s">
        <v>12</v>
      </c>
      <c r="B111" s="53" t="s">
        <v>13</v>
      </c>
      <c r="C111" s="53" t="s">
        <v>14</v>
      </c>
      <c r="D111" s="53" t="s">
        <v>343</v>
      </c>
      <c r="E111" s="54">
        <v>37223550583</v>
      </c>
      <c r="F111" s="53" t="s">
        <v>33</v>
      </c>
      <c r="G111" s="53">
        <v>4300</v>
      </c>
      <c r="H111" s="62">
        <v>46010</v>
      </c>
      <c r="I111" s="61" t="s">
        <v>895</v>
      </c>
      <c r="J111" s="61" t="s">
        <v>896</v>
      </c>
      <c r="K111" s="53">
        <v>352505684</v>
      </c>
      <c r="L111" s="53">
        <v>9031258705</v>
      </c>
      <c r="M111" s="55" t="s">
        <v>1460</v>
      </c>
    </row>
    <row r="112" spans="1:13" hidden="1" x14ac:dyDescent="0.25">
      <c r="A112" s="79" t="s">
        <v>12</v>
      </c>
      <c r="B112" s="79" t="s">
        <v>13</v>
      </c>
      <c r="C112" s="79" t="s">
        <v>14</v>
      </c>
      <c r="D112" s="79" t="s">
        <v>48</v>
      </c>
      <c r="E112" s="79" t="s">
        <v>49</v>
      </c>
      <c r="F112" s="79" t="s">
        <v>50</v>
      </c>
      <c r="G112" s="79">
        <v>4500</v>
      </c>
      <c r="H112" s="80">
        <v>46010</v>
      </c>
      <c r="I112" s="79" t="s">
        <v>572</v>
      </c>
      <c r="J112" s="79" t="s">
        <v>34</v>
      </c>
      <c r="K112" s="79">
        <v>352505762</v>
      </c>
      <c r="L112" s="79">
        <v>8520078561</v>
      </c>
      <c r="M112" s="79" t="s">
        <v>1457</v>
      </c>
    </row>
    <row r="113" spans="1:13" hidden="1" x14ac:dyDescent="0.25">
      <c r="A113" s="79" t="s">
        <v>12</v>
      </c>
      <c r="B113" s="79" t="s">
        <v>13</v>
      </c>
      <c r="C113" s="79" t="s">
        <v>14</v>
      </c>
      <c r="D113" s="79" t="s">
        <v>149</v>
      </c>
      <c r="E113" s="81">
        <v>50100624324501</v>
      </c>
      <c r="F113" s="79" t="s">
        <v>150</v>
      </c>
      <c r="G113" s="79">
        <v>4500</v>
      </c>
      <c r="H113" s="80">
        <v>46010</v>
      </c>
      <c r="I113" s="79" t="s">
        <v>741</v>
      </c>
      <c r="J113" s="79" t="s">
        <v>22</v>
      </c>
      <c r="K113" s="79">
        <v>352505761</v>
      </c>
      <c r="L113" s="79">
        <v>8789141433</v>
      </c>
      <c r="M113" s="79" t="s">
        <v>1457</v>
      </c>
    </row>
    <row r="114" spans="1:13" hidden="1" x14ac:dyDescent="0.25">
      <c r="A114" s="53" t="s">
        <v>12</v>
      </c>
      <c r="B114" s="53" t="s">
        <v>13</v>
      </c>
      <c r="C114" s="53" t="s">
        <v>14</v>
      </c>
      <c r="D114" s="53" t="s">
        <v>993</v>
      </c>
      <c r="E114" s="69">
        <v>50100683547664</v>
      </c>
      <c r="F114" s="60" t="s">
        <v>994</v>
      </c>
      <c r="G114" s="53">
        <v>1500</v>
      </c>
      <c r="H114" s="62">
        <v>46010</v>
      </c>
      <c r="I114" s="61" t="s">
        <v>593</v>
      </c>
      <c r="J114" s="61" t="s">
        <v>76</v>
      </c>
      <c r="K114" s="53">
        <v>352505789</v>
      </c>
      <c r="L114" s="60">
        <v>8093441726</v>
      </c>
      <c r="M114" s="55" t="s">
        <v>1462</v>
      </c>
    </row>
    <row r="115" spans="1:13" hidden="1" x14ac:dyDescent="0.25">
      <c r="A115" s="53" t="s">
        <v>12</v>
      </c>
      <c r="B115" s="53" t="s">
        <v>13</v>
      </c>
      <c r="C115" s="53" t="s">
        <v>14</v>
      </c>
      <c r="D115" s="53" t="s">
        <v>152</v>
      </c>
      <c r="E115" s="53" t="s">
        <v>153</v>
      </c>
      <c r="F115" s="60" t="s">
        <v>154</v>
      </c>
      <c r="G115" s="53">
        <v>1500</v>
      </c>
      <c r="H115" s="62">
        <v>46010</v>
      </c>
      <c r="I115" s="61" t="s">
        <v>966</v>
      </c>
      <c r="J115" s="61" t="s">
        <v>967</v>
      </c>
      <c r="K115" s="53">
        <v>352505790</v>
      </c>
      <c r="L115" s="60">
        <v>8084080392</v>
      </c>
      <c r="M115" s="55" t="s">
        <v>1462</v>
      </c>
    </row>
    <row r="116" spans="1:13" hidden="1" x14ac:dyDescent="0.25">
      <c r="A116" s="53" t="s">
        <v>12</v>
      </c>
      <c r="B116" s="53" t="s">
        <v>13</v>
      </c>
      <c r="C116" s="53" t="s">
        <v>14</v>
      </c>
      <c r="D116" s="53" t="s">
        <v>152</v>
      </c>
      <c r="E116" s="53" t="s">
        <v>153</v>
      </c>
      <c r="F116" s="60" t="s">
        <v>154</v>
      </c>
      <c r="G116" s="53">
        <v>5450</v>
      </c>
      <c r="H116" s="62">
        <v>46010</v>
      </c>
      <c r="I116" s="61" t="s">
        <v>966</v>
      </c>
      <c r="J116" s="61" t="s">
        <v>967</v>
      </c>
      <c r="K116" s="53">
        <v>352505790</v>
      </c>
      <c r="L116" s="60">
        <v>8084080392</v>
      </c>
      <c r="M116" s="55" t="s">
        <v>1461</v>
      </c>
    </row>
    <row r="117" spans="1:13" hidden="1" x14ac:dyDescent="0.25">
      <c r="A117" s="53" t="s">
        <v>12</v>
      </c>
      <c r="B117" s="53" t="s">
        <v>13</v>
      </c>
      <c r="C117" s="53" t="s">
        <v>14</v>
      </c>
      <c r="D117" s="53" t="s">
        <v>48</v>
      </c>
      <c r="E117" s="53" t="s">
        <v>49</v>
      </c>
      <c r="F117" s="53" t="s">
        <v>50</v>
      </c>
      <c r="G117" s="53">
        <v>1950</v>
      </c>
      <c r="H117" s="62">
        <v>46010</v>
      </c>
      <c r="I117" s="53" t="s">
        <v>572</v>
      </c>
      <c r="J117" s="53" t="s">
        <v>34</v>
      </c>
      <c r="K117" s="53">
        <v>352505762</v>
      </c>
      <c r="L117" s="53">
        <v>8520078561</v>
      </c>
      <c r="M117" s="55" t="s">
        <v>1461</v>
      </c>
    </row>
    <row r="118" spans="1:13" hidden="1" x14ac:dyDescent="0.25">
      <c r="A118" s="61" t="s">
        <v>12</v>
      </c>
      <c r="B118" s="61" t="s">
        <v>13</v>
      </c>
      <c r="C118" s="61" t="s">
        <v>14</v>
      </c>
      <c r="D118" s="61" t="s">
        <v>149</v>
      </c>
      <c r="E118" s="78">
        <v>50100624324501</v>
      </c>
      <c r="F118" s="61" t="s">
        <v>150</v>
      </c>
      <c r="G118" s="53">
        <v>1950</v>
      </c>
      <c r="H118" s="62">
        <v>46010</v>
      </c>
      <c r="I118" s="61" t="s">
        <v>741</v>
      </c>
      <c r="J118" s="61" t="s">
        <v>22</v>
      </c>
      <c r="K118" s="53">
        <v>352505761</v>
      </c>
      <c r="L118" s="61">
        <v>8789141433</v>
      </c>
      <c r="M118" s="55" t="s">
        <v>1461</v>
      </c>
    </row>
    <row r="119" spans="1:13" hidden="1" x14ac:dyDescent="0.25">
      <c r="A119" s="53" t="s">
        <v>12</v>
      </c>
      <c r="B119" s="53" t="s">
        <v>13</v>
      </c>
      <c r="C119" s="53" t="s">
        <v>14</v>
      </c>
      <c r="D119" s="53" t="s">
        <v>993</v>
      </c>
      <c r="E119" s="69">
        <v>50100683547664</v>
      </c>
      <c r="F119" s="60" t="s">
        <v>994</v>
      </c>
      <c r="G119" s="53">
        <v>4800</v>
      </c>
      <c r="H119" s="62">
        <v>46010</v>
      </c>
      <c r="I119" s="61" t="s">
        <v>593</v>
      </c>
      <c r="J119" s="61" t="s">
        <v>76</v>
      </c>
      <c r="K119" s="53">
        <v>352505789</v>
      </c>
      <c r="L119" s="60">
        <v>8093441726</v>
      </c>
      <c r="M119" s="55" t="s">
        <v>1463</v>
      </c>
    </row>
    <row r="120" spans="1:13" hidden="1" x14ac:dyDescent="0.25">
      <c r="A120" s="53" t="s">
        <v>12</v>
      </c>
      <c r="B120" s="53" t="s">
        <v>13</v>
      </c>
      <c r="C120" s="53" t="s">
        <v>14</v>
      </c>
      <c r="D120" s="53" t="s">
        <v>1406</v>
      </c>
      <c r="E120" s="69">
        <v>645602010014653</v>
      </c>
      <c r="F120" s="53" t="s">
        <v>1407</v>
      </c>
      <c r="G120" s="53">
        <v>6400</v>
      </c>
      <c r="H120" s="62">
        <v>46011</v>
      </c>
      <c r="I120" s="53" t="s">
        <v>903</v>
      </c>
      <c r="J120" s="53" t="s">
        <v>904</v>
      </c>
      <c r="K120" s="53">
        <v>352505794</v>
      </c>
      <c r="L120" s="53">
        <v>8084480157</v>
      </c>
      <c r="M120" s="55" t="s">
        <v>1467</v>
      </c>
    </row>
    <row r="121" spans="1:13" x14ac:dyDescent="0.25">
      <c r="A121" s="61" t="s">
        <v>12</v>
      </c>
      <c r="B121" s="61" t="s">
        <v>13</v>
      </c>
      <c r="C121" s="61" t="s">
        <v>14</v>
      </c>
      <c r="D121" s="61" t="s">
        <v>31</v>
      </c>
      <c r="E121" s="61" t="s">
        <v>32</v>
      </c>
      <c r="F121" s="61" t="s">
        <v>33</v>
      </c>
      <c r="G121" s="53">
        <v>4200</v>
      </c>
      <c r="H121" s="62">
        <v>46011</v>
      </c>
      <c r="I121" s="61" t="s">
        <v>571</v>
      </c>
      <c r="J121" s="61" t="s">
        <v>59</v>
      </c>
      <c r="K121" s="53">
        <v>352505795</v>
      </c>
      <c r="L121" s="61">
        <v>9347726061</v>
      </c>
      <c r="M121" s="55" t="s">
        <v>1464</v>
      </c>
    </row>
    <row r="122" spans="1:13" hidden="1" x14ac:dyDescent="0.25">
      <c r="A122" s="53" t="s">
        <v>12</v>
      </c>
      <c r="B122" s="53" t="s">
        <v>13</v>
      </c>
      <c r="C122" s="53" t="s">
        <v>14</v>
      </c>
      <c r="D122" s="53" t="s">
        <v>152</v>
      </c>
      <c r="E122" s="53" t="s">
        <v>153</v>
      </c>
      <c r="F122" s="60" t="s">
        <v>154</v>
      </c>
      <c r="G122" s="53">
        <v>5200</v>
      </c>
      <c r="H122" s="62">
        <v>46011</v>
      </c>
      <c r="I122" s="61" t="s">
        <v>966</v>
      </c>
      <c r="J122" s="61" t="s">
        <v>967</v>
      </c>
      <c r="K122" s="53">
        <v>352505800</v>
      </c>
      <c r="L122" s="60">
        <v>8084080392</v>
      </c>
      <c r="M122" s="55" t="s">
        <v>1465</v>
      </c>
    </row>
    <row r="123" spans="1:13" hidden="1" x14ac:dyDescent="0.25">
      <c r="A123" s="53" t="s">
        <v>12</v>
      </c>
      <c r="B123" s="53" t="s">
        <v>13</v>
      </c>
      <c r="C123" s="53" t="s">
        <v>14</v>
      </c>
      <c r="D123" s="53" t="s">
        <v>343</v>
      </c>
      <c r="E123" s="54">
        <v>37223550583</v>
      </c>
      <c r="F123" s="53" t="s">
        <v>33</v>
      </c>
      <c r="G123" s="53">
        <v>3500</v>
      </c>
      <c r="H123" s="62">
        <v>46011</v>
      </c>
      <c r="I123" s="61" t="s">
        <v>895</v>
      </c>
      <c r="J123" s="61" t="s">
        <v>896</v>
      </c>
      <c r="K123" s="53">
        <v>352505797</v>
      </c>
      <c r="L123" s="53">
        <v>9031258705</v>
      </c>
      <c r="M123" s="55" t="s">
        <v>1466</v>
      </c>
    </row>
    <row r="124" spans="1:13" hidden="1" x14ac:dyDescent="0.25">
      <c r="A124" s="53" t="s">
        <v>12</v>
      </c>
      <c r="B124" s="53" t="s">
        <v>13</v>
      </c>
      <c r="C124" s="53" t="s">
        <v>14</v>
      </c>
      <c r="D124" s="53" t="s">
        <v>1406</v>
      </c>
      <c r="E124" s="69">
        <v>645602010014653</v>
      </c>
      <c r="F124" s="53" t="s">
        <v>1407</v>
      </c>
      <c r="G124" s="53">
        <f>3500+200</f>
        <v>3700</v>
      </c>
      <c r="H124" s="62">
        <v>46011</v>
      </c>
      <c r="I124" s="53" t="s">
        <v>903</v>
      </c>
      <c r="J124" s="53" t="s">
        <v>904</v>
      </c>
      <c r="K124" s="53">
        <v>352505794</v>
      </c>
      <c r="L124" s="53">
        <v>8084480157</v>
      </c>
      <c r="M124" s="55" t="s">
        <v>1470</v>
      </c>
    </row>
    <row r="125" spans="1:13" hidden="1" x14ac:dyDescent="0.25">
      <c r="A125" s="53" t="s">
        <v>12</v>
      </c>
      <c r="B125" s="53" t="s">
        <v>13</v>
      </c>
      <c r="C125" s="53" t="s">
        <v>14</v>
      </c>
      <c r="D125" s="53" t="s">
        <v>48</v>
      </c>
      <c r="E125" s="53" t="s">
        <v>49</v>
      </c>
      <c r="F125" s="53" t="s">
        <v>50</v>
      </c>
      <c r="G125" s="53">
        <v>4800</v>
      </c>
      <c r="H125" s="62">
        <v>46011</v>
      </c>
      <c r="I125" s="53" t="s">
        <v>572</v>
      </c>
      <c r="J125" s="53" t="s">
        <v>34</v>
      </c>
      <c r="K125" s="53">
        <v>352505801</v>
      </c>
      <c r="L125" s="53">
        <v>8520078561</v>
      </c>
      <c r="M125" s="55" t="s">
        <v>1468</v>
      </c>
    </row>
    <row r="126" spans="1:13" hidden="1" x14ac:dyDescent="0.25">
      <c r="A126" s="61" t="s">
        <v>12</v>
      </c>
      <c r="B126" s="61" t="s">
        <v>13</v>
      </c>
      <c r="C126" s="61" t="s">
        <v>14</v>
      </c>
      <c r="D126" s="61" t="s">
        <v>149</v>
      </c>
      <c r="E126" s="78">
        <v>50100624324501</v>
      </c>
      <c r="F126" s="61" t="s">
        <v>150</v>
      </c>
      <c r="G126" s="53">
        <v>4800</v>
      </c>
      <c r="H126" s="62">
        <v>46011</v>
      </c>
      <c r="I126" s="61" t="s">
        <v>741</v>
      </c>
      <c r="J126" s="61" t="s">
        <v>22</v>
      </c>
      <c r="K126" s="53">
        <v>352505799</v>
      </c>
      <c r="L126" s="61">
        <v>8789141433</v>
      </c>
      <c r="M126" s="55" t="s">
        <v>1468</v>
      </c>
    </row>
    <row r="127" spans="1:13" hidden="1" x14ac:dyDescent="0.25">
      <c r="A127" s="53" t="s">
        <v>12</v>
      </c>
      <c r="B127" s="53" t="s">
        <v>13</v>
      </c>
      <c r="C127" s="53" t="s">
        <v>14</v>
      </c>
      <c r="D127" s="53" t="s">
        <v>108</v>
      </c>
      <c r="E127" s="53" t="s">
        <v>109</v>
      </c>
      <c r="F127" s="53" t="s">
        <v>110</v>
      </c>
      <c r="G127" s="53">
        <f>600+200</f>
        <v>800</v>
      </c>
      <c r="H127" s="62">
        <v>46011</v>
      </c>
      <c r="I127" s="61" t="s">
        <v>667</v>
      </c>
      <c r="J127" s="61" t="s">
        <v>98</v>
      </c>
      <c r="K127" s="53">
        <v>352505796</v>
      </c>
      <c r="L127" s="53">
        <v>7870570436</v>
      </c>
      <c r="M127" s="55" t="s">
        <v>1469</v>
      </c>
    </row>
    <row r="128" spans="1:13" hidden="1" x14ac:dyDescent="0.25">
      <c r="A128" s="53" t="s">
        <v>12</v>
      </c>
      <c r="B128" s="53" t="s">
        <v>13</v>
      </c>
      <c r="C128" s="53" t="s">
        <v>14</v>
      </c>
      <c r="D128" s="53" t="s">
        <v>343</v>
      </c>
      <c r="E128" s="54">
        <v>37223550583</v>
      </c>
      <c r="F128" s="53" t="s">
        <v>33</v>
      </c>
      <c r="G128" s="53">
        <v>1000</v>
      </c>
      <c r="H128" s="62">
        <v>46012</v>
      </c>
      <c r="I128" s="61" t="s">
        <v>895</v>
      </c>
      <c r="J128" s="61" t="s">
        <v>896</v>
      </c>
      <c r="K128" s="53">
        <v>352505828</v>
      </c>
      <c r="L128" s="53">
        <v>9031258705</v>
      </c>
      <c r="M128" s="55" t="s">
        <v>1471</v>
      </c>
    </row>
    <row r="129" spans="1:13" hidden="1" x14ac:dyDescent="0.25">
      <c r="A129" s="53" t="s">
        <v>12</v>
      </c>
      <c r="B129" s="53" t="s">
        <v>13</v>
      </c>
      <c r="C129" s="53" t="s">
        <v>14</v>
      </c>
      <c r="D129" s="53" t="s">
        <v>108</v>
      </c>
      <c r="E129" s="53" t="s">
        <v>109</v>
      </c>
      <c r="F129" s="53" t="s">
        <v>110</v>
      </c>
      <c r="G129" s="53">
        <v>1000</v>
      </c>
      <c r="H129" s="62">
        <v>46012</v>
      </c>
      <c r="I129" s="61" t="s">
        <v>667</v>
      </c>
      <c r="J129" s="61" t="s">
        <v>98</v>
      </c>
      <c r="K129" s="53">
        <v>352505830</v>
      </c>
      <c r="L129" s="53">
        <v>7870570436</v>
      </c>
      <c r="M129" s="55" t="s">
        <v>1472</v>
      </c>
    </row>
    <row r="130" spans="1:13" hidden="1" x14ac:dyDescent="0.25">
      <c r="A130" s="53" t="s">
        <v>12</v>
      </c>
      <c r="B130" s="53" t="s">
        <v>13</v>
      </c>
      <c r="C130" s="53" t="s">
        <v>14</v>
      </c>
      <c r="D130" s="53" t="s">
        <v>108</v>
      </c>
      <c r="E130" s="53" t="s">
        <v>109</v>
      </c>
      <c r="F130" s="53" t="s">
        <v>110</v>
      </c>
      <c r="G130" s="53">
        <v>6400</v>
      </c>
      <c r="H130" s="62">
        <v>46012</v>
      </c>
      <c r="I130" s="61" t="s">
        <v>667</v>
      </c>
      <c r="J130" s="61" t="s">
        <v>98</v>
      </c>
      <c r="K130" s="53">
        <v>352505830</v>
      </c>
      <c r="L130" s="53">
        <v>7870570436</v>
      </c>
      <c r="M130" s="55" t="s">
        <v>1473</v>
      </c>
    </row>
    <row r="131" spans="1:13" hidden="1" x14ac:dyDescent="0.25">
      <c r="A131" s="53" t="s">
        <v>12</v>
      </c>
      <c r="B131" s="53" t="s">
        <v>13</v>
      </c>
      <c r="C131" s="53" t="s">
        <v>14</v>
      </c>
      <c r="D131" s="53" t="s">
        <v>36</v>
      </c>
      <c r="E131" s="53" t="s">
        <v>37</v>
      </c>
      <c r="F131" s="53" t="s">
        <v>38</v>
      </c>
      <c r="G131" s="53">
        <v>5900</v>
      </c>
      <c r="H131" s="62">
        <v>46013</v>
      </c>
      <c r="I131" s="53" t="s">
        <v>902</v>
      </c>
      <c r="J131" s="53" t="s">
        <v>901</v>
      </c>
      <c r="K131" s="53">
        <v>352505852</v>
      </c>
      <c r="L131" s="53">
        <v>9358936441</v>
      </c>
      <c r="M131" s="55" t="s">
        <v>1474</v>
      </c>
    </row>
    <row r="132" spans="1:13" hidden="1" x14ac:dyDescent="0.25">
      <c r="A132" s="53" t="s">
        <v>12</v>
      </c>
      <c r="B132" s="53" t="s">
        <v>13</v>
      </c>
      <c r="C132" s="53" t="s">
        <v>14</v>
      </c>
      <c r="D132" s="53" t="s">
        <v>343</v>
      </c>
      <c r="E132" s="54">
        <v>37223550583</v>
      </c>
      <c r="F132" s="53" t="s">
        <v>33</v>
      </c>
      <c r="G132" s="53">
        <v>5450</v>
      </c>
      <c r="H132" s="62">
        <v>46013</v>
      </c>
      <c r="I132" s="61" t="s">
        <v>895</v>
      </c>
      <c r="J132" s="61" t="s">
        <v>896</v>
      </c>
      <c r="K132" s="53">
        <v>352505862</v>
      </c>
      <c r="L132" s="53">
        <v>9031258705</v>
      </c>
      <c r="M132" s="55" t="s">
        <v>1475</v>
      </c>
    </row>
    <row r="133" spans="1:13" hidden="1" x14ac:dyDescent="0.25">
      <c r="A133" s="53" t="s">
        <v>12</v>
      </c>
      <c r="B133" s="53" t="s">
        <v>13</v>
      </c>
      <c r="C133" s="53" t="s">
        <v>14</v>
      </c>
      <c r="D133" s="53" t="s">
        <v>1406</v>
      </c>
      <c r="E133" s="69">
        <v>645602010014653</v>
      </c>
      <c r="F133" s="53" t="s">
        <v>1407</v>
      </c>
      <c r="G133" s="53">
        <v>5450</v>
      </c>
      <c r="H133" s="62">
        <v>46013</v>
      </c>
      <c r="I133" s="53" t="s">
        <v>903</v>
      </c>
      <c r="J133" s="53" t="s">
        <v>904</v>
      </c>
      <c r="K133" s="53">
        <v>352505863</v>
      </c>
      <c r="L133" s="53">
        <v>8084480157</v>
      </c>
      <c r="M133" s="55" t="s">
        <v>1475</v>
      </c>
    </row>
    <row r="134" spans="1:13" hidden="1" x14ac:dyDescent="0.25">
      <c r="A134" s="53" t="s">
        <v>12</v>
      </c>
      <c r="B134" s="53" t="s">
        <v>13</v>
      </c>
      <c r="C134" s="53" t="s">
        <v>14</v>
      </c>
      <c r="D134" s="53" t="s">
        <v>108</v>
      </c>
      <c r="E134" s="53" t="s">
        <v>109</v>
      </c>
      <c r="F134" s="53" t="s">
        <v>110</v>
      </c>
      <c r="G134" s="53">
        <v>4950</v>
      </c>
      <c r="H134" s="62">
        <v>46013</v>
      </c>
      <c r="I134" s="61" t="s">
        <v>667</v>
      </c>
      <c r="J134" s="61" t="s">
        <v>98</v>
      </c>
      <c r="K134" s="53">
        <v>352505830</v>
      </c>
      <c r="L134" s="53">
        <v>7870570436</v>
      </c>
      <c r="M134" s="55" t="s">
        <v>1476</v>
      </c>
    </row>
    <row r="135" spans="1:13" hidden="1" x14ac:dyDescent="0.25">
      <c r="A135" s="53" t="s">
        <v>12</v>
      </c>
      <c r="B135" s="53" t="s">
        <v>13</v>
      </c>
      <c r="C135" s="53" t="s">
        <v>14</v>
      </c>
      <c r="D135" s="53" t="s">
        <v>466</v>
      </c>
      <c r="E135" s="53" t="s">
        <v>467</v>
      </c>
      <c r="F135" s="53" t="s">
        <v>468</v>
      </c>
      <c r="G135" s="53">
        <v>10000</v>
      </c>
      <c r="H135" s="62">
        <v>46014</v>
      </c>
      <c r="I135" s="53" t="s">
        <v>1185</v>
      </c>
      <c r="J135" s="53" t="s">
        <v>470</v>
      </c>
      <c r="K135" s="53">
        <v>352505813</v>
      </c>
      <c r="L135" s="53">
        <v>8687714453</v>
      </c>
      <c r="M135" s="77" t="s">
        <v>690</v>
      </c>
    </row>
    <row r="136" spans="1:13" hidden="1" x14ac:dyDescent="0.25">
      <c r="A136" s="61" t="s">
        <v>12</v>
      </c>
      <c r="B136" s="61" t="s">
        <v>13</v>
      </c>
      <c r="C136" s="61" t="s">
        <v>14</v>
      </c>
      <c r="D136" s="61" t="s">
        <v>149</v>
      </c>
      <c r="E136" s="78">
        <v>50100624324501</v>
      </c>
      <c r="F136" s="61" t="s">
        <v>150</v>
      </c>
      <c r="G136" s="53">
        <f>7500-4800</f>
        <v>2700</v>
      </c>
      <c r="H136" s="62">
        <v>46014</v>
      </c>
      <c r="I136" s="61" t="s">
        <v>741</v>
      </c>
      <c r="J136" s="61" t="s">
        <v>22</v>
      </c>
      <c r="K136" s="53">
        <v>352505878</v>
      </c>
      <c r="L136" s="61">
        <v>8789141433</v>
      </c>
      <c r="M136" s="55" t="s">
        <v>1477</v>
      </c>
    </row>
    <row r="137" spans="1:13" hidden="1" x14ac:dyDescent="0.25">
      <c r="A137" s="53" t="s">
        <v>12</v>
      </c>
      <c r="B137" s="53" t="s">
        <v>13</v>
      </c>
      <c r="C137" s="53" t="s">
        <v>14</v>
      </c>
      <c r="D137" s="53" t="s">
        <v>343</v>
      </c>
      <c r="E137" s="54">
        <v>37223550583</v>
      </c>
      <c r="F137" s="53" t="s">
        <v>33</v>
      </c>
      <c r="G137" s="53">
        <v>1500</v>
      </c>
      <c r="H137" s="62">
        <v>46014</v>
      </c>
      <c r="I137" s="61" t="s">
        <v>895</v>
      </c>
      <c r="J137" s="61" t="s">
        <v>896</v>
      </c>
      <c r="K137" s="53">
        <v>352505899</v>
      </c>
      <c r="L137" s="53">
        <v>9031258705</v>
      </c>
      <c r="M137" s="55" t="s">
        <v>1478</v>
      </c>
    </row>
    <row r="138" spans="1:13" hidden="1" x14ac:dyDescent="0.25">
      <c r="A138" s="53" t="s">
        <v>12</v>
      </c>
      <c r="B138" s="53" t="s">
        <v>13</v>
      </c>
      <c r="C138" s="53" t="s">
        <v>14</v>
      </c>
      <c r="D138" s="53" t="s">
        <v>1406</v>
      </c>
      <c r="E138" s="69">
        <v>645602010014653</v>
      </c>
      <c r="F138" s="53" t="s">
        <v>1407</v>
      </c>
      <c r="G138" s="53">
        <v>1500</v>
      </c>
      <c r="H138" s="62">
        <v>46014</v>
      </c>
      <c r="I138" s="53" t="s">
        <v>903</v>
      </c>
      <c r="J138" s="53" t="s">
        <v>904</v>
      </c>
      <c r="K138" s="53">
        <v>352505898</v>
      </c>
      <c r="L138" s="53">
        <v>8084480157</v>
      </c>
      <c r="M138" s="55" t="s">
        <v>1478</v>
      </c>
    </row>
    <row r="139" spans="1:13" hidden="1" x14ac:dyDescent="0.25">
      <c r="A139" s="53" t="s">
        <v>12</v>
      </c>
      <c r="B139" s="53" t="s">
        <v>13</v>
      </c>
      <c r="C139" s="53" t="s">
        <v>14</v>
      </c>
      <c r="D139" s="53" t="s">
        <v>343</v>
      </c>
      <c r="E139" s="54">
        <v>37223550583</v>
      </c>
      <c r="F139" s="53" t="s">
        <v>33</v>
      </c>
      <c r="G139" s="53">
        <v>5450</v>
      </c>
      <c r="H139" s="62">
        <v>46014</v>
      </c>
      <c r="I139" s="61" t="s">
        <v>895</v>
      </c>
      <c r="J139" s="61" t="s">
        <v>896</v>
      </c>
      <c r="K139" s="53">
        <v>352505899</v>
      </c>
      <c r="L139" s="53">
        <v>9031258705</v>
      </c>
      <c r="M139" s="55" t="s">
        <v>1479</v>
      </c>
    </row>
    <row r="140" spans="1:13" hidden="1" x14ac:dyDescent="0.25">
      <c r="A140" s="53" t="s">
        <v>12</v>
      </c>
      <c r="B140" s="53" t="s">
        <v>13</v>
      </c>
      <c r="C140" s="53" t="s">
        <v>14</v>
      </c>
      <c r="D140" s="53" t="s">
        <v>1406</v>
      </c>
      <c r="E140" s="69">
        <v>645602010014653</v>
      </c>
      <c r="F140" s="53" t="s">
        <v>1407</v>
      </c>
      <c r="G140" s="53">
        <v>5450</v>
      </c>
      <c r="H140" s="62">
        <v>46014</v>
      </c>
      <c r="I140" s="53" t="s">
        <v>903</v>
      </c>
      <c r="J140" s="53" t="s">
        <v>904</v>
      </c>
      <c r="K140" s="53">
        <v>352505898</v>
      </c>
      <c r="L140" s="53">
        <v>8084480157</v>
      </c>
      <c r="M140" s="55" t="s">
        <v>1479</v>
      </c>
    </row>
    <row r="141" spans="1:13" hidden="1" x14ac:dyDescent="0.25">
      <c r="A141" s="53" t="s">
        <v>12</v>
      </c>
      <c r="B141" s="53" t="s">
        <v>13</v>
      </c>
      <c r="C141" s="53" t="s">
        <v>14</v>
      </c>
      <c r="D141" s="53" t="s">
        <v>993</v>
      </c>
      <c r="E141" s="69">
        <v>50100683547664</v>
      </c>
      <c r="F141" s="60" t="s">
        <v>994</v>
      </c>
      <c r="G141" s="53">
        <v>4400</v>
      </c>
      <c r="H141" s="62">
        <v>46014</v>
      </c>
      <c r="I141" s="61" t="s">
        <v>593</v>
      </c>
      <c r="J141" s="61" t="s">
        <v>76</v>
      </c>
      <c r="K141" s="53">
        <v>352505820</v>
      </c>
      <c r="L141" s="60">
        <v>8093441726</v>
      </c>
      <c r="M141" s="55" t="s">
        <v>1480</v>
      </c>
    </row>
    <row r="142" spans="1:13" hidden="1" x14ac:dyDescent="0.25">
      <c r="A142" s="53" t="s">
        <v>12</v>
      </c>
      <c r="B142" s="53" t="s">
        <v>13</v>
      </c>
      <c r="C142" s="53" t="s">
        <v>14</v>
      </c>
      <c r="D142" s="53" t="s">
        <v>48</v>
      </c>
      <c r="E142" s="53" t="s">
        <v>49</v>
      </c>
      <c r="F142" s="53" t="s">
        <v>50</v>
      </c>
      <c r="G142" s="53">
        <v>300</v>
      </c>
      <c r="H142" s="62">
        <v>46014</v>
      </c>
      <c r="I142" s="53" t="s">
        <v>572</v>
      </c>
      <c r="J142" s="53" t="s">
        <v>34</v>
      </c>
      <c r="K142" s="53">
        <v>352505859</v>
      </c>
      <c r="L142" s="53">
        <v>8520078561</v>
      </c>
      <c r="M142" s="55" t="s">
        <v>1481</v>
      </c>
    </row>
    <row r="143" spans="1:13" hidden="1" x14ac:dyDescent="0.25">
      <c r="A143" s="53" t="s">
        <v>12</v>
      </c>
      <c r="B143" s="53" t="s">
        <v>13</v>
      </c>
      <c r="C143" s="53" t="s">
        <v>14</v>
      </c>
      <c r="D143" s="53" t="s">
        <v>48</v>
      </c>
      <c r="E143" s="53" t="s">
        <v>49</v>
      </c>
      <c r="F143" s="53" t="s">
        <v>50</v>
      </c>
      <c r="G143" s="53">
        <v>3500</v>
      </c>
      <c r="H143" s="62">
        <v>46014</v>
      </c>
      <c r="I143" s="53" t="s">
        <v>572</v>
      </c>
      <c r="J143" s="53" t="s">
        <v>34</v>
      </c>
      <c r="K143" s="53">
        <v>352505859</v>
      </c>
      <c r="L143" s="53">
        <v>8520078561</v>
      </c>
      <c r="M143" s="55" t="s">
        <v>1482</v>
      </c>
    </row>
    <row r="144" spans="1:13" hidden="1" x14ac:dyDescent="0.25">
      <c r="A144" s="53" t="s">
        <v>12</v>
      </c>
      <c r="B144" s="53" t="s">
        <v>13</v>
      </c>
      <c r="C144" s="53" t="s">
        <v>14</v>
      </c>
      <c r="D144" s="53" t="s">
        <v>108</v>
      </c>
      <c r="E144" s="53" t="s">
        <v>109</v>
      </c>
      <c r="F144" s="53" t="s">
        <v>110</v>
      </c>
      <c r="G144" s="53">
        <v>5450</v>
      </c>
      <c r="H144" s="62">
        <v>46015</v>
      </c>
      <c r="I144" s="61" t="s">
        <v>1483</v>
      </c>
      <c r="J144" s="61" t="s">
        <v>1484</v>
      </c>
      <c r="K144" s="53">
        <v>352505923</v>
      </c>
      <c r="L144" s="53">
        <v>7870570436</v>
      </c>
      <c r="M144" s="55" t="s">
        <v>1479</v>
      </c>
    </row>
    <row r="145" spans="1:13" hidden="1" x14ac:dyDescent="0.25">
      <c r="A145" s="53" t="s">
        <v>12</v>
      </c>
      <c r="B145" s="53" t="s">
        <v>13</v>
      </c>
      <c r="C145" s="53" t="s">
        <v>14</v>
      </c>
      <c r="D145" s="53" t="s">
        <v>152</v>
      </c>
      <c r="E145" s="53" t="s">
        <v>153</v>
      </c>
      <c r="F145" s="60" t="s">
        <v>154</v>
      </c>
      <c r="G145" s="53">
        <v>5450</v>
      </c>
      <c r="H145" s="62">
        <v>46015</v>
      </c>
      <c r="I145" s="61" t="s">
        <v>1485</v>
      </c>
      <c r="J145" s="61" t="s">
        <v>1486</v>
      </c>
      <c r="K145" s="53">
        <v>352505922</v>
      </c>
      <c r="L145" s="60">
        <v>8084080392</v>
      </c>
      <c r="M145" s="55" t="s">
        <v>1479</v>
      </c>
    </row>
    <row r="146" spans="1:13" hidden="1" x14ac:dyDescent="0.25">
      <c r="A146" s="53" t="s">
        <v>12</v>
      </c>
      <c r="B146" s="53" t="s">
        <v>13</v>
      </c>
      <c r="C146" s="53" t="s">
        <v>14</v>
      </c>
      <c r="D146" s="53" t="s">
        <v>152</v>
      </c>
      <c r="E146" s="53" t="s">
        <v>153</v>
      </c>
      <c r="F146" s="60" t="s">
        <v>154</v>
      </c>
      <c r="G146" s="53">
        <f>1160+162</f>
        <v>1322</v>
      </c>
      <c r="H146" s="62">
        <v>46015</v>
      </c>
      <c r="I146" s="61" t="s">
        <v>1485</v>
      </c>
      <c r="J146" s="61" t="s">
        <v>1486</v>
      </c>
      <c r="K146" s="53">
        <v>352505922</v>
      </c>
      <c r="L146" s="60">
        <v>8084080392</v>
      </c>
      <c r="M146" s="55" t="s">
        <v>1489</v>
      </c>
    </row>
    <row r="147" spans="1:13" hidden="1" x14ac:dyDescent="0.25">
      <c r="A147" s="53" t="s">
        <v>12</v>
      </c>
      <c r="B147" s="53" t="s">
        <v>13</v>
      </c>
      <c r="C147" s="53" t="s">
        <v>14</v>
      </c>
      <c r="D147" s="53" t="s">
        <v>36</v>
      </c>
      <c r="E147" s="53" t="s">
        <v>37</v>
      </c>
      <c r="F147" s="53" t="s">
        <v>38</v>
      </c>
      <c r="G147" s="53">
        <v>6100</v>
      </c>
      <c r="H147" s="62">
        <v>46015</v>
      </c>
      <c r="I147" s="53" t="s">
        <v>902</v>
      </c>
      <c r="J147" s="53" t="s">
        <v>901</v>
      </c>
      <c r="K147" s="53">
        <v>352505901</v>
      </c>
      <c r="L147" s="53">
        <v>9358936441</v>
      </c>
      <c r="M147" s="55" t="s">
        <v>1487</v>
      </c>
    </row>
    <row r="148" spans="1:13" hidden="1" x14ac:dyDescent="0.25">
      <c r="A148" s="53" t="s">
        <v>12</v>
      </c>
      <c r="B148" s="53" t="s">
        <v>13</v>
      </c>
      <c r="C148" s="53" t="s">
        <v>14</v>
      </c>
      <c r="D148" s="53" t="s">
        <v>36</v>
      </c>
      <c r="E148" s="53" t="s">
        <v>37</v>
      </c>
      <c r="F148" s="53" t="s">
        <v>38</v>
      </c>
      <c r="G148" s="53">
        <v>1000</v>
      </c>
      <c r="H148" s="62">
        <v>46015</v>
      </c>
      <c r="I148" s="53" t="s">
        <v>902</v>
      </c>
      <c r="J148" s="53" t="s">
        <v>901</v>
      </c>
      <c r="K148" s="53">
        <v>352505901</v>
      </c>
      <c r="L148" s="53">
        <v>9358936441</v>
      </c>
      <c r="M148" s="55" t="s">
        <v>1488</v>
      </c>
    </row>
    <row r="149" spans="1:13" hidden="1" x14ac:dyDescent="0.25">
      <c r="A149" s="53" t="s">
        <v>12</v>
      </c>
      <c r="B149" s="53" t="s">
        <v>13</v>
      </c>
      <c r="C149" s="53" t="s">
        <v>14</v>
      </c>
      <c r="D149" s="53" t="s">
        <v>343</v>
      </c>
      <c r="E149" s="54">
        <v>37223550583</v>
      </c>
      <c r="F149" s="53" t="s">
        <v>33</v>
      </c>
      <c r="G149" s="53">
        <v>5450</v>
      </c>
      <c r="H149" s="62">
        <v>46015</v>
      </c>
      <c r="I149" s="61" t="s">
        <v>895</v>
      </c>
      <c r="J149" s="61" t="s">
        <v>896</v>
      </c>
      <c r="K149" s="53">
        <v>352505927</v>
      </c>
      <c r="L149" s="53">
        <v>9031258705</v>
      </c>
      <c r="M149" s="55" t="s">
        <v>1490</v>
      </c>
    </row>
    <row r="150" spans="1:13" hidden="1" x14ac:dyDescent="0.25">
      <c r="A150" s="53" t="s">
        <v>12</v>
      </c>
      <c r="B150" s="53" t="s">
        <v>13</v>
      </c>
      <c r="C150" s="53" t="s">
        <v>14</v>
      </c>
      <c r="D150" s="53" t="s">
        <v>1406</v>
      </c>
      <c r="E150" s="69">
        <v>645602010014653</v>
      </c>
      <c r="F150" s="53" t="s">
        <v>1407</v>
      </c>
      <c r="G150" s="53">
        <v>5450</v>
      </c>
      <c r="H150" s="62">
        <v>46015</v>
      </c>
      <c r="I150" s="53" t="s">
        <v>903</v>
      </c>
      <c r="J150" s="53" t="s">
        <v>904</v>
      </c>
      <c r="K150" s="53">
        <v>352505925</v>
      </c>
      <c r="L150" s="53">
        <v>8084480157</v>
      </c>
      <c r="M150" s="55" t="s">
        <v>1490</v>
      </c>
    </row>
    <row r="151" spans="1:13" hidden="1" x14ac:dyDescent="0.25">
      <c r="A151" s="53" t="s">
        <v>12</v>
      </c>
      <c r="B151" s="53" t="s">
        <v>13</v>
      </c>
      <c r="C151" s="53" t="s">
        <v>14</v>
      </c>
      <c r="D151" s="53" t="s">
        <v>48</v>
      </c>
      <c r="E151" s="53" t="s">
        <v>49</v>
      </c>
      <c r="F151" s="53" t="s">
        <v>50</v>
      </c>
      <c r="G151" s="53">
        <v>7700</v>
      </c>
      <c r="H151" s="62">
        <v>46015</v>
      </c>
      <c r="I151" s="53" t="s">
        <v>572</v>
      </c>
      <c r="J151" s="53" t="s">
        <v>34</v>
      </c>
      <c r="K151" s="53">
        <v>352505921</v>
      </c>
      <c r="L151" s="53">
        <v>8520078561</v>
      </c>
      <c r="M151" s="55" t="s">
        <v>1491</v>
      </c>
    </row>
    <row r="152" spans="1:13" hidden="1" x14ac:dyDescent="0.25">
      <c r="A152" s="53" t="s">
        <v>12</v>
      </c>
      <c r="B152" s="53" t="s">
        <v>13</v>
      </c>
      <c r="C152" s="53" t="s">
        <v>14</v>
      </c>
      <c r="D152" s="53" t="s">
        <v>108</v>
      </c>
      <c r="E152" s="53" t="s">
        <v>109</v>
      </c>
      <c r="F152" s="53" t="s">
        <v>110</v>
      </c>
      <c r="G152" s="53">
        <v>7500</v>
      </c>
      <c r="H152" s="62">
        <v>46015</v>
      </c>
      <c r="I152" s="61" t="s">
        <v>1483</v>
      </c>
      <c r="J152" s="61" t="s">
        <v>1484</v>
      </c>
      <c r="K152" s="53">
        <v>352505923</v>
      </c>
      <c r="L152" s="53">
        <v>7870570436</v>
      </c>
      <c r="M152" s="55" t="s">
        <v>1492</v>
      </c>
    </row>
    <row r="153" spans="1:13" hidden="1" x14ac:dyDescent="0.25">
      <c r="A153" s="61" t="s">
        <v>12</v>
      </c>
      <c r="B153" s="61" t="s">
        <v>13</v>
      </c>
      <c r="C153" s="61" t="s">
        <v>14</v>
      </c>
      <c r="D153" s="61" t="s">
        <v>149</v>
      </c>
      <c r="E153" s="78">
        <v>50100624324501</v>
      </c>
      <c r="F153" s="61" t="s">
        <v>150</v>
      </c>
      <c r="G153" s="53">
        <v>1000</v>
      </c>
      <c r="H153" s="62">
        <v>46016</v>
      </c>
      <c r="I153" s="61" t="s">
        <v>741</v>
      </c>
      <c r="J153" s="61" t="s">
        <v>22</v>
      </c>
      <c r="K153" s="53">
        <v>352505878</v>
      </c>
      <c r="L153" s="61">
        <v>8789141433</v>
      </c>
      <c r="M153" s="55" t="s">
        <v>1500</v>
      </c>
    </row>
    <row r="154" spans="1:13" hidden="1" x14ac:dyDescent="0.25">
      <c r="A154" s="53" t="s">
        <v>12</v>
      </c>
      <c r="B154" s="53" t="s">
        <v>13</v>
      </c>
      <c r="C154" s="53" t="s">
        <v>14</v>
      </c>
      <c r="D154" s="53" t="s">
        <v>993</v>
      </c>
      <c r="E154" s="69">
        <v>50100683547664</v>
      </c>
      <c r="F154" s="60" t="s">
        <v>994</v>
      </c>
      <c r="G154" s="53">
        <v>2000</v>
      </c>
      <c r="H154" s="62">
        <v>46016</v>
      </c>
      <c r="I154" s="61" t="s">
        <v>593</v>
      </c>
      <c r="J154" s="61" t="s">
        <v>76</v>
      </c>
      <c r="K154" s="53">
        <v>352505820</v>
      </c>
      <c r="L154" s="60">
        <v>8093441726</v>
      </c>
      <c r="M154" s="55" t="s">
        <v>1501</v>
      </c>
    </row>
    <row r="155" spans="1:13" hidden="1" x14ac:dyDescent="0.25">
      <c r="A155" s="53" t="s">
        <v>12</v>
      </c>
      <c r="B155" s="53" t="s">
        <v>13</v>
      </c>
      <c r="C155" s="53" t="s">
        <v>14</v>
      </c>
      <c r="D155" s="53" t="s">
        <v>36</v>
      </c>
      <c r="E155" s="53" t="s">
        <v>37</v>
      </c>
      <c r="F155" s="53" t="s">
        <v>38</v>
      </c>
      <c r="G155" s="53">
        <v>7500</v>
      </c>
      <c r="H155" s="62">
        <v>46016</v>
      </c>
      <c r="I155" s="53" t="s">
        <v>902</v>
      </c>
      <c r="J155" s="53" t="s">
        <v>901</v>
      </c>
      <c r="K155" s="53">
        <v>352505901</v>
      </c>
      <c r="L155" s="53">
        <v>9358936441</v>
      </c>
      <c r="M155" s="55" t="s">
        <v>1493</v>
      </c>
    </row>
    <row r="156" spans="1:13" hidden="1" x14ac:dyDescent="0.25">
      <c r="A156" s="61" t="s">
        <v>12</v>
      </c>
      <c r="B156" s="61" t="s">
        <v>13</v>
      </c>
      <c r="C156" s="61" t="s">
        <v>14</v>
      </c>
      <c r="D156" s="61" t="s">
        <v>149</v>
      </c>
      <c r="E156" s="78">
        <v>50100624324501</v>
      </c>
      <c r="F156" s="61" t="s">
        <v>150</v>
      </c>
      <c r="G156" s="53">
        <v>5450</v>
      </c>
      <c r="H156" s="62">
        <v>46016</v>
      </c>
      <c r="I156" s="61" t="s">
        <v>1494</v>
      </c>
      <c r="J156" s="61" t="s">
        <v>1495</v>
      </c>
      <c r="K156" s="53"/>
      <c r="L156" s="61">
        <v>8789141433</v>
      </c>
      <c r="M156" s="55" t="s">
        <v>1496</v>
      </c>
    </row>
    <row r="157" spans="1:13" hidden="1" x14ac:dyDescent="0.25">
      <c r="A157" s="53" t="s">
        <v>12</v>
      </c>
      <c r="B157" s="53" t="s">
        <v>13</v>
      </c>
      <c r="C157" s="53" t="s">
        <v>14</v>
      </c>
      <c r="D157" s="53" t="s">
        <v>993</v>
      </c>
      <c r="E157" s="69">
        <v>50100683547664</v>
      </c>
      <c r="F157" s="60" t="s">
        <v>994</v>
      </c>
      <c r="G157" s="53">
        <v>3500</v>
      </c>
      <c r="H157" s="62">
        <v>46016</v>
      </c>
      <c r="I157" s="61" t="s">
        <v>1497</v>
      </c>
      <c r="J157" s="61" t="s">
        <v>1498</v>
      </c>
      <c r="K157" s="53"/>
      <c r="L157" s="60">
        <v>8093441726</v>
      </c>
      <c r="M157" s="55" t="s">
        <v>1499</v>
      </c>
    </row>
    <row r="158" spans="1:13" hidden="1" x14ac:dyDescent="0.25">
      <c r="A158" s="53" t="s">
        <v>12</v>
      </c>
      <c r="B158" s="53" t="s">
        <v>13</v>
      </c>
      <c r="C158" s="53" t="s">
        <v>14</v>
      </c>
      <c r="D158" s="53" t="s">
        <v>343</v>
      </c>
      <c r="E158" s="54">
        <v>37223550583</v>
      </c>
      <c r="F158" s="53" t="s">
        <v>33</v>
      </c>
      <c r="G158" s="53">
        <v>5450</v>
      </c>
      <c r="H158" s="62">
        <v>46016</v>
      </c>
      <c r="I158" s="61" t="s">
        <v>895</v>
      </c>
      <c r="J158" s="61" t="s">
        <v>896</v>
      </c>
      <c r="K158" s="53">
        <v>352505927</v>
      </c>
      <c r="L158" s="53">
        <v>9031258705</v>
      </c>
      <c r="M158" s="55" t="s">
        <v>1496</v>
      </c>
    </row>
    <row r="159" spans="1:13" hidden="1" x14ac:dyDescent="0.25">
      <c r="A159" s="53" t="s">
        <v>12</v>
      </c>
      <c r="B159" s="53" t="s">
        <v>13</v>
      </c>
      <c r="C159" s="53" t="s">
        <v>14</v>
      </c>
      <c r="D159" s="53" t="s">
        <v>152</v>
      </c>
      <c r="E159" s="53" t="s">
        <v>153</v>
      </c>
      <c r="F159" s="60" t="s">
        <v>154</v>
      </c>
      <c r="G159" s="53">
        <v>5450</v>
      </c>
      <c r="H159" s="62">
        <v>46016</v>
      </c>
      <c r="I159" s="61" t="s">
        <v>1485</v>
      </c>
      <c r="J159" s="61" t="s">
        <v>1486</v>
      </c>
      <c r="K159" s="53">
        <v>352505922</v>
      </c>
      <c r="L159" s="60">
        <v>8084080392</v>
      </c>
      <c r="M159" s="55" t="s">
        <v>1490</v>
      </c>
    </row>
    <row r="160" spans="1:13" hidden="1" x14ac:dyDescent="0.25">
      <c r="A160" s="53" t="s">
        <v>12</v>
      </c>
      <c r="B160" s="53" t="s">
        <v>13</v>
      </c>
      <c r="C160" s="53" t="s">
        <v>14</v>
      </c>
      <c r="D160" s="53" t="s">
        <v>1406</v>
      </c>
      <c r="E160" s="69">
        <v>645602010014653</v>
      </c>
      <c r="F160" s="53" t="s">
        <v>1407</v>
      </c>
      <c r="G160" s="53">
        <v>5100</v>
      </c>
      <c r="H160" s="62">
        <v>46016</v>
      </c>
      <c r="I160" s="53" t="s">
        <v>903</v>
      </c>
      <c r="J160" s="53" t="s">
        <v>904</v>
      </c>
      <c r="K160" s="53">
        <v>352505898</v>
      </c>
      <c r="L160" s="53">
        <v>8084480157</v>
      </c>
      <c r="M160" s="55" t="s">
        <v>1502</v>
      </c>
    </row>
    <row r="161" spans="1:13" hidden="1" x14ac:dyDescent="0.25">
      <c r="A161" s="53" t="s">
        <v>12</v>
      </c>
      <c r="B161" s="53" t="s">
        <v>13</v>
      </c>
      <c r="C161" s="53" t="s">
        <v>14</v>
      </c>
      <c r="D161" s="53" t="s">
        <v>152</v>
      </c>
      <c r="E161" s="53" t="s">
        <v>153</v>
      </c>
      <c r="F161" s="60" t="s">
        <v>154</v>
      </c>
      <c r="G161" s="53">
        <v>5100</v>
      </c>
      <c r="H161" s="62">
        <v>46016</v>
      </c>
      <c r="I161" s="61" t="s">
        <v>1485</v>
      </c>
      <c r="J161" s="61" t="s">
        <v>1486</v>
      </c>
      <c r="K161" s="53">
        <v>352505922</v>
      </c>
      <c r="L161" s="60">
        <v>8084080392</v>
      </c>
      <c r="M161" s="55" t="s">
        <v>1502</v>
      </c>
    </row>
    <row r="162" spans="1:13" hidden="1" x14ac:dyDescent="0.25">
      <c r="A162" s="53" t="s">
        <v>12</v>
      </c>
      <c r="B162" s="53" t="s">
        <v>13</v>
      </c>
      <c r="C162" s="53" t="s">
        <v>14</v>
      </c>
      <c r="D162" s="53" t="s">
        <v>144</v>
      </c>
      <c r="E162" s="53">
        <v>44182579159</v>
      </c>
      <c r="F162" s="53" t="s">
        <v>145</v>
      </c>
      <c r="G162" s="53">
        <v>4300</v>
      </c>
      <c r="H162" s="62">
        <v>46016</v>
      </c>
      <c r="I162" s="53" t="s">
        <v>652</v>
      </c>
      <c r="J162" s="53" t="s">
        <v>147</v>
      </c>
      <c r="K162" s="53">
        <v>352505929</v>
      </c>
      <c r="L162" s="53">
        <v>7765824237</v>
      </c>
      <c r="M162" s="55" t="s">
        <v>1503</v>
      </c>
    </row>
    <row r="163" spans="1:13" hidden="1" x14ac:dyDescent="0.25">
      <c r="A163" s="61" t="s">
        <v>12</v>
      </c>
      <c r="B163" s="61" t="s">
        <v>13</v>
      </c>
      <c r="C163" s="61" t="s">
        <v>14</v>
      </c>
      <c r="D163" s="61" t="s">
        <v>149</v>
      </c>
      <c r="E163" s="78">
        <v>50100624324501</v>
      </c>
      <c r="F163" s="61" t="s">
        <v>150</v>
      </c>
      <c r="G163" s="53">
        <v>1500</v>
      </c>
      <c r="H163" s="62">
        <v>46017</v>
      </c>
      <c r="I163" s="61" t="s">
        <v>1494</v>
      </c>
      <c r="J163" s="61" t="s">
        <v>1495</v>
      </c>
      <c r="K163" s="53">
        <v>352505968</v>
      </c>
      <c r="L163" s="61">
        <v>8789141433</v>
      </c>
      <c r="M163" s="55" t="s">
        <v>1504</v>
      </c>
    </row>
    <row r="164" spans="1:13" hidden="1" x14ac:dyDescent="0.25">
      <c r="A164" s="53" t="s">
        <v>12</v>
      </c>
      <c r="B164" s="53" t="s">
        <v>13</v>
      </c>
      <c r="C164" s="53" t="s">
        <v>14</v>
      </c>
      <c r="D164" s="53" t="s">
        <v>993</v>
      </c>
      <c r="E164" s="69">
        <v>50100683547664</v>
      </c>
      <c r="F164" s="60" t="s">
        <v>994</v>
      </c>
      <c r="G164" s="53">
        <v>1500</v>
      </c>
      <c r="H164" s="62">
        <v>46017</v>
      </c>
      <c r="I164" s="61" t="s">
        <v>1497</v>
      </c>
      <c r="J164" s="61" t="s">
        <v>1498</v>
      </c>
      <c r="K164" s="53">
        <v>352505967</v>
      </c>
      <c r="L164" s="60">
        <v>8093441726</v>
      </c>
      <c r="M164" s="55" t="s">
        <v>1504</v>
      </c>
    </row>
    <row r="165" spans="1:13" hidden="1" x14ac:dyDescent="0.25">
      <c r="A165" s="61" t="s">
        <v>12</v>
      </c>
      <c r="B165" s="61" t="s">
        <v>13</v>
      </c>
      <c r="C165" s="61" t="s">
        <v>14</v>
      </c>
      <c r="D165" s="61" t="s">
        <v>149</v>
      </c>
      <c r="E165" s="78">
        <v>50100624324501</v>
      </c>
      <c r="F165" s="61" t="s">
        <v>150</v>
      </c>
      <c r="G165" s="53">
        <v>4500</v>
      </c>
      <c r="H165" s="62">
        <v>46017</v>
      </c>
      <c r="I165" s="61" t="s">
        <v>1494</v>
      </c>
      <c r="J165" s="61" t="s">
        <v>1495</v>
      </c>
      <c r="K165" s="53">
        <v>352505968</v>
      </c>
      <c r="L165" s="61">
        <v>8789141433</v>
      </c>
      <c r="M165" s="61" t="s">
        <v>1505</v>
      </c>
    </row>
    <row r="166" spans="1:13" hidden="1" x14ac:dyDescent="0.25">
      <c r="A166" s="53" t="s">
        <v>12</v>
      </c>
      <c r="B166" s="53" t="s">
        <v>13</v>
      </c>
      <c r="C166" s="53" t="s">
        <v>14</v>
      </c>
      <c r="D166" s="53" t="s">
        <v>993</v>
      </c>
      <c r="E166" s="69">
        <v>50100683547664</v>
      </c>
      <c r="F166" s="60" t="s">
        <v>994</v>
      </c>
      <c r="G166" s="53">
        <v>4500</v>
      </c>
      <c r="H166" s="62">
        <v>46017</v>
      </c>
      <c r="I166" s="61" t="s">
        <v>1497</v>
      </c>
      <c r="J166" s="61" t="s">
        <v>1498</v>
      </c>
      <c r="K166" s="53">
        <v>352505967</v>
      </c>
      <c r="L166" s="60">
        <v>8093441726</v>
      </c>
      <c r="M166" s="61" t="s">
        <v>1505</v>
      </c>
    </row>
    <row r="167" spans="1:13" hidden="1" x14ac:dyDescent="0.25">
      <c r="A167" s="53" t="s">
        <v>12</v>
      </c>
      <c r="B167" s="53" t="s">
        <v>13</v>
      </c>
      <c r="C167" s="53" t="s">
        <v>14</v>
      </c>
      <c r="D167" s="53" t="s">
        <v>343</v>
      </c>
      <c r="E167" s="54">
        <v>37223550583</v>
      </c>
      <c r="F167" s="53" t="s">
        <v>33</v>
      </c>
      <c r="G167" s="53">
        <v>7500</v>
      </c>
      <c r="H167" s="62">
        <v>46017</v>
      </c>
      <c r="I167" s="61" t="s">
        <v>895</v>
      </c>
      <c r="J167" s="61" t="s">
        <v>896</v>
      </c>
      <c r="K167" s="53">
        <v>352505966</v>
      </c>
      <c r="L167" s="53">
        <v>9031258705</v>
      </c>
      <c r="M167" s="55" t="s">
        <v>1506</v>
      </c>
    </row>
    <row r="168" spans="1:13" hidden="1" x14ac:dyDescent="0.25">
      <c r="A168" s="53" t="s">
        <v>12</v>
      </c>
      <c r="B168" s="53" t="s">
        <v>13</v>
      </c>
      <c r="C168" s="53" t="s">
        <v>14</v>
      </c>
      <c r="D168" s="53" t="s">
        <v>36</v>
      </c>
      <c r="E168" s="53" t="s">
        <v>37</v>
      </c>
      <c r="F168" s="53" t="s">
        <v>38</v>
      </c>
      <c r="G168" s="53">
        <v>1000</v>
      </c>
      <c r="H168" s="62">
        <v>46018</v>
      </c>
      <c r="I168" s="53" t="s">
        <v>902</v>
      </c>
      <c r="J168" s="53" t="s">
        <v>901</v>
      </c>
      <c r="K168" s="53">
        <v>352505977</v>
      </c>
      <c r="L168" s="53">
        <v>9358936441</v>
      </c>
      <c r="M168" s="55" t="s">
        <v>1507</v>
      </c>
    </row>
    <row r="169" spans="1:13" hidden="1" x14ac:dyDescent="0.25">
      <c r="A169" s="53" t="s">
        <v>12</v>
      </c>
      <c r="B169" s="53" t="s">
        <v>13</v>
      </c>
      <c r="C169" s="53" t="s">
        <v>14</v>
      </c>
      <c r="D169" s="53" t="s">
        <v>108</v>
      </c>
      <c r="E169" s="53" t="s">
        <v>109</v>
      </c>
      <c r="F169" s="53" t="s">
        <v>110</v>
      </c>
      <c r="G169" s="53">
        <v>1000</v>
      </c>
      <c r="H169" s="62">
        <v>46018</v>
      </c>
      <c r="I169" s="61" t="s">
        <v>1483</v>
      </c>
      <c r="J169" s="61" t="s">
        <v>1484</v>
      </c>
      <c r="K169" s="53">
        <v>352505976</v>
      </c>
      <c r="L169" s="53">
        <v>7870570436</v>
      </c>
      <c r="M169" s="55" t="s">
        <v>1507</v>
      </c>
    </row>
    <row r="170" spans="1:13" hidden="1" x14ac:dyDescent="0.25">
      <c r="A170" s="53" t="s">
        <v>12</v>
      </c>
      <c r="B170" s="53" t="s">
        <v>13</v>
      </c>
      <c r="C170" s="53" t="s">
        <v>14</v>
      </c>
      <c r="D170" s="53" t="s">
        <v>152</v>
      </c>
      <c r="E170" s="53" t="s">
        <v>153</v>
      </c>
      <c r="F170" s="60" t="s">
        <v>154</v>
      </c>
      <c r="G170" s="53">
        <v>3500</v>
      </c>
      <c r="H170" s="62">
        <v>46018</v>
      </c>
      <c r="I170" s="61" t="s">
        <v>1485</v>
      </c>
      <c r="J170" s="61" t="s">
        <v>1486</v>
      </c>
      <c r="K170" s="53">
        <v>352505979</v>
      </c>
      <c r="L170" s="60">
        <v>8084080392</v>
      </c>
      <c r="M170" s="55" t="s">
        <v>1508</v>
      </c>
    </row>
    <row r="171" spans="1:13" hidden="1" x14ac:dyDescent="0.25">
      <c r="A171" s="53" t="s">
        <v>12</v>
      </c>
      <c r="B171" s="53" t="s">
        <v>13</v>
      </c>
      <c r="C171" s="53" t="s">
        <v>14</v>
      </c>
      <c r="D171" s="53" t="s">
        <v>1406</v>
      </c>
      <c r="E171" s="69">
        <v>645602010014653</v>
      </c>
      <c r="F171" s="53" t="s">
        <v>1407</v>
      </c>
      <c r="G171" s="53">
        <v>3500</v>
      </c>
      <c r="H171" s="62">
        <v>46018</v>
      </c>
      <c r="I171" s="53" t="s">
        <v>903</v>
      </c>
      <c r="J171" s="53" t="s">
        <v>904</v>
      </c>
      <c r="K171" s="53">
        <v>352505978</v>
      </c>
      <c r="L171" s="53">
        <v>8084480157</v>
      </c>
      <c r="M171" s="55" t="s">
        <v>1508</v>
      </c>
    </row>
    <row r="172" spans="1:13" hidden="1" x14ac:dyDescent="0.25">
      <c r="A172" s="53" t="s">
        <v>12</v>
      </c>
      <c r="B172" s="53" t="s">
        <v>13</v>
      </c>
      <c r="C172" s="53" t="s">
        <v>14</v>
      </c>
      <c r="D172" s="53" t="s">
        <v>36</v>
      </c>
      <c r="E172" s="53" t="s">
        <v>37</v>
      </c>
      <c r="F172" s="53" t="s">
        <v>38</v>
      </c>
      <c r="G172" s="53">
        <v>7500</v>
      </c>
      <c r="H172" s="62">
        <v>46018</v>
      </c>
      <c r="I172" s="53" t="s">
        <v>902</v>
      </c>
      <c r="J172" s="53" t="s">
        <v>901</v>
      </c>
      <c r="K172" s="53">
        <v>352505977</v>
      </c>
      <c r="L172" s="53">
        <v>9358936441</v>
      </c>
      <c r="M172" s="55" t="s">
        <v>1509</v>
      </c>
    </row>
    <row r="173" spans="1:13" hidden="1" x14ac:dyDescent="0.25">
      <c r="A173" s="61" t="s">
        <v>12</v>
      </c>
      <c r="B173" s="61" t="s">
        <v>13</v>
      </c>
      <c r="C173" s="61" t="s">
        <v>14</v>
      </c>
      <c r="D173" s="61" t="s">
        <v>149</v>
      </c>
      <c r="E173" s="78">
        <v>50100624324501</v>
      </c>
      <c r="F173" s="61" t="s">
        <v>150</v>
      </c>
      <c r="G173" s="53">
        <v>5000</v>
      </c>
      <c r="H173" s="62">
        <v>46018</v>
      </c>
      <c r="I173" s="61" t="s">
        <v>1513</v>
      </c>
      <c r="J173" s="61" t="s">
        <v>1495</v>
      </c>
      <c r="K173" s="53">
        <v>352505987</v>
      </c>
      <c r="L173" s="61">
        <v>8789141433</v>
      </c>
      <c r="M173" s="55" t="s">
        <v>1510</v>
      </c>
    </row>
    <row r="174" spans="1:13" hidden="1" x14ac:dyDescent="0.25">
      <c r="A174" s="61" t="s">
        <v>12</v>
      </c>
      <c r="B174" s="61" t="s">
        <v>13</v>
      </c>
      <c r="C174" s="61" t="s">
        <v>14</v>
      </c>
      <c r="D174" s="61" t="s">
        <v>149</v>
      </c>
      <c r="E174" s="78">
        <v>50100624324501</v>
      </c>
      <c r="F174" s="61" t="s">
        <v>150</v>
      </c>
      <c r="G174" s="53">
        <f>1000+200</f>
        <v>1200</v>
      </c>
      <c r="H174" s="62">
        <v>46019</v>
      </c>
      <c r="I174" s="61" t="s">
        <v>1513</v>
      </c>
      <c r="J174" s="61" t="s">
        <v>1495</v>
      </c>
      <c r="K174" s="53">
        <v>352505987</v>
      </c>
      <c r="L174" s="61">
        <v>8789141433</v>
      </c>
      <c r="M174" s="55" t="s">
        <v>1511</v>
      </c>
    </row>
    <row r="175" spans="1:13" hidden="1" x14ac:dyDescent="0.25">
      <c r="A175" s="53" t="s">
        <v>12</v>
      </c>
      <c r="B175" s="53" t="s">
        <v>13</v>
      </c>
      <c r="C175" s="53" t="s">
        <v>14</v>
      </c>
      <c r="D175" s="53" t="s">
        <v>993</v>
      </c>
      <c r="E175" s="69">
        <v>50100683547664</v>
      </c>
      <c r="F175" s="60" t="s">
        <v>994</v>
      </c>
      <c r="G175" s="53">
        <v>5000</v>
      </c>
      <c r="H175" s="62">
        <v>46019</v>
      </c>
      <c r="I175" s="61" t="s">
        <v>1497</v>
      </c>
      <c r="J175" s="61" t="s">
        <v>1498</v>
      </c>
      <c r="K175" s="53">
        <v>352505986</v>
      </c>
      <c r="L175" s="60">
        <v>8093441726</v>
      </c>
      <c r="M175" s="55" t="s">
        <v>1512</v>
      </c>
    </row>
    <row r="176" spans="1:13" hidden="1" x14ac:dyDescent="0.25">
      <c r="A176" s="53" t="s">
        <v>12</v>
      </c>
      <c r="B176" s="53" t="s">
        <v>13</v>
      </c>
      <c r="C176" s="53" t="s">
        <v>14</v>
      </c>
      <c r="D176" s="53" t="s">
        <v>343</v>
      </c>
      <c r="E176" s="54">
        <v>37223550583</v>
      </c>
      <c r="F176" s="53" t="s">
        <v>33</v>
      </c>
      <c r="G176" s="53">
        <v>1000</v>
      </c>
      <c r="H176" s="62">
        <v>46019</v>
      </c>
      <c r="I176" s="61" t="s">
        <v>895</v>
      </c>
      <c r="J176" s="61" t="s">
        <v>896</v>
      </c>
      <c r="K176" s="53">
        <v>352505998</v>
      </c>
      <c r="L176" s="53">
        <v>9031258705</v>
      </c>
      <c r="M176" s="55" t="s">
        <v>1514</v>
      </c>
    </row>
    <row r="177" spans="1:13" hidden="1" x14ac:dyDescent="0.25">
      <c r="A177" s="61" t="s">
        <v>12</v>
      </c>
      <c r="B177" s="61" t="s">
        <v>13</v>
      </c>
      <c r="C177" s="61" t="s">
        <v>14</v>
      </c>
      <c r="D177" s="61" t="s">
        <v>149</v>
      </c>
      <c r="E177" s="78">
        <v>50100624324501</v>
      </c>
      <c r="F177" s="61" t="s">
        <v>150</v>
      </c>
      <c r="G177" s="53">
        <v>2600</v>
      </c>
      <c r="H177" s="62">
        <v>46020</v>
      </c>
      <c r="I177" s="61" t="s">
        <v>1513</v>
      </c>
      <c r="J177" s="61" t="s">
        <v>1495</v>
      </c>
      <c r="K177" s="53">
        <v>352505987</v>
      </c>
      <c r="L177" s="61">
        <v>8789141433</v>
      </c>
      <c r="M177" s="55" t="s">
        <v>1516</v>
      </c>
    </row>
    <row r="178" spans="1:13" hidden="1" x14ac:dyDescent="0.25">
      <c r="A178" s="61" t="s">
        <v>12</v>
      </c>
      <c r="B178" s="61" t="s">
        <v>13</v>
      </c>
      <c r="C178" s="61" t="s">
        <v>14</v>
      </c>
      <c r="D178" s="61" t="s">
        <v>149</v>
      </c>
      <c r="E178" s="78">
        <v>50100624324501</v>
      </c>
      <c r="F178" s="61" t="s">
        <v>150</v>
      </c>
      <c r="G178" s="53">
        <v>500</v>
      </c>
      <c r="H178" s="62">
        <v>46020</v>
      </c>
      <c r="I178" s="61" t="s">
        <v>1513</v>
      </c>
      <c r="J178" s="61" t="s">
        <v>1495</v>
      </c>
      <c r="K178" s="53">
        <v>352505987</v>
      </c>
      <c r="L178" s="61">
        <v>8789141433</v>
      </c>
      <c r="M178" s="55" t="s">
        <v>1522</v>
      </c>
    </row>
    <row r="179" spans="1:13" hidden="1" x14ac:dyDescent="0.25">
      <c r="A179" s="53" t="s">
        <v>12</v>
      </c>
      <c r="B179" s="53" t="s">
        <v>13</v>
      </c>
      <c r="C179" s="53" t="s">
        <v>14</v>
      </c>
      <c r="D179" s="53" t="s">
        <v>993</v>
      </c>
      <c r="E179" s="69">
        <v>50100683547664</v>
      </c>
      <c r="F179" s="60" t="s">
        <v>994</v>
      </c>
      <c r="G179" s="53">
        <v>2300</v>
      </c>
      <c r="H179" s="62">
        <v>46020</v>
      </c>
      <c r="I179" s="61" t="s">
        <v>1497</v>
      </c>
      <c r="J179" s="61" t="s">
        <v>1498</v>
      </c>
      <c r="K179" s="53">
        <v>352505986</v>
      </c>
      <c r="L179" s="60">
        <v>8093441726</v>
      </c>
      <c r="M179" s="55" t="s">
        <v>1515</v>
      </c>
    </row>
    <row r="180" spans="1:13" hidden="1" x14ac:dyDescent="0.25">
      <c r="A180" s="53" t="s">
        <v>12</v>
      </c>
      <c r="B180" s="53" t="s">
        <v>13</v>
      </c>
      <c r="C180" s="53" t="s">
        <v>14</v>
      </c>
      <c r="D180" s="53" t="s">
        <v>152</v>
      </c>
      <c r="E180" s="53" t="s">
        <v>153</v>
      </c>
      <c r="F180" s="60" t="s">
        <v>154</v>
      </c>
      <c r="G180" s="53">
        <v>2000</v>
      </c>
      <c r="H180" s="62">
        <v>46020</v>
      </c>
      <c r="I180" s="61" t="s">
        <v>1485</v>
      </c>
      <c r="J180" s="61" t="s">
        <v>1486</v>
      </c>
      <c r="K180" s="53">
        <v>352506015</v>
      </c>
      <c r="L180" s="60">
        <v>8084080392</v>
      </c>
      <c r="M180" s="55" t="s">
        <v>1517</v>
      </c>
    </row>
    <row r="181" spans="1:13" hidden="1" x14ac:dyDescent="0.25">
      <c r="A181" s="53" t="s">
        <v>12</v>
      </c>
      <c r="B181" s="53" t="s">
        <v>13</v>
      </c>
      <c r="C181" s="53" t="s">
        <v>14</v>
      </c>
      <c r="D181" s="53" t="s">
        <v>1406</v>
      </c>
      <c r="E181" s="69">
        <v>645602010014653</v>
      </c>
      <c r="F181" s="53" t="s">
        <v>1407</v>
      </c>
      <c r="G181" s="53">
        <v>5000</v>
      </c>
      <c r="H181" s="62">
        <v>46020</v>
      </c>
      <c r="I181" s="53" t="s">
        <v>903</v>
      </c>
      <c r="J181" s="53" t="s">
        <v>904</v>
      </c>
      <c r="K181" s="53">
        <v>352506016</v>
      </c>
      <c r="L181" s="53">
        <v>8084480157</v>
      </c>
      <c r="M181" s="55" t="s">
        <v>1518</v>
      </c>
    </row>
    <row r="182" spans="1:13" hidden="1" x14ac:dyDescent="0.25">
      <c r="A182" s="53" t="s">
        <v>12</v>
      </c>
      <c r="B182" s="53" t="s">
        <v>13</v>
      </c>
      <c r="C182" s="53" t="s">
        <v>14</v>
      </c>
      <c r="D182" s="53" t="s">
        <v>48</v>
      </c>
      <c r="E182" s="53" t="s">
        <v>49</v>
      </c>
      <c r="F182" s="53" t="s">
        <v>50</v>
      </c>
      <c r="G182" s="53">
        <v>7500</v>
      </c>
      <c r="H182" s="62">
        <v>46020</v>
      </c>
      <c r="I182" s="53" t="s">
        <v>1519</v>
      </c>
      <c r="J182" s="53" t="s">
        <v>1520</v>
      </c>
      <c r="K182" s="53"/>
      <c r="L182" s="53">
        <v>8520078561</v>
      </c>
      <c r="M182" s="55" t="s">
        <v>1521</v>
      </c>
    </row>
    <row r="183" spans="1:13" hidden="1" x14ac:dyDescent="0.25">
      <c r="A183" s="53" t="s">
        <v>12</v>
      </c>
      <c r="B183" s="53" t="s">
        <v>13</v>
      </c>
      <c r="C183" s="53" t="s">
        <v>14</v>
      </c>
      <c r="D183" s="53" t="s">
        <v>144</v>
      </c>
      <c r="E183" s="53">
        <v>44182579159</v>
      </c>
      <c r="F183" s="53" t="s">
        <v>145</v>
      </c>
      <c r="G183" s="53">
        <v>6100</v>
      </c>
      <c r="H183" s="62">
        <v>46020</v>
      </c>
      <c r="I183" s="53" t="s">
        <v>652</v>
      </c>
      <c r="J183" s="53" t="s">
        <v>147</v>
      </c>
      <c r="K183" s="53">
        <v>352505929</v>
      </c>
      <c r="L183" s="53">
        <v>7765824237</v>
      </c>
      <c r="M183" s="55" t="s">
        <v>1523</v>
      </c>
    </row>
    <row r="184" spans="1:13" hidden="1" x14ac:dyDescent="0.25">
      <c r="A184" s="53" t="s">
        <v>12</v>
      </c>
      <c r="B184" s="53" t="s">
        <v>13</v>
      </c>
      <c r="C184" s="53" t="s">
        <v>14</v>
      </c>
      <c r="D184" s="53" t="s">
        <v>36</v>
      </c>
      <c r="E184" s="53" t="s">
        <v>37</v>
      </c>
      <c r="F184" s="53" t="s">
        <v>38</v>
      </c>
      <c r="G184" s="53">
        <f>500+200</f>
        <v>700</v>
      </c>
      <c r="H184" s="62">
        <v>46021</v>
      </c>
      <c r="I184" s="53" t="s">
        <v>902</v>
      </c>
      <c r="J184" s="53" t="s">
        <v>901</v>
      </c>
      <c r="K184" s="53">
        <v>352506012</v>
      </c>
      <c r="L184" s="53">
        <v>9358936441</v>
      </c>
      <c r="M184" s="55" t="s">
        <v>1524</v>
      </c>
    </row>
    <row r="185" spans="1:13" hidden="1" x14ac:dyDescent="0.25">
      <c r="A185" s="53" t="s">
        <v>12</v>
      </c>
      <c r="B185" s="53" t="s">
        <v>13</v>
      </c>
      <c r="C185" s="53" t="s">
        <v>14</v>
      </c>
      <c r="D185" s="53" t="s">
        <v>108</v>
      </c>
      <c r="E185" s="53" t="s">
        <v>109</v>
      </c>
      <c r="F185" s="53" t="s">
        <v>110</v>
      </c>
      <c r="G185" s="53">
        <v>200</v>
      </c>
      <c r="H185" s="62">
        <v>46021</v>
      </c>
      <c r="I185" s="61" t="s">
        <v>1483</v>
      </c>
      <c r="J185" s="61" t="s">
        <v>1484</v>
      </c>
      <c r="K185" s="53">
        <v>352506036</v>
      </c>
      <c r="L185" s="53">
        <v>7870570436</v>
      </c>
      <c r="M185" s="55" t="s">
        <v>1526</v>
      </c>
    </row>
    <row r="186" spans="1:13" hidden="1" x14ac:dyDescent="0.25">
      <c r="A186" s="53" t="s">
        <v>12</v>
      </c>
      <c r="B186" s="53" t="s">
        <v>13</v>
      </c>
      <c r="C186" s="53" t="s">
        <v>14</v>
      </c>
      <c r="D186" s="53" t="s">
        <v>144</v>
      </c>
      <c r="E186" s="53">
        <v>44182579159</v>
      </c>
      <c r="F186" s="53" t="s">
        <v>145</v>
      </c>
      <c r="G186" s="53">
        <v>1000</v>
      </c>
      <c r="H186" s="62">
        <v>46021</v>
      </c>
      <c r="I186" s="53" t="s">
        <v>652</v>
      </c>
      <c r="J186" s="53" t="s">
        <v>147</v>
      </c>
      <c r="K186" s="53">
        <v>352506018</v>
      </c>
      <c r="L186" s="53">
        <v>7765824237</v>
      </c>
      <c r="M186" s="55" t="s">
        <v>1525</v>
      </c>
    </row>
    <row r="187" spans="1:13" hidden="1" x14ac:dyDescent="0.25">
      <c r="A187" s="53" t="s">
        <v>12</v>
      </c>
      <c r="B187" s="53" t="s">
        <v>13</v>
      </c>
      <c r="C187" s="53" t="s">
        <v>14</v>
      </c>
      <c r="D187" s="53" t="s">
        <v>343</v>
      </c>
      <c r="E187" s="54">
        <v>37223550583</v>
      </c>
      <c r="F187" s="53" t="s">
        <v>33</v>
      </c>
      <c r="G187" s="53">
        <v>5500</v>
      </c>
      <c r="H187" s="62">
        <v>46021</v>
      </c>
      <c r="I187" s="61" t="s">
        <v>895</v>
      </c>
      <c r="J187" s="61" t="s">
        <v>896</v>
      </c>
      <c r="K187" s="53">
        <v>352505998</v>
      </c>
      <c r="L187" s="53">
        <v>9031258705</v>
      </c>
      <c r="M187" s="55" t="s">
        <v>1527</v>
      </c>
    </row>
    <row r="188" spans="1:13" hidden="1" x14ac:dyDescent="0.25">
      <c r="A188" s="61" t="s">
        <v>12</v>
      </c>
      <c r="B188" s="61" t="s">
        <v>13</v>
      </c>
      <c r="C188" s="61" t="s">
        <v>14</v>
      </c>
      <c r="D188" s="61" t="s">
        <v>149</v>
      </c>
      <c r="E188" s="78">
        <v>50100624324501</v>
      </c>
      <c r="F188" s="61" t="s">
        <v>150</v>
      </c>
      <c r="G188" s="53">
        <v>6400</v>
      </c>
      <c r="H188" s="62">
        <v>46021</v>
      </c>
      <c r="I188" s="61" t="s">
        <v>1513</v>
      </c>
      <c r="J188" s="61" t="s">
        <v>1495</v>
      </c>
      <c r="K188" s="53">
        <v>352506013</v>
      </c>
      <c r="L188" s="61">
        <v>8789141433</v>
      </c>
      <c r="M188" s="55" t="s">
        <v>1529</v>
      </c>
    </row>
    <row r="189" spans="1:13" hidden="1" x14ac:dyDescent="0.25">
      <c r="A189" s="53" t="s">
        <v>12</v>
      </c>
      <c r="B189" s="53" t="s">
        <v>13</v>
      </c>
      <c r="C189" s="53" t="s">
        <v>14</v>
      </c>
      <c r="D189" s="53" t="s">
        <v>144</v>
      </c>
      <c r="E189" s="53">
        <v>44182579159</v>
      </c>
      <c r="F189" s="53" t="s">
        <v>145</v>
      </c>
      <c r="G189" s="53">
        <v>7500</v>
      </c>
      <c r="H189" s="62">
        <v>46021</v>
      </c>
      <c r="I189" s="53" t="s">
        <v>652</v>
      </c>
      <c r="J189" s="53" t="s">
        <v>147</v>
      </c>
      <c r="K189" s="53">
        <v>352506018</v>
      </c>
      <c r="L189" s="53">
        <v>7765824237</v>
      </c>
      <c r="M189" s="55" t="s">
        <v>1528</v>
      </c>
    </row>
    <row r="190" spans="1:13" hidden="1" x14ac:dyDescent="0.25">
      <c r="A190" s="53" t="s">
        <v>12</v>
      </c>
      <c r="B190" s="53" t="s">
        <v>13</v>
      </c>
      <c r="C190" s="53" t="s">
        <v>14</v>
      </c>
      <c r="D190" s="53" t="s">
        <v>343</v>
      </c>
      <c r="E190" s="54">
        <v>37223550583</v>
      </c>
      <c r="F190" s="53" t="s">
        <v>33</v>
      </c>
      <c r="G190" s="53">
        <v>7500</v>
      </c>
      <c r="H190" s="62">
        <v>46021</v>
      </c>
      <c r="I190" s="61" t="s">
        <v>895</v>
      </c>
      <c r="J190" s="61" t="s">
        <v>896</v>
      </c>
      <c r="K190" s="53">
        <v>352506057</v>
      </c>
      <c r="L190" s="53">
        <v>9031258705</v>
      </c>
      <c r="M190" s="55" t="s">
        <v>1530</v>
      </c>
    </row>
    <row r="191" spans="1:13" x14ac:dyDescent="0.25">
      <c r="A191" s="61" t="s">
        <v>12</v>
      </c>
      <c r="B191" s="61" t="s">
        <v>13</v>
      </c>
      <c r="C191" s="61" t="s">
        <v>14</v>
      </c>
      <c r="D191" s="61" t="s">
        <v>31</v>
      </c>
      <c r="E191" s="61" t="s">
        <v>32</v>
      </c>
      <c r="F191" s="61" t="s">
        <v>33</v>
      </c>
      <c r="G191" s="53">
        <v>4300</v>
      </c>
      <c r="H191" s="62">
        <v>46021</v>
      </c>
      <c r="I191" s="61" t="s">
        <v>571</v>
      </c>
      <c r="J191" s="61" t="s">
        <v>59</v>
      </c>
      <c r="K191" s="53">
        <v>352506047</v>
      </c>
      <c r="L191" s="61">
        <v>9347726061</v>
      </c>
      <c r="M191" s="55" t="s">
        <v>1503</v>
      </c>
    </row>
    <row r="192" spans="1:13" hidden="1" x14ac:dyDescent="0.25">
      <c r="A192" s="53" t="s">
        <v>12</v>
      </c>
      <c r="B192" s="53" t="s">
        <v>13</v>
      </c>
      <c r="C192" s="53" t="s">
        <v>14</v>
      </c>
      <c r="D192" s="53" t="s">
        <v>993</v>
      </c>
      <c r="E192" s="69">
        <v>50100683547664</v>
      </c>
      <c r="F192" s="60" t="s">
        <v>994</v>
      </c>
      <c r="G192" s="53">
        <v>400</v>
      </c>
      <c r="H192" s="62">
        <v>46021</v>
      </c>
      <c r="I192" s="61" t="s">
        <v>1497</v>
      </c>
      <c r="J192" s="61" t="s">
        <v>1498</v>
      </c>
      <c r="K192" s="53">
        <v>352505986</v>
      </c>
      <c r="L192" s="60">
        <v>8093441726</v>
      </c>
      <c r="M192" s="55" t="s">
        <v>1531</v>
      </c>
    </row>
    <row r="193" spans="1:13" hidden="1" x14ac:dyDescent="0.25">
      <c r="A193" s="53" t="s">
        <v>12</v>
      </c>
      <c r="B193" s="53" t="s">
        <v>13</v>
      </c>
      <c r="C193" s="53" t="s">
        <v>14</v>
      </c>
      <c r="D193" s="53" t="s">
        <v>108</v>
      </c>
      <c r="E193" s="53" t="s">
        <v>109</v>
      </c>
      <c r="F193" s="53" t="s">
        <v>110</v>
      </c>
      <c r="G193" s="53">
        <v>1500</v>
      </c>
      <c r="H193" s="62">
        <v>46022</v>
      </c>
      <c r="I193" s="61" t="s">
        <v>1483</v>
      </c>
      <c r="J193" s="61" t="s">
        <v>1484</v>
      </c>
      <c r="K193" s="53">
        <v>352506011</v>
      </c>
      <c r="L193" s="53">
        <v>7870570436</v>
      </c>
      <c r="M193" s="55" t="s">
        <v>1532</v>
      </c>
    </row>
    <row r="194" spans="1:13" hidden="1" x14ac:dyDescent="0.25">
      <c r="A194" s="53" t="s">
        <v>12</v>
      </c>
      <c r="B194" s="53" t="s">
        <v>13</v>
      </c>
      <c r="C194" s="53" t="s">
        <v>14</v>
      </c>
      <c r="D194" s="53" t="s">
        <v>36</v>
      </c>
      <c r="E194" s="53" t="s">
        <v>37</v>
      </c>
      <c r="F194" s="53" t="s">
        <v>38</v>
      </c>
      <c r="G194" s="53">
        <v>5700</v>
      </c>
      <c r="H194" s="62">
        <v>46022</v>
      </c>
      <c r="I194" s="53" t="s">
        <v>902</v>
      </c>
      <c r="J194" s="53" t="s">
        <v>901</v>
      </c>
      <c r="K194" s="53">
        <v>352506069</v>
      </c>
      <c r="L194" s="53">
        <v>9358936441</v>
      </c>
      <c r="M194" s="55" t="s">
        <v>1533</v>
      </c>
    </row>
    <row r="195" spans="1:13" hidden="1" x14ac:dyDescent="0.25">
      <c r="A195" s="53" t="s">
        <v>12</v>
      </c>
      <c r="B195" s="53" t="s">
        <v>13</v>
      </c>
      <c r="C195" s="53" t="s">
        <v>14</v>
      </c>
      <c r="D195" s="53" t="s">
        <v>1406</v>
      </c>
      <c r="E195" s="69">
        <v>645602010014653</v>
      </c>
      <c r="F195" s="53" t="s">
        <v>1407</v>
      </c>
      <c r="G195" s="53">
        <v>7500</v>
      </c>
      <c r="H195" s="62">
        <v>46022</v>
      </c>
      <c r="I195" s="53" t="s">
        <v>903</v>
      </c>
      <c r="J195" s="53" t="s">
        <v>904</v>
      </c>
      <c r="K195" s="53">
        <v>352506045</v>
      </c>
      <c r="L195" s="53">
        <v>8084480157</v>
      </c>
      <c r="M195" s="55" t="s">
        <v>1534</v>
      </c>
    </row>
    <row r="196" spans="1:13" x14ac:dyDescent="0.25">
      <c r="A196" s="61" t="s">
        <v>12</v>
      </c>
      <c r="B196" s="61" t="s">
        <v>13</v>
      </c>
      <c r="C196" s="61" t="s">
        <v>14</v>
      </c>
      <c r="D196" s="61" t="s">
        <v>31</v>
      </c>
      <c r="E196" s="61" t="s">
        <v>32</v>
      </c>
      <c r="F196" s="61" t="s">
        <v>33</v>
      </c>
      <c r="G196" s="53">
        <v>6100</v>
      </c>
      <c r="H196" s="62">
        <v>46022</v>
      </c>
      <c r="I196" s="61" t="s">
        <v>571</v>
      </c>
      <c r="J196" s="61" t="s">
        <v>59</v>
      </c>
      <c r="K196" s="53">
        <v>352506065</v>
      </c>
      <c r="L196" s="61">
        <v>9347726061</v>
      </c>
      <c r="M196" s="55" t="s">
        <v>1535</v>
      </c>
    </row>
    <row r="197" spans="1:13" hidden="1" x14ac:dyDescent="0.25">
      <c r="A197" s="53" t="s">
        <v>12</v>
      </c>
      <c r="B197" s="53" t="s">
        <v>13</v>
      </c>
      <c r="C197" s="53" t="s">
        <v>14</v>
      </c>
      <c r="D197" s="53" t="s">
        <v>152</v>
      </c>
      <c r="E197" s="53" t="s">
        <v>153</v>
      </c>
      <c r="F197" s="60" t="s">
        <v>154</v>
      </c>
      <c r="G197" s="53">
        <v>500</v>
      </c>
      <c r="H197" s="62">
        <v>46022</v>
      </c>
      <c r="I197" s="61" t="s">
        <v>1485</v>
      </c>
      <c r="J197" s="61" t="s">
        <v>1486</v>
      </c>
      <c r="K197" s="53">
        <v>352506015</v>
      </c>
      <c r="L197" s="60">
        <v>8084080392</v>
      </c>
      <c r="M197" s="55" t="s">
        <v>1536</v>
      </c>
    </row>
    <row r="198" spans="1:13" hidden="1" x14ac:dyDescent="0.25">
      <c r="A198" s="53" t="s">
        <v>12</v>
      </c>
      <c r="B198" s="53" t="s">
        <v>13</v>
      </c>
      <c r="C198" s="53" t="s">
        <v>14</v>
      </c>
      <c r="D198" s="53" t="s">
        <v>152</v>
      </c>
      <c r="E198" s="53" t="s">
        <v>153</v>
      </c>
      <c r="F198" s="60" t="s">
        <v>154</v>
      </c>
      <c r="G198" s="53">
        <v>4950</v>
      </c>
      <c r="H198" s="62">
        <v>46022</v>
      </c>
      <c r="I198" s="61" t="s">
        <v>1485</v>
      </c>
      <c r="J198" s="61" t="s">
        <v>1486</v>
      </c>
      <c r="K198" s="53">
        <v>352506015</v>
      </c>
      <c r="L198" s="60">
        <v>8084080392</v>
      </c>
      <c r="M198" s="55" t="s">
        <v>1537</v>
      </c>
    </row>
    <row r="199" spans="1:13" hidden="1" x14ac:dyDescent="0.25">
      <c r="A199" s="53" t="s">
        <v>12</v>
      </c>
      <c r="B199" s="53" t="s">
        <v>13</v>
      </c>
      <c r="C199" s="53" t="s">
        <v>14</v>
      </c>
      <c r="D199" s="53" t="s">
        <v>993</v>
      </c>
      <c r="E199" s="69">
        <v>50100683547664</v>
      </c>
      <c r="F199" s="60" t="s">
        <v>994</v>
      </c>
      <c r="G199" s="53">
        <v>300</v>
      </c>
      <c r="H199" s="62">
        <v>46022</v>
      </c>
      <c r="I199" s="61" t="s">
        <v>1497</v>
      </c>
      <c r="J199" s="61" t="s">
        <v>1498</v>
      </c>
      <c r="K199" s="53">
        <v>352506062</v>
      </c>
      <c r="L199" s="60">
        <v>8093441726</v>
      </c>
      <c r="M199" s="55" t="s">
        <v>1540</v>
      </c>
    </row>
    <row r="200" spans="1:13" hidden="1" x14ac:dyDescent="0.25">
      <c r="A200" s="53" t="s">
        <v>12</v>
      </c>
      <c r="B200" s="53" t="s">
        <v>13</v>
      </c>
      <c r="C200" s="53" t="s">
        <v>14</v>
      </c>
      <c r="D200" s="53" t="s">
        <v>48</v>
      </c>
      <c r="E200" s="53" t="s">
        <v>49</v>
      </c>
      <c r="F200" s="53" t="s">
        <v>50</v>
      </c>
      <c r="G200" s="53">
        <v>500</v>
      </c>
      <c r="H200" s="62">
        <v>46022</v>
      </c>
      <c r="I200" s="53" t="s">
        <v>1519</v>
      </c>
      <c r="J200" s="53" t="s">
        <v>1520</v>
      </c>
      <c r="K200" s="53">
        <v>352506063</v>
      </c>
      <c r="L200" s="53">
        <v>8520078561</v>
      </c>
      <c r="M200" s="55" t="s">
        <v>1539</v>
      </c>
    </row>
    <row r="201" spans="1:13" hidden="1" x14ac:dyDescent="0.25">
      <c r="A201" s="53" t="s">
        <v>12</v>
      </c>
      <c r="B201" s="53" t="s">
        <v>13</v>
      </c>
      <c r="C201" s="53" t="s">
        <v>14</v>
      </c>
      <c r="D201" s="53" t="s">
        <v>36</v>
      </c>
      <c r="E201" s="53" t="s">
        <v>37</v>
      </c>
      <c r="F201" s="53" t="s">
        <v>38</v>
      </c>
      <c r="G201" s="53">
        <v>1000</v>
      </c>
      <c r="H201" s="62">
        <v>46022</v>
      </c>
      <c r="I201" s="53" t="s">
        <v>902</v>
      </c>
      <c r="J201" s="53" t="s">
        <v>901</v>
      </c>
      <c r="K201" s="53">
        <v>352506069</v>
      </c>
      <c r="L201" s="53">
        <v>9358936441</v>
      </c>
      <c r="M201" s="55" t="s">
        <v>1538</v>
      </c>
    </row>
    <row r="202" spans="1:13" hidden="1" x14ac:dyDescent="0.25">
      <c r="A202" s="53" t="s">
        <v>12</v>
      </c>
      <c r="B202" s="53" t="s">
        <v>13</v>
      </c>
      <c r="C202" s="53" t="s">
        <v>14</v>
      </c>
      <c r="D202" s="53" t="s">
        <v>1406</v>
      </c>
      <c r="E202" s="69">
        <v>645602010014653</v>
      </c>
      <c r="F202" s="53" t="s">
        <v>1407</v>
      </c>
      <c r="G202" s="53">
        <v>5200</v>
      </c>
      <c r="H202" s="62">
        <v>46022</v>
      </c>
      <c r="I202" s="53" t="s">
        <v>903</v>
      </c>
      <c r="J202" s="53" t="s">
        <v>904</v>
      </c>
      <c r="K202" s="53">
        <v>352506045</v>
      </c>
      <c r="L202" s="53">
        <v>8084480157</v>
      </c>
      <c r="M202" s="55" t="s">
        <v>1541</v>
      </c>
    </row>
    <row r="203" spans="1:13" hidden="1" x14ac:dyDescent="0.25">
      <c r="A203" s="61" t="s">
        <v>12</v>
      </c>
      <c r="B203" s="61" t="s">
        <v>13</v>
      </c>
      <c r="C203" s="61" t="s">
        <v>14</v>
      </c>
      <c r="D203" s="61" t="s">
        <v>149</v>
      </c>
      <c r="E203" s="78">
        <v>50100624324501</v>
      </c>
      <c r="F203" s="61" t="s">
        <v>150</v>
      </c>
      <c r="G203" s="53">
        <v>6400</v>
      </c>
      <c r="H203" s="62">
        <v>46022</v>
      </c>
      <c r="I203" s="61" t="s">
        <v>1513</v>
      </c>
      <c r="J203" s="61" t="s">
        <v>1495</v>
      </c>
      <c r="K203" s="53">
        <v>352506092</v>
      </c>
      <c r="L203" s="61">
        <v>8789141433</v>
      </c>
      <c r="M203" s="55" t="s">
        <v>1542</v>
      </c>
    </row>
  </sheetData>
  <autoFilter ref="A1:M203">
    <filterColumn colId="9">
      <filters>
        <filter val="HR47B5848"/>
      </filters>
    </filterColumn>
  </autoFilter>
  <pageMargins left="0.7" right="0.7" top="0.75" bottom="0.75" header="0.3" footer="0.3"/>
  <pageSetup orientation="portrait" r:id="rId1"/>
  <ignoredErrors>
    <ignoredError sqref="E197:E201" numberStoredAsText="1"/>
  </ignoredError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9"/>
  <sheetViews>
    <sheetView topLeftCell="B1" zoomScaleNormal="100" workbookViewId="0">
      <pane ySplit="1" topLeftCell="A17" activePane="bottomLeft" state="frozen"/>
      <selection pane="bottomLeft" activeCell="M8" sqref="M8"/>
    </sheetView>
  </sheetViews>
  <sheetFormatPr defaultRowHeight="12" x14ac:dyDescent="0.25"/>
  <cols>
    <col min="1" max="1" width="17.77734375" style="59" customWidth="1"/>
    <col min="2" max="2" width="9.77734375" style="59" customWidth="1"/>
    <col min="3" max="3" width="13" style="59" customWidth="1"/>
    <col min="4" max="4" width="14" style="59" bestFit="1" customWidth="1"/>
    <col min="5" max="5" width="15.33203125" style="59" bestFit="1" customWidth="1"/>
    <col min="6" max="6" width="12.44140625" style="59" bestFit="1" customWidth="1"/>
    <col min="7" max="7" width="9" style="59" customWidth="1"/>
    <col min="8" max="8" width="11.109375" style="59" bestFit="1" customWidth="1"/>
    <col min="9" max="9" width="15" style="59" bestFit="1" customWidth="1"/>
    <col min="10" max="10" width="8.5546875" style="59" bestFit="1" customWidth="1"/>
    <col min="11" max="11" width="9" style="59" customWidth="1"/>
    <col min="12" max="12" width="11.21875" style="59" customWidth="1"/>
    <col min="13" max="13" width="70.44140625" style="59" bestFit="1" customWidth="1"/>
    <col min="14" max="16384" width="8.88671875" style="59"/>
  </cols>
  <sheetData>
    <row r="1" spans="1:13" ht="24" x14ac:dyDescent="0.25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7" t="s">
        <v>7</v>
      </c>
      <c r="I1" s="56" t="s">
        <v>8</v>
      </c>
      <c r="J1" s="56" t="s">
        <v>9</v>
      </c>
      <c r="K1" s="56" t="s">
        <v>10</v>
      </c>
      <c r="L1" s="56" t="s">
        <v>949</v>
      </c>
      <c r="M1" s="58" t="s">
        <v>11</v>
      </c>
    </row>
    <row r="2" spans="1:13" x14ac:dyDescent="0.25">
      <c r="A2" s="53" t="s">
        <v>12</v>
      </c>
      <c r="B2" s="53" t="s">
        <v>13</v>
      </c>
      <c r="C2" s="53" t="s">
        <v>14</v>
      </c>
      <c r="D2" s="53" t="s">
        <v>48</v>
      </c>
      <c r="E2" s="53" t="s">
        <v>49</v>
      </c>
      <c r="F2" s="53" t="s">
        <v>50</v>
      </c>
      <c r="G2" s="53">
        <v>1500</v>
      </c>
      <c r="H2" s="62">
        <v>46024</v>
      </c>
      <c r="I2" s="53" t="s">
        <v>1519</v>
      </c>
      <c r="J2" s="53" t="s">
        <v>1520</v>
      </c>
      <c r="K2" s="53">
        <v>352506063</v>
      </c>
      <c r="L2" s="53">
        <v>8520078561</v>
      </c>
      <c r="M2" s="55" t="s">
        <v>1543</v>
      </c>
    </row>
    <row r="3" spans="1:13" x14ac:dyDescent="0.25">
      <c r="A3" s="53" t="s">
        <v>12</v>
      </c>
      <c r="B3" s="53" t="s">
        <v>13</v>
      </c>
      <c r="C3" s="53" t="s">
        <v>14</v>
      </c>
      <c r="D3" s="53" t="s">
        <v>48</v>
      </c>
      <c r="E3" s="53" t="s">
        <v>49</v>
      </c>
      <c r="F3" s="53" t="s">
        <v>50</v>
      </c>
      <c r="G3" s="53">
        <v>200</v>
      </c>
      <c r="H3" s="62">
        <v>46024</v>
      </c>
      <c r="I3" s="53" t="s">
        <v>1519</v>
      </c>
      <c r="J3" s="53" t="s">
        <v>1520</v>
      </c>
      <c r="K3" s="53">
        <v>352506063</v>
      </c>
      <c r="L3" s="53">
        <v>8520078561</v>
      </c>
      <c r="M3" s="55" t="s">
        <v>1544</v>
      </c>
    </row>
    <row r="4" spans="1:13" x14ac:dyDescent="0.25">
      <c r="A4" s="53" t="s">
        <v>12</v>
      </c>
      <c r="B4" s="53" t="s">
        <v>13</v>
      </c>
      <c r="C4" s="53" t="s">
        <v>14</v>
      </c>
      <c r="D4" s="53" t="s">
        <v>343</v>
      </c>
      <c r="E4" s="54">
        <v>37223550583</v>
      </c>
      <c r="F4" s="53" t="s">
        <v>33</v>
      </c>
      <c r="G4" s="53">
        <v>300</v>
      </c>
      <c r="H4" s="62">
        <v>46024</v>
      </c>
      <c r="I4" s="61" t="s">
        <v>895</v>
      </c>
      <c r="J4" s="61" t="s">
        <v>896</v>
      </c>
      <c r="K4" s="53">
        <v>352506107</v>
      </c>
      <c r="L4" s="53">
        <v>9031258705</v>
      </c>
      <c r="M4" s="55" t="s">
        <v>1545</v>
      </c>
    </row>
    <row r="5" spans="1:13" x14ac:dyDescent="0.25">
      <c r="A5" s="53" t="s">
        <v>12</v>
      </c>
      <c r="B5" s="53" t="s">
        <v>13</v>
      </c>
      <c r="C5" s="53" t="s">
        <v>14</v>
      </c>
      <c r="D5" s="53" t="s">
        <v>343</v>
      </c>
      <c r="E5" s="54">
        <v>37223550583</v>
      </c>
      <c r="F5" s="53" t="s">
        <v>33</v>
      </c>
      <c r="G5" s="53">
        <v>1000</v>
      </c>
      <c r="H5" s="62">
        <v>46024</v>
      </c>
      <c r="I5" s="61" t="s">
        <v>895</v>
      </c>
      <c r="J5" s="61" t="s">
        <v>896</v>
      </c>
      <c r="K5" s="53">
        <v>352506107</v>
      </c>
      <c r="L5" s="53">
        <v>9031258705</v>
      </c>
      <c r="M5" s="55" t="s">
        <v>1538</v>
      </c>
    </row>
    <row r="6" spans="1:13" x14ac:dyDescent="0.25">
      <c r="A6" s="53" t="s">
        <v>12</v>
      </c>
      <c r="B6" s="53" t="s">
        <v>13</v>
      </c>
      <c r="C6" s="53" t="s">
        <v>14</v>
      </c>
      <c r="D6" s="53" t="s">
        <v>993</v>
      </c>
      <c r="E6" s="69">
        <v>50100683547664</v>
      </c>
      <c r="F6" s="60" t="s">
        <v>994</v>
      </c>
      <c r="G6" s="53">
        <v>7500</v>
      </c>
      <c r="H6" s="62">
        <v>46024</v>
      </c>
      <c r="I6" s="61" t="s">
        <v>1497</v>
      </c>
      <c r="J6" s="61" t="s">
        <v>1498</v>
      </c>
      <c r="K6" s="53">
        <v>352506062</v>
      </c>
      <c r="L6" s="60">
        <v>8093441726</v>
      </c>
      <c r="M6" s="55" t="s">
        <v>1546</v>
      </c>
    </row>
    <row r="7" spans="1:13" x14ac:dyDescent="0.25">
      <c r="A7" s="53" t="s">
        <v>12</v>
      </c>
      <c r="B7" s="53" t="s">
        <v>13</v>
      </c>
      <c r="C7" s="53" t="s">
        <v>14</v>
      </c>
      <c r="D7" s="53" t="s">
        <v>36</v>
      </c>
      <c r="E7" s="53" t="s">
        <v>37</v>
      </c>
      <c r="F7" s="53" t="s">
        <v>38</v>
      </c>
      <c r="G7" s="53">
        <v>2000</v>
      </c>
      <c r="H7" s="62">
        <v>46024</v>
      </c>
      <c r="I7" s="53" t="s">
        <v>902</v>
      </c>
      <c r="J7" s="53" t="s">
        <v>901</v>
      </c>
      <c r="K7" s="53">
        <v>352506126</v>
      </c>
      <c r="L7" s="53">
        <v>9358936441</v>
      </c>
      <c r="M7" s="55" t="s">
        <v>1547</v>
      </c>
    </row>
    <row r="8" spans="1:13" x14ac:dyDescent="0.25">
      <c r="A8" s="53" t="s">
        <v>12</v>
      </c>
      <c r="B8" s="53" t="s">
        <v>13</v>
      </c>
      <c r="C8" s="53" t="s">
        <v>14</v>
      </c>
      <c r="D8" s="53" t="s">
        <v>36</v>
      </c>
      <c r="E8" s="53" t="s">
        <v>37</v>
      </c>
      <c r="F8" s="53" t="s">
        <v>38</v>
      </c>
      <c r="G8" s="53">
        <v>2500</v>
      </c>
      <c r="H8" s="62">
        <v>46024</v>
      </c>
      <c r="I8" s="53" t="s">
        <v>902</v>
      </c>
      <c r="J8" s="53" t="s">
        <v>901</v>
      </c>
      <c r="K8" s="53">
        <v>352506126</v>
      </c>
      <c r="L8" s="53">
        <v>9358936441</v>
      </c>
      <c r="M8" s="55" t="s">
        <v>1548</v>
      </c>
    </row>
    <row r="9" spans="1:13" x14ac:dyDescent="0.25">
      <c r="A9" s="53" t="s">
        <v>12</v>
      </c>
      <c r="B9" s="53" t="s">
        <v>13</v>
      </c>
      <c r="C9" s="53" t="s">
        <v>14</v>
      </c>
      <c r="D9" s="53" t="s">
        <v>36</v>
      </c>
      <c r="E9" s="53" t="s">
        <v>37</v>
      </c>
      <c r="F9" s="53" t="s">
        <v>38</v>
      </c>
      <c r="G9" s="53">
        <v>1500</v>
      </c>
      <c r="H9" s="62">
        <v>46024</v>
      </c>
      <c r="I9" s="53" t="s">
        <v>902</v>
      </c>
      <c r="J9" s="53" t="s">
        <v>901</v>
      </c>
      <c r="K9" s="53">
        <v>352506130</v>
      </c>
      <c r="L9" s="53">
        <v>9358936441</v>
      </c>
      <c r="M9" s="55" t="s">
        <v>1549</v>
      </c>
    </row>
    <row r="10" spans="1:13" x14ac:dyDescent="0.25">
      <c r="A10" s="53" t="s">
        <v>12</v>
      </c>
      <c r="B10" s="53" t="s">
        <v>13</v>
      </c>
      <c r="C10" s="53" t="s">
        <v>14</v>
      </c>
      <c r="D10" s="53" t="s">
        <v>1406</v>
      </c>
      <c r="E10" s="69">
        <v>645602010014653</v>
      </c>
      <c r="F10" s="53" t="s">
        <v>1407</v>
      </c>
      <c r="G10" s="53">
        <v>2000</v>
      </c>
      <c r="H10" s="62">
        <v>46024</v>
      </c>
      <c r="I10" s="53" t="s">
        <v>903</v>
      </c>
      <c r="J10" s="53" t="s">
        <v>904</v>
      </c>
      <c r="K10" s="53">
        <v>352506129</v>
      </c>
      <c r="L10" s="53">
        <v>8084480157</v>
      </c>
      <c r="M10" s="55" t="s">
        <v>1550</v>
      </c>
    </row>
    <row r="11" spans="1:13" x14ac:dyDescent="0.25">
      <c r="A11" s="53" t="s">
        <v>12</v>
      </c>
      <c r="B11" s="53" t="s">
        <v>13</v>
      </c>
      <c r="C11" s="53" t="s">
        <v>14</v>
      </c>
      <c r="D11" s="53" t="s">
        <v>1406</v>
      </c>
      <c r="E11" s="69">
        <v>645602010014653</v>
      </c>
      <c r="F11" s="53" t="s">
        <v>1407</v>
      </c>
      <c r="G11" s="53">
        <v>2500</v>
      </c>
      <c r="H11" s="62">
        <v>46024</v>
      </c>
      <c r="I11" s="53" t="s">
        <v>903</v>
      </c>
      <c r="J11" s="53" t="s">
        <v>904</v>
      </c>
      <c r="K11" s="53">
        <v>352506129</v>
      </c>
      <c r="L11" s="53">
        <v>8084480157</v>
      </c>
      <c r="M11" s="55" t="s">
        <v>1549</v>
      </c>
    </row>
    <row r="12" spans="1:13" x14ac:dyDescent="0.25">
      <c r="A12" s="53" t="s">
        <v>12</v>
      </c>
      <c r="B12" s="53" t="s">
        <v>13</v>
      </c>
      <c r="C12" s="53" t="s">
        <v>14</v>
      </c>
      <c r="D12" s="53" t="s">
        <v>36</v>
      </c>
      <c r="E12" s="53" t="s">
        <v>37</v>
      </c>
      <c r="F12" s="53" t="s">
        <v>38</v>
      </c>
      <c r="G12" s="53">
        <v>5200</v>
      </c>
      <c r="H12" s="62">
        <v>46024</v>
      </c>
      <c r="I12" s="53" t="s">
        <v>902</v>
      </c>
      <c r="J12" s="53" t="s">
        <v>901</v>
      </c>
      <c r="K12" s="53">
        <v>352506130</v>
      </c>
      <c r="L12" s="53">
        <v>9358936441</v>
      </c>
      <c r="M12" s="55" t="s">
        <v>1551</v>
      </c>
    </row>
    <row r="13" spans="1:13" x14ac:dyDescent="0.25">
      <c r="A13" s="53" t="s">
        <v>12</v>
      </c>
      <c r="B13" s="53" t="s">
        <v>13</v>
      </c>
      <c r="C13" s="53" t="s">
        <v>14</v>
      </c>
      <c r="D13" s="53" t="s">
        <v>1406</v>
      </c>
      <c r="E13" s="69">
        <v>645602010014653</v>
      </c>
      <c r="F13" s="53" t="s">
        <v>1407</v>
      </c>
      <c r="G13" s="53">
        <v>5200</v>
      </c>
      <c r="H13" s="62">
        <v>46024</v>
      </c>
      <c r="I13" s="53" t="s">
        <v>903</v>
      </c>
      <c r="J13" s="53" t="s">
        <v>904</v>
      </c>
      <c r="K13" s="53">
        <v>352506129</v>
      </c>
      <c r="L13" s="53">
        <v>8084480157</v>
      </c>
      <c r="M13" s="55" t="s">
        <v>1551</v>
      </c>
    </row>
    <row r="14" spans="1:13" x14ac:dyDescent="0.25">
      <c r="A14" s="53" t="s">
        <v>12</v>
      </c>
      <c r="B14" s="53" t="s">
        <v>13</v>
      </c>
      <c r="C14" s="53" t="s">
        <v>14</v>
      </c>
      <c r="D14" s="53" t="s">
        <v>343</v>
      </c>
      <c r="E14" s="54">
        <v>37223550583</v>
      </c>
      <c r="F14" s="53" t="s">
        <v>33</v>
      </c>
      <c r="G14" s="53">
        <v>4950</v>
      </c>
      <c r="H14" s="62">
        <v>46024</v>
      </c>
      <c r="I14" s="61" t="s">
        <v>895</v>
      </c>
      <c r="J14" s="61" t="s">
        <v>896</v>
      </c>
      <c r="K14" s="53">
        <v>352506107</v>
      </c>
      <c r="L14" s="53">
        <v>9031258705</v>
      </c>
      <c r="M14" s="55" t="s">
        <v>1552</v>
      </c>
    </row>
    <row r="15" spans="1:13" x14ac:dyDescent="0.25">
      <c r="A15" s="53" t="s">
        <v>12</v>
      </c>
      <c r="B15" s="53" t="s">
        <v>13</v>
      </c>
      <c r="C15" s="53" t="s">
        <v>14</v>
      </c>
      <c r="D15" s="53" t="s">
        <v>152</v>
      </c>
      <c r="E15" s="53" t="s">
        <v>153</v>
      </c>
      <c r="F15" s="60" t="s">
        <v>154</v>
      </c>
      <c r="G15" s="53">
        <v>5200</v>
      </c>
      <c r="H15" s="62">
        <v>46025</v>
      </c>
      <c r="I15" s="61" t="s">
        <v>1485</v>
      </c>
      <c r="J15" s="61" t="s">
        <v>1486</v>
      </c>
      <c r="K15" s="53">
        <v>352506098</v>
      </c>
      <c r="L15" s="60">
        <v>8084080392</v>
      </c>
      <c r="M15" s="55" t="s">
        <v>1553</v>
      </c>
    </row>
    <row r="16" spans="1:13" x14ac:dyDescent="0.25">
      <c r="A16" s="53" t="s">
        <v>12</v>
      </c>
      <c r="B16" s="53" t="s">
        <v>13</v>
      </c>
      <c r="C16" s="53" t="s">
        <v>14</v>
      </c>
      <c r="D16" s="53" t="s">
        <v>144</v>
      </c>
      <c r="E16" s="53">
        <v>44182579159</v>
      </c>
      <c r="F16" s="53" t="s">
        <v>145</v>
      </c>
      <c r="G16" s="53">
        <v>2000</v>
      </c>
      <c r="H16" s="62">
        <v>46026</v>
      </c>
      <c r="I16" s="53" t="s">
        <v>652</v>
      </c>
      <c r="J16" s="53" t="s">
        <v>147</v>
      </c>
      <c r="K16" s="53">
        <v>352506111</v>
      </c>
      <c r="L16" s="53">
        <v>7765824237</v>
      </c>
      <c r="M16" s="55" t="s">
        <v>1554</v>
      </c>
    </row>
    <row r="17" spans="1:13" x14ac:dyDescent="0.25">
      <c r="A17" s="61" t="s">
        <v>12</v>
      </c>
      <c r="B17" s="61" t="s">
        <v>13</v>
      </c>
      <c r="C17" s="61" t="s">
        <v>14</v>
      </c>
      <c r="D17" s="61" t="s">
        <v>149</v>
      </c>
      <c r="E17" s="78">
        <v>50100624324501</v>
      </c>
      <c r="F17" s="61" t="s">
        <v>150</v>
      </c>
      <c r="G17" s="53">
        <v>2500</v>
      </c>
      <c r="H17" s="62">
        <v>46026</v>
      </c>
      <c r="I17" s="61" t="s">
        <v>1513</v>
      </c>
      <c r="J17" s="61" t="s">
        <v>1495</v>
      </c>
      <c r="K17" s="53">
        <v>352506113</v>
      </c>
      <c r="L17" s="61">
        <v>8789141433</v>
      </c>
      <c r="M17" s="55" t="s">
        <v>1555</v>
      </c>
    </row>
    <row r="18" spans="1:13" x14ac:dyDescent="0.25">
      <c r="A18" s="53" t="s">
        <v>12</v>
      </c>
      <c r="B18" s="53" t="s">
        <v>13</v>
      </c>
      <c r="C18" s="53" t="s">
        <v>14</v>
      </c>
      <c r="D18" s="53" t="s">
        <v>108</v>
      </c>
      <c r="E18" s="53" t="s">
        <v>109</v>
      </c>
      <c r="F18" s="53" t="s">
        <v>110</v>
      </c>
      <c r="G18" s="53">
        <v>1000</v>
      </c>
      <c r="H18" s="62">
        <v>46026</v>
      </c>
      <c r="I18" s="61" t="s">
        <v>1483</v>
      </c>
      <c r="J18" s="61" t="s">
        <v>1484</v>
      </c>
      <c r="K18" s="53">
        <v>352506140</v>
      </c>
      <c r="L18" s="53">
        <v>7870570436</v>
      </c>
      <c r="M18" s="55" t="s">
        <v>1556</v>
      </c>
    </row>
    <row r="19" spans="1:13" x14ac:dyDescent="0.25">
      <c r="A19" s="53" t="s">
        <v>12</v>
      </c>
      <c r="B19" s="53" t="s">
        <v>13</v>
      </c>
      <c r="C19" s="53" t="s">
        <v>14</v>
      </c>
      <c r="D19" s="53" t="s">
        <v>108</v>
      </c>
      <c r="E19" s="53" t="s">
        <v>109</v>
      </c>
      <c r="F19" s="53" t="s">
        <v>110</v>
      </c>
      <c r="G19" s="53">
        <v>1000</v>
      </c>
      <c r="H19" s="62">
        <v>46026</v>
      </c>
      <c r="I19" s="61" t="s">
        <v>1483</v>
      </c>
      <c r="J19" s="61" t="s">
        <v>1484</v>
      </c>
      <c r="K19" s="53">
        <v>352506189</v>
      </c>
      <c r="L19" s="53">
        <v>7870570436</v>
      </c>
      <c r="M19" s="55" t="s">
        <v>1557</v>
      </c>
    </row>
    <row r="20" spans="1:13" x14ac:dyDescent="0.25">
      <c r="A20" s="53" t="s">
        <v>12</v>
      </c>
      <c r="B20" s="53" t="s">
        <v>13</v>
      </c>
      <c r="C20" s="53" t="s">
        <v>14</v>
      </c>
      <c r="D20" s="53" t="s">
        <v>144</v>
      </c>
      <c r="E20" s="53">
        <v>44182579159</v>
      </c>
      <c r="F20" s="53" t="s">
        <v>145</v>
      </c>
      <c r="G20" s="53">
        <v>1500</v>
      </c>
      <c r="H20" s="62">
        <v>46027</v>
      </c>
      <c r="I20" s="53" t="s">
        <v>652</v>
      </c>
      <c r="J20" s="53" t="s">
        <v>147</v>
      </c>
      <c r="K20" s="53">
        <v>352506206</v>
      </c>
      <c r="L20" s="53">
        <v>7765824237</v>
      </c>
      <c r="M20" s="55" t="s">
        <v>1558</v>
      </c>
    </row>
    <row r="21" spans="1:13" x14ac:dyDescent="0.25">
      <c r="A21" s="61" t="s">
        <v>12</v>
      </c>
      <c r="B21" s="61" t="s">
        <v>13</v>
      </c>
      <c r="C21" s="61" t="s">
        <v>14</v>
      </c>
      <c r="D21" s="61" t="s">
        <v>149</v>
      </c>
      <c r="E21" s="78">
        <v>50100624324501</v>
      </c>
      <c r="F21" s="61" t="s">
        <v>150</v>
      </c>
      <c r="G21" s="53">
        <v>1900</v>
      </c>
      <c r="H21" s="62">
        <v>46027</v>
      </c>
      <c r="I21" s="61" t="s">
        <v>1513</v>
      </c>
      <c r="J21" s="61" t="s">
        <v>1495</v>
      </c>
      <c r="K21" s="53">
        <v>352506207</v>
      </c>
      <c r="L21" s="61">
        <v>8789141433</v>
      </c>
      <c r="M21" s="55" t="s">
        <v>1558</v>
      </c>
    </row>
    <row r="22" spans="1:13" x14ac:dyDescent="0.25">
      <c r="A22" s="53" t="s">
        <v>12</v>
      </c>
      <c r="B22" s="53" t="s">
        <v>13</v>
      </c>
      <c r="C22" s="53" t="s">
        <v>14</v>
      </c>
      <c r="D22" s="53" t="s">
        <v>144</v>
      </c>
      <c r="E22" s="53">
        <v>44182579159</v>
      </c>
      <c r="F22" s="53" t="s">
        <v>145</v>
      </c>
      <c r="G22" s="53">
        <v>5200</v>
      </c>
      <c r="H22" s="62">
        <v>46027</v>
      </c>
      <c r="I22" s="53" t="s">
        <v>652</v>
      </c>
      <c r="J22" s="53" t="s">
        <v>147</v>
      </c>
      <c r="K22" s="53">
        <v>352506206</v>
      </c>
      <c r="L22" s="53">
        <v>7765824237</v>
      </c>
      <c r="M22" s="55" t="s">
        <v>1559</v>
      </c>
    </row>
    <row r="23" spans="1:13" x14ac:dyDescent="0.25">
      <c r="A23" s="53" t="s">
        <v>12</v>
      </c>
      <c r="B23" s="53" t="s">
        <v>13</v>
      </c>
      <c r="C23" s="53" t="s">
        <v>14</v>
      </c>
      <c r="D23" s="53" t="s">
        <v>343</v>
      </c>
      <c r="E23" s="54">
        <v>37223550583</v>
      </c>
      <c r="F23" s="53" t="s">
        <v>33</v>
      </c>
      <c r="G23" s="53">
        <v>2000</v>
      </c>
      <c r="H23" s="62">
        <v>46027</v>
      </c>
      <c r="I23" s="61" t="s">
        <v>895</v>
      </c>
      <c r="J23" s="61" t="s">
        <v>896</v>
      </c>
      <c r="K23" s="53">
        <v>352506208</v>
      </c>
      <c r="L23" s="53">
        <v>9031258705</v>
      </c>
      <c r="M23" s="55" t="s">
        <v>1560</v>
      </c>
    </row>
    <row r="24" spans="1:13" x14ac:dyDescent="0.25">
      <c r="A24" s="61" t="s">
        <v>12</v>
      </c>
      <c r="B24" s="61" t="s">
        <v>13</v>
      </c>
      <c r="C24" s="61" t="s">
        <v>14</v>
      </c>
      <c r="D24" s="61" t="s">
        <v>31</v>
      </c>
      <c r="E24" s="61" t="s">
        <v>32</v>
      </c>
      <c r="F24" s="61" t="s">
        <v>33</v>
      </c>
      <c r="G24" s="53">
        <v>1000</v>
      </c>
      <c r="H24" s="62">
        <v>46027</v>
      </c>
      <c r="I24" s="61" t="s">
        <v>571</v>
      </c>
      <c r="J24" s="61" t="s">
        <v>59</v>
      </c>
      <c r="K24" s="53">
        <v>352506190</v>
      </c>
      <c r="L24" s="61">
        <v>9347726061</v>
      </c>
      <c r="M24" s="55" t="s">
        <v>1561</v>
      </c>
    </row>
    <row r="25" spans="1:13" x14ac:dyDescent="0.25">
      <c r="A25" s="53" t="s">
        <v>12</v>
      </c>
      <c r="B25" s="53" t="s">
        <v>13</v>
      </c>
      <c r="C25" s="53" t="s">
        <v>14</v>
      </c>
      <c r="D25" s="53" t="s">
        <v>144</v>
      </c>
      <c r="E25" s="53">
        <v>44182579159</v>
      </c>
      <c r="F25" s="53" t="s">
        <v>145</v>
      </c>
      <c r="G25" s="53">
        <v>1000</v>
      </c>
      <c r="H25" s="62">
        <v>46028</v>
      </c>
      <c r="I25" s="53" t="s">
        <v>652</v>
      </c>
      <c r="J25" s="53" t="s">
        <v>147</v>
      </c>
      <c r="K25" s="53">
        <v>352506206</v>
      </c>
      <c r="L25" s="53">
        <v>7765824237</v>
      </c>
      <c r="M25" s="55" t="s">
        <v>1558</v>
      </c>
    </row>
    <row r="26" spans="1:13" x14ac:dyDescent="0.25">
      <c r="A26" s="61" t="s">
        <v>12</v>
      </c>
      <c r="B26" s="61" t="s">
        <v>13</v>
      </c>
      <c r="C26" s="61" t="s">
        <v>14</v>
      </c>
      <c r="D26" s="61" t="s">
        <v>149</v>
      </c>
      <c r="E26" s="78">
        <v>50100624324501</v>
      </c>
      <c r="F26" s="61" t="s">
        <v>150</v>
      </c>
      <c r="G26" s="53">
        <v>600</v>
      </c>
      <c r="H26" s="62">
        <v>46028</v>
      </c>
      <c r="I26" s="61" t="s">
        <v>1513</v>
      </c>
      <c r="J26" s="61" t="s">
        <v>1495</v>
      </c>
      <c r="K26" s="53">
        <v>352506207</v>
      </c>
      <c r="L26" s="61">
        <v>8789141433</v>
      </c>
      <c r="M26" s="55" t="s">
        <v>1558</v>
      </c>
    </row>
    <row r="27" spans="1:13" x14ac:dyDescent="0.25">
      <c r="A27" s="53" t="s">
        <v>12</v>
      </c>
      <c r="B27" s="53" t="s">
        <v>13</v>
      </c>
      <c r="C27" s="53" t="s">
        <v>14</v>
      </c>
      <c r="D27" s="53" t="s">
        <v>36</v>
      </c>
      <c r="E27" s="53" t="s">
        <v>37</v>
      </c>
      <c r="F27" s="53" t="s">
        <v>38</v>
      </c>
      <c r="G27" s="53">
        <v>6000</v>
      </c>
      <c r="H27" s="62">
        <v>46028</v>
      </c>
      <c r="I27" s="53" t="s">
        <v>902</v>
      </c>
      <c r="J27" s="53" t="s">
        <v>901</v>
      </c>
      <c r="K27" s="53">
        <v>352506147</v>
      </c>
      <c r="L27" s="53">
        <v>9358936441</v>
      </c>
      <c r="M27" s="55" t="s">
        <v>1562</v>
      </c>
    </row>
    <row r="28" spans="1:13" x14ac:dyDescent="0.25">
      <c r="A28" s="53" t="s">
        <v>12</v>
      </c>
      <c r="B28" s="53" t="s">
        <v>13</v>
      </c>
      <c r="C28" s="53" t="s">
        <v>14</v>
      </c>
      <c r="D28" s="53" t="s">
        <v>1406</v>
      </c>
      <c r="E28" s="69">
        <v>645602010014653</v>
      </c>
      <c r="F28" s="53" t="s">
        <v>1407</v>
      </c>
      <c r="G28" s="53">
        <v>6000</v>
      </c>
      <c r="H28" s="62">
        <v>46028</v>
      </c>
      <c r="I28" s="53" t="s">
        <v>903</v>
      </c>
      <c r="J28" s="53" t="s">
        <v>904</v>
      </c>
      <c r="K28" s="53">
        <v>352506145</v>
      </c>
      <c r="L28" s="53">
        <v>8084480157</v>
      </c>
      <c r="M28" s="55" t="s">
        <v>1562</v>
      </c>
    </row>
    <row r="29" spans="1:13" x14ac:dyDescent="0.25">
      <c r="A29" s="53" t="s">
        <v>12</v>
      </c>
      <c r="B29" s="53" t="s">
        <v>13</v>
      </c>
      <c r="C29" s="53" t="s">
        <v>14</v>
      </c>
      <c r="D29" s="53" t="s">
        <v>152</v>
      </c>
      <c r="E29" s="53" t="s">
        <v>153</v>
      </c>
      <c r="F29" s="60" t="s">
        <v>154</v>
      </c>
      <c r="G29" s="53">
        <v>6000</v>
      </c>
      <c r="H29" s="62">
        <v>46028</v>
      </c>
      <c r="I29" s="61" t="s">
        <v>1485</v>
      </c>
      <c r="J29" s="61" t="s">
        <v>1486</v>
      </c>
      <c r="K29" s="53">
        <v>352506186</v>
      </c>
      <c r="L29" s="60">
        <v>8084080392</v>
      </c>
      <c r="M29" s="55" t="s">
        <v>1562</v>
      </c>
    </row>
    <row r="30" spans="1:13" x14ac:dyDescent="0.25">
      <c r="A30" s="53" t="s">
        <v>12</v>
      </c>
      <c r="B30" s="53" t="s">
        <v>13</v>
      </c>
      <c r="C30" s="53" t="s">
        <v>14</v>
      </c>
      <c r="D30" s="53" t="s">
        <v>108</v>
      </c>
      <c r="E30" s="53" t="s">
        <v>109</v>
      </c>
      <c r="F30" s="53" t="s">
        <v>110</v>
      </c>
      <c r="G30" s="53">
        <v>1000</v>
      </c>
      <c r="H30" s="62">
        <v>46028</v>
      </c>
      <c r="I30" s="61" t="s">
        <v>1483</v>
      </c>
      <c r="J30" s="61" t="s">
        <v>1484</v>
      </c>
      <c r="K30" s="53">
        <v>352506211</v>
      </c>
      <c r="L30" s="53">
        <v>7870570436</v>
      </c>
      <c r="M30" s="55" t="s">
        <v>1563</v>
      </c>
    </row>
    <row r="31" spans="1:13" x14ac:dyDescent="0.25">
      <c r="A31" s="53" t="s">
        <v>12</v>
      </c>
      <c r="B31" s="53" t="s">
        <v>13</v>
      </c>
      <c r="C31" s="53" t="s">
        <v>14</v>
      </c>
      <c r="D31" s="53" t="s">
        <v>108</v>
      </c>
      <c r="E31" s="53" t="s">
        <v>109</v>
      </c>
      <c r="F31" s="53" t="s">
        <v>110</v>
      </c>
      <c r="G31" s="53">
        <v>700</v>
      </c>
      <c r="H31" s="62">
        <v>46028</v>
      </c>
      <c r="I31" s="61" t="s">
        <v>1483</v>
      </c>
      <c r="J31" s="61" t="s">
        <v>1484</v>
      </c>
      <c r="K31" s="53">
        <v>352506212</v>
      </c>
      <c r="L31" s="53">
        <v>7870570436</v>
      </c>
      <c r="M31" s="55" t="s">
        <v>1563</v>
      </c>
    </row>
    <row r="32" spans="1:13" x14ac:dyDescent="0.25">
      <c r="A32" s="53" t="s">
        <v>12</v>
      </c>
      <c r="B32" s="53" t="s">
        <v>13</v>
      </c>
      <c r="C32" s="53" t="s">
        <v>14</v>
      </c>
      <c r="D32" s="53" t="s">
        <v>343</v>
      </c>
      <c r="E32" s="54">
        <v>37223550583</v>
      </c>
      <c r="F32" s="53" t="s">
        <v>33</v>
      </c>
      <c r="G32" s="53">
        <v>2500</v>
      </c>
      <c r="H32" s="62">
        <v>46028</v>
      </c>
      <c r="I32" s="61" t="s">
        <v>895</v>
      </c>
      <c r="J32" s="61" t="s">
        <v>896</v>
      </c>
      <c r="K32" s="53">
        <v>352506208</v>
      </c>
      <c r="L32" s="53">
        <v>9031258705</v>
      </c>
      <c r="M32" s="55" t="s">
        <v>1564</v>
      </c>
    </row>
    <row r="33" spans="1:13" x14ac:dyDescent="0.25">
      <c r="A33" s="61" t="s">
        <v>12</v>
      </c>
      <c r="B33" s="61" t="s">
        <v>13</v>
      </c>
      <c r="C33" s="61" t="s">
        <v>14</v>
      </c>
      <c r="D33" s="61" t="s">
        <v>149</v>
      </c>
      <c r="E33" s="78">
        <v>50100624324501</v>
      </c>
      <c r="F33" s="61" t="s">
        <v>150</v>
      </c>
      <c r="G33" s="53">
        <v>1900</v>
      </c>
      <c r="H33" s="62">
        <v>46028</v>
      </c>
      <c r="I33" s="61" t="s">
        <v>1513</v>
      </c>
      <c r="J33" s="61" t="s">
        <v>1495</v>
      </c>
      <c r="K33" s="53">
        <v>352506207</v>
      </c>
      <c r="L33" s="61">
        <v>8789141433</v>
      </c>
      <c r="M33" s="55" t="s">
        <v>1564</v>
      </c>
    </row>
    <row r="34" spans="1:13" x14ac:dyDescent="0.25">
      <c r="A34" s="53" t="s">
        <v>12</v>
      </c>
      <c r="B34" s="53" t="s">
        <v>13</v>
      </c>
      <c r="C34" s="53" t="s">
        <v>14</v>
      </c>
      <c r="D34" s="53" t="s">
        <v>343</v>
      </c>
      <c r="E34" s="54">
        <v>37223550583</v>
      </c>
      <c r="F34" s="53" t="s">
        <v>33</v>
      </c>
      <c r="G34" s="53">
        <v>5200</v>
      </c>
      <c r="H34" s="62">
        <v>46029</v>
      </c>
      <c r="I34" s="61" t="s">
        <v>895</v>
      </c>
      <c r="J34" s="61" t="s">
        <v>896</v>
      </c>
      <c r="K34" s="53">
        <v>352506208</v>
      </c>
      <c r="L34" s="53">
        <v>9031258705</v>
      </c>
      <c r="M34" s="55" t="s">
        <v>1817</v>
      </c>
    </row>
    <row r="35" spans="1:13" x14ac:dyDescent="0.25">
      <c r="A35" s="61" t="s">
        <v>12</v>
      </c>
      <c r="B35" s="61" t="s">
        <v>13</v>
      </c>
      <c r="C35" s="61" t="s">
        <v>14</v>
      </c>
      <c r="D35" s="61" t="s">
        <v>149</v>
      </c>
      <c r="E35" s="78">
        <v>50100624324501</v>
      </c>
      <c r="F35" s="61" t="s">
        <v>150</v>
      </c>
      <c r="G35" s="53">
        <v>4950</v>
      </c>
      <c r="H35" s="62">
        <v>46029</v>
      </c>
      <c r="I35" s="61" t="s">
        <v>1513</v>
      </c>
      <c r="J35" s="61" t="s">
        <v>1495</v>
      </c>
      <c r="K35" s="53">
        <v>352506207</v>
      </c>
      <c r="L35" s="61">
        <v>8789141433</v>
      </c>
      <c r="M35" s="55" t="s">
        <v>1565</v>
      </c>
    </row>
    <row r="36" spans="1:13" x14ac:dyDescent="0.25">
      <c r="A36" s="53" t="s">
        <v>12</v>
      </c>
      <c r="B36" s="53" t="s">
        <v>13</v>
      </c>
      <c r="C36" s="53" t="s">
        <v>14</v>
      </c>
      <c r="D36" s="53" t="s">
        <v>108</v>
      </c>
      <c r="E36" s="53" t="s">
        <v>109</v>
      </c>
      <c r="F36" s="53" t="s">
        <v>110</v>
      </c>
      <c r="G36" s="53">
        <v>1000</v>
      </c>
      <c r="H36" s="62">
        <v>46029</v>
      </c>
      <c r="I36" s="61" t="s">
        <v>1483</v>
      </c>
      <c r="J36" s="61" t="s">
        <v>1484</v>
      </c>
      <c r="K36" s="53">
        <v>352506236</v>
      </c>
      <c r="L36" s="53">
        <v>7870570436</v>
      </c>
      <c r="M36" s="55" t="s">
        <v>1566</v>
      </c>
    </row>
    <row r="37" spans="1:13" x14ac:dyDescent="0.25">
      <c r="A37" s="53" t="s">
        <v>12</v>
      </c>
      <c r="B37" s="53" t="s">
        <v>13</v>
      </c>
      <c r="C37" s="53" t="s">
        <v>14</v>
      </c>
      <c r="D37" s="53" t="s">
        <v>108</v>
      </c>
      <c r="E37" s="53" t="s">
        <v>109</v>
      </c>
      <c r="F37" s="53" t="s">
        <v>110</v>
      </c>
      <c r="G37" s="53">
        <v>700</v>
      </c>
      <c r="H37" s="62">
        <v>46029</v>
      </c>
      <c r="I37" s="61" t="s">
        <v>1483</v>
      </c>
      <c r="J37" s="61" t="s">
        <v>1484</v>
      </c>
      <c r="K37" s="53">
        <v>352506239</v>
      </c>
      <c r="L37" s="53">
        <v>7870570436</v>
      </c>
      <c r="M37" s="55" t="s">
        <v>1566</v>
      </c>
    </row>
    <row r="38" spans="1:13" x14ac:dyDescent="0.25">
      <c r="A38" s="53" t="s">
        <v>12</v>
      </c>
      <c r="B38" s="53" t="s">
        <v>13</v>
      </c>
      <c r="C38" s="53" t="s">
        <v>14</v>
      </c>
      <c r="D38" s="53" t="s">
        <v>108</v>
      </c>
      <c r="E38" s="53" t="s">
        <v>109</v>
      </c>
      <c r="F38" s="53" t="s">
        <v>110</v>
      </c>
      <c r="G38" s="53">
        <v>700</v>
      </c>
      <c r="H38" s="62">
        <v>46029</v>
      </c>
      <c r="I38" s="61" t="s">
        <v>1483</v>
      </c>
      <c r="J38" s="61" t="s">
        <v>1484</v>
      </c>
      <c r="K38" s="53">
        <v>352506240</v>
      </c>
      <c r="L38" s="53">
        <v>7870570436</v>
      </c>
      <c r="M38" s="55" t="s">
        <v>1566</v>
      </c>
    </row>
    <row r="39" spans="1:13" x14ac:dyDescent="0.25">
      <c r="A39" s="53" t="s">
        <v>12</v>
      </c>
      <c r="B39" s="53" t="s">
        <v>13</v>
      </c>
      <c r="C39" s="53" t="s">
        <v>14</v>
      </c>
      <c r="D39" s="53" t="s">
        <v>993</v>
      </c>
      <c r="E39" s="69">
        <v>50100683547664</v>
      </c>
      <c r="F39" s="60" t="s">
        <v>994</v>
      </c>
      <c r="G39" s="53">
        <v>1000</v>
      </c>
      <c r="H39" s="62">
        <v>46029</v>
      </c>
      <c r="I39" s="61" t="s">
        <v>1497</v>
      </c>
      <c r="J39" s="61" t="s">
        <v>1498</v>
      </c>
      <c r="K39" s="53">
        <v>352506233</v>
      </c>
      <c r="L39" s="60">
        <v>8093441726</v>
      </c>
      <c r="M39" s="55" t="s">
        <v>1567</v>
      </c>
    </row>
    <row r="40" spans="1:13" x14ac:dyDescent="0.25">
      <c r="A40" s="53" t="s">
        <v>12</v>
      </c>
      <c r="B40" s="53" t="s">
        <v>13</v>
      </c>
      <c r="C40" s="53" t="s">
        <v>14</v>
      </c>
      <c r="D40" s="53" t="s">
        <v>36</v>
      </c>
      <c r="E40" s="53" t="s">
        <v>37</v>
      </c>
      <c r="F40" s="53" t="s">
        <v>38</v>
      </c>
      <c r="G40" s="53">
        <v>1000</v>
      </c>
      <c r="H40" s="62">
        <v>46029</v>
      </c>
      <c r="I40" s="53" t="s">
        <v>902</v>
      </c>
      <c r="J40" s="53" t="s">
        <v>901</v>
      </c>
      <c r="K40" s="53">
        <v>352506231</v>
      </c>
      <c r="L40" s="53">
        <v>9358936441</v>
      </c>
      <c r="M40" s="55" t="s">
        <v>1567</v>
      </c>
    </row>
    <row r="41" spans="1:13" x14ac:dyDescent="0.25">
      <c r="A41" s="53" t="s">
        <v>12</v>
      </c>
      <c r="B41" s="53" t="s">
        <v>13</v>
      </c>
      <c r="C41" s="53" t="s">
        <v>14</v>
      </c>
      <c r="D41" s="53" t="s">
        <v>1406</v>
      </c>
      <c r="E41" s="69">
        <v>645602010014653</v>
      </c>
      <c r="F41" s="53" t="s">
        <v>1407</v>
      </c>
      <c r="G41" s="53">
        <v>1000</v>
      </c>
      <c r="H41" s="62">
        <v>46029</v>
      </c>
      <c r="I41" s="53" t="s">
        <v>903</v>
      </c>
      <c r="J41" s="53" t="s">
        <v>904</v>
      </c>
      <c r="K41" s="53">
        <v>352506232</v>
      </c>
      <c r="L41" s="53">
        <v>8084480157</v>
      </c>
      <c r="M41" s="55" t="s">
        <v>1567</v>
      </c>
    </row>
    <row r="42" spans="1:13" x14ac:dyDescent="0.25">
      <c r="A42" s="61" t="s">
        <v>12</v>
      </c>
      <c r="B42" s="61" t="s">
        <v>13</v>
      </c>
      <c r="C42" s="61" t="s">
        <v>14</v>
      </c>
      <c r="D42" s="61" t="s">
        <v>31</v>
      </c>
      <c r="E42" s="61" t="s">
        <v>32</v>
      </c>
      <c r="F42" s="61" t="s">
        <v>33</v>
      </c>
      <c r="G42" s="53">
        <v>1000</v>
      </c>
      <c r="H42" s="62">
        <v>46029</v>
      </c>
      <c r="I42" s="61" t="s">
        <v>571</v>
      </c>
      <c r="J42" s="61" t="s">
        <v>59</v>
      </c>
      <c r="K42" s="53">
        <v>352506190</v>
      </c>
      <c r="L42" s="61">
        <v>9347726061</v>
      </c>
      <c r="M42" s="55" t="s">
        <v>1568</v>
      </c>
    </row>
    <row r="43" spans="1:13" x14ac:dyDescent="0.25">
      <c r="A43" s="53" t="s">
        <v>12</v>
      </c>
      <c r="B43" s="53" t="s">
        <v>13</v>
      </c>
      <c r="C43" s="53" t="s">
        <v>14</v>
      </c>
      <c r="D43" s="53" t="s">
        <v>144</v>
      </c>
      <c r="E43" s="53">
        <v>44182579159</v>
      </c>
      <c r="F43" s="53" t="s">
        <v>145</v>
      </c>
      <c r="G43" s="53">
        <v>6000</v>
      </c>
      <c r="H43" s="62">
        <v>46030</v>
      </c>
      <c r="I43" s="53" t="s">
        <v>652</v>
      </c>
      <c r="J43" s="53" t="s">
        <v>147</v>
      </c>
      <c r="K43" s="53">
        <v>352506213</v>
      </c>
      <c r="L43" s="53">
        <v>7765824237</v>
      </c>
      <c r="M43" s="55" t="s">
        <v>1569</v>
      </c>
    </row>
    <row r="44" spans="1:13" x14ac:dyDescent="0.25">
      <c r="A44" s="53" t="s">
        <v>12</v>
      </c>
      <c r="B44" s="53" t="s">
        <v>13</v>
      </c>
      <c r="C44" s="53" t="s">
        <v>14</v>
      </c>
      <c r="D44" s="53" t="s">
        <v>993</v>
      </c>
      <c r="E44" s="69">
        <v>50100683547664</v>
      </c>
      <c r="F44" s="60" t="s">
        <v>994</v>
      </c>
      <c r="G44" s="53">
        <v>7500</v>
      </c>
      <c r="H44" s="62">
        <v>46030</v>
      </c>
      <c r="I44" s="61" t="s">
        <v>1497</v>
      </c>
      <c r="J44" s="61" t="s">
        <v>1498</v>
      </c>
      <c r="K44" s="53">
        <v>352506233</v>
      </c>
      <c r="L44" s="60">
        <v>8093441726</v>
      </c>
      <c r="M44" s="55" t="s">
        <v>1570</v>
      </c>
    </row>
    <row r="45" spans="1:13" x14ac:dyDescent="0.25">
      <c r="A45" s="53" t="s">
        <v>12</v>
      </c>
      <c r="B45" s="53" t="s">
        <v>13</v>
      </c>
      <c r="C45" s="53" t="s">
        <v>14</v>
      </c>
      <c r="D45" s="53" t="s">
        <v>36</v>
      </c>
      <c r="E45" s="53" t="s">
        <v>37</v>
      </c>
      <c r="F45" s="53" t="s">
        <v>38</v>
      </c>
      <c r="G45" s="53">
        <v>7500</v>
      </c>
      <c r="H45" s="62">
        <v>46030</v>
      </c>
      <c r="I45" s="53" t="s">
        <v>902</v>
      </c>
      <c r="J45" s="53" t="s">
        <v>901</v>
      </c>
      <c r="K45" s="53">
        <v>352506231</v>
      </c>
      <c r="L45" s="53">
        <v>9358936441</v>
      </c>
      <c r="M45" s="55" t="s">
        <v>1570</v>
      </c>
    </row>
    <row r="46" spans="1:13" x14ac:dyDescent="0.25">
      <c r="A46" s="53" t="s">
        <v>12</v>
      </c>
      <c r="B46" s="53" t="s">
        <v>13</v>
      </c>
      <c r="C46" s="53" t="s">
        <v>14</v>
      </c>
      <c r="D46" s="53" t="s">
        <v>1406</v>
      </c>
      <c r="E46" s="69">
        <v>645602010014653</v>
      </c>
      <c r="F46" s="53" t="s">
        <v>1407</v>
      </c>
      <c r="G46" s="53">
        <v>5200</v>
      </c>
      <c r="H46" s="62">
        <v>46030</v>
      </c>
      <c r="I46" s="53" t="s">
        <v>903</v>
      </c>
      <c r="J46" s="53" t="s">
        <v>904</v>
      </c>
      <c r="K46" s="53">
        <v>352506232</v>
      </c>
      <c r="L46" s="53">
        <v>8084480157</v>
      </c>
      <c r="M46" s="55" t="s">
        <v>1571</v>
      </c>
    </row>
    <row r="47" spans="1:13" x14ac:dyDescent="0.25">
      <c r="A47" s="61" t="s">
        <v>12</v>
      </c>
      <c r="B47" s="61" t="s">
        <v>13</v>
      </c>
      <c r="C47" s="61" t="s">
        <v>14</v>
      </c>
      <c r="D47" s="61" t="s">
        <v>31</v>
      </c>
      <c r="E47" s="61" t="s">
        <v>32</v>
      </c>
      <c r="F47" s="61" t="s">
        <v>33</v>
      </c>
      <c r="G47" s="53">
        <v>1000</v>
      </c>
      <c r="H47" s="62">
        <v>46030</v>
      </c>
      <c r="I47" s="61" t="s">
        <v>571</v>
      </c>
      <c r="J47" s="61" t="s">
        <v>59</v>
      </c>
      <c r="K47" s="53">
        <v>352505903</v>
      </c>
      <c r="L47" s="61">
        <v>9347726061</v>
      </c>
      <c r="M47" s="55" t="s">
        <v>1572</v>
      </c>
    </row>
    <row r="48" spans="1:13" x14ac:dyDescent="0.25">
      <c r="A48" s="53" t="s">
        <v>12</v>
      </c>
      <c r="B48" s="53" t="s">
        <v>13</v>
      </c>
      <c r="C48" s="53" t="s">
        <v>14</v>
      </c>
      <c r="D48" s="53" t="s">
        <v>343</v>
      </c>
      <c r="E48" s="54">
        <v>37223550583</v>
      </c>
      <c r="F48" s="53" t="s">
        <v>33</v>
      </c>
      <c r="G48" s="53">
        <v>6000</v>
      </c>
      <c r="H48" s="62">
        <v>46030</v>
      </c>
      <c r="I48" s="61" t="s">
        <v>895</v>
      </c>
      <c r="J48" s="61" t="s">
        <v>896</v>
      </c>
      <c r="K48" s="53">
        <v>352506208</v>
      </c>
      <c r="L48" s="53">
        <v>9031258705</v>
      </c>
      <c r="M48" s="55" t="s">
        <v>1569</v>
      </c>
    </row>
    <row r="49" spans="1:13" x14ac:dyDescent="0.25">
      <c r="A49" s="61" t="s">
        <v>12</v>
      </c>
      <c r="B49" s="61" t="s">
        <v>13</v>
      </c>
      <c r="C49" s="61" t="s">
        <v>14</v>
      </c>
      <c r="D49" s="61" t="s">
        <v>149</v>
      </c>
      <c r="E49" s="78">
        <v>50100624324501</v>
      </c>
      <c r="F49" s="61" t="s">
        <v>150</v>
      </c>
      <c r="G49" s="53">
        <v>6000</v>
      </c>
      <c r="H49" s="62">
        <v>46030</v>
      </c>
      <c r="I49" s="61" t="s">
        <v>1513</v>
      </c>
      <c r="J49" s="61" t="s">
        <v>1495</v>
      </c>
      <c r="K49" s="53">
        <v>352506207</v>
      </c>
      <c r="L49" s="61">
        <v>8789141433</v>
      </c>
      <c r="M49" s="55" t="s">
        <v>1569</v>
      </c>
    </row>
    <row r="50" spans="1:13" x14ac:dyDescent="0.25">
      <c r="A50" s="53" t="s">
        <v>12</v>
      </c>
      <c r="B50" s="53" t="s">
        <v>13</v>
      </c>
      <c r="C50" s="53" t="s">
        <v>14</v>
      </c>
      <c r="D50" s="53" t="s">
        <v>36</v>
      </c>
      <c r="E50" s="53" t="s">
        <v>37</v>
      </c>
      <c r="F50" s="53" t="s">
        <v>38</v>
      </c>
      <c r="G50" s="53">
        <v>200</v>
      </c>
      <c r="H50" s="62">
        <v>46031</v>
      </c>
      <c r="I50" s="53" t="s">
        <v>902</v>
      </c>
      <c r="J50" s="53" t="s">
        <v>901</v>
      </c>
      <c r="K50" s="53">
        <v>352506231</v>
      </c>
      <c r="L50" s="53">
        <v>9358936441</v>
      </c>
      <c r="M50" s="55" t="s">
        <v>1573</v>
      </c>
    </row>
    <row r="51" spans="1:13" x14ac:dyDescent="0.25">
      <c r="A51" s="53" t="s">
        <v>12</v>
      </c>
      <c r="B51" s="53" t="s">
        <v>13</v>
      </c>
      <c r="C51" s="53" t="s">
        <v>14</v>
      </c>
      <c r="D51" s="53" t="s">
        <v>144</v>
      </c>
      <c r="E51" s="53">
        <v>44182579159</v>
      </c>
      <c r="F51" s="53" t="s">
        <v>145</v>
      </c>
      <c r="G51" s="53">
        <v>1000</v>
      </c>
      <c r="H51" s="62">
        <v>46031</v>
      </c>
      <c r="I51" s="53" t="s">
        <v>652</v>
      </c>
      <c r="J51" s="53" t="s">
        <v>147</v>
      </c>
      <c r="K51" s="53">
        <v>352506286</v>
      </c>
      <c r="L51" s="53">
        <v>7765824237</v>
      </c>
      <c r="M51" s="55" t="s">
        <v>1574</v>
      </c>
    </row>
    <row r="52" spans="1:13" x14ac:dyDescent="0.25">
      <c r="A52" s="53" t="s">
        <v>12</v>
      </c>
      <c r="B52" s="53" t="s">
        <v>13</v>
      </c>
      <c r="C52" s="53" t="s">
        <v>14</v>
      </c>
      <c r="D52" s="53" t="s">
        <v>152</v>
      </c>
      <c r="E52" s="53" t="s">
        <v>153</v>
      </c>
      <c r="F52" s="60" t="s">
        <v>154</v>
      </c>
      <c r="G52" s="53">
        <v>1000</v>
      </c>
      <c r="H52" s="62">
        <v>46031</v>
      </c>
      <c r="I52" s="61" t="s">
        <v>1485</v>
      </c>
      <c r="J52" s="61" t="s">
        <v>1486</v>
      </c>
      <c r="K52" s="53">
        <v>352506287</v>
      </c>
      <c r="L52" s="60">
        <v>8084080392</v>
      </c>
      <c r="M52" s="55" t="s">
        <v>1574</v>
      </c>
    </row>
    <row r="53" spans="1:13" x14ac:dyDescent="0.25">
      <c r="A53" s="53" t="s">
        <v>12</v>
      </c>
      <c r="B53" s="53" t="s">
        <v>13</v>
      </c>
      <c r="C53" s="53" t="s">
        <v>14</v>
      </c>
      <c r="D53" s="53" t="s">
        <v>1406</v>
      </c>
      <c r="E53" s="69">
        <v>645602010014653</v>
      </c>
      <c r="F53" s="53" t="s">
        <v>1407</v>
      </c>
      <c r="G53" s="53">
        <v>5450</v>
      </c>
      <c r="H53" s="62">
        <v>46031</v>
      </c>
      <c r="I53" s="53" t="s">
        <v>903</v>
      </c>
      <c r="J53" s="53" t="s">
        <v>904</v>
      </c>
      <c r="K53" s="53">
        <v>352506299</v>
      </c>
      <c r="L53" s="53">
        <v>8084480157</v>
      </c>
      <c r="M53" s="55" t="s">
        <v>685</v>
      </c>
    </row>
    <row r="54" spans="1:13" x14ac:dyDescent="0.25">
      <c r="A54" s="53" t="s">
        <v>12</v>
      </c>
      <c r="B54" s="53" t="s">
        <v>13</v>
      </c>
      <c r="C54" s="53" t="s">
        <v>14</v>
      </c>
      <c r="D54" s="53" t="s">
        <v>108</v>
      </c>
      <c r="E54" s="53" t="s">
        <v>109</v>
      </c>
      <c r="F54" s="53" t="s">
        <v>110</v>
      </c>
      <c r="G54" s="53">
        <v>1000</v>
      </c>
      <c r="H54" s="62">
        <v>46031</v>
      </c>
      <c r="I54" s="61" t="s">
        <v>1483</v>
      </c>
      <c r="J54" s="61" t="s">
        <v>1484</v>
      </c>
      <c r="K54" s="53">
        <v>352506291</v>
      </c>
      <c r="L54" s="53">
        <v>7870570436</v>
      </c>
      <c r="M54" s="55" t="s">
        <v>1576</v>
      </c>
    </row>
    <row r="55" spans="1:13" x14ac:dyDescent="0.25">
      <c r="A55" s="53" t="s">
        <v>12</v>
      </c>
      <c r="B55" s="53" t="s">
        <v>13</v>
      </c>
      <c r="C55" s="53" t="s">
        <v>14</v>
      </c>
      <c r="D55" s="53" t="s">
        <v>108</v>
      </c>
      <c r="E55" s="53" t="s">
        <v>109</v>
      </c>
      <c r="F55" s="53" t="s">
        <v>110</v>
      </c>
      <c r="G55" s="53">
        <v>700</v>
      </c>
      <c r="H55" s="62">
        <v>46031</v>
      </c>
      <c r="I55" s="61" t="s">
        <v>1483</v>
      </c>
      <c r="J55" s="61" t="s">
        <v>1484</v>
      </c>
      <c r="K55" s="53">
        <v>352506294</v>
      </c>
      <c r="L55" s="53">
        <v>7870570436</v>
      </c>
      <c r="M55" s="55" t="s">
        <v>1576</v>
      </c>
    </row>
    <row r="56" spans="1:13" x14ac:dyDescent="0.25">
      <c r="A56" s="53" t="s">
        <v>12</v>
      </c>
      <c r="B56" s="53" t="s">
        <v>13</v>
      </c>
      <c r="C56" s="53" t="s">
        <v>14</v>
      </c>
      <c r="D56" s="53" t="s">
        <v>48</v>
      </c>
      <c r="E56" s="53" t="s">
        <v>49</v>
      </c>
      <c r="F56" s="53" t="s">
        <v>50</v>
      </c>
      <c r="G56" s="53">
        <v>1000</v>
      </c>
      <c r="H56" s="62">
        <v>46031</v>
      </c>
      <c r="I56" s="53" t="s">
        <v>1519</v>
      </c>
      <c r="J56" s="53" t="s">
        <v>1520</v>
      </c>
      <c r="K56" s="53">
        <v>352506292</v>
      </c>
      <c r="L56" s="53">
        <v>8520078561</v>
      </c>
      <c r="M56" s="55" t="s">
        <v>1576</v>
      </c>
    </row>
    <row r="57" spans="1:13" x14ac:dyDescent="0.25">
      <c r="A57" s="53" t="s">
        <v>12</v>
      </c>
      <c r="B57" s="53" t="s">
        <v>13</v>
      </c>
      <c r="C57" s="53" t="s">
        <v>14</v>
      </c>
      <c r="D57" s="53" t="s">
        <v>48</v>
      </c>
      <c r="E57" s="53" t="s">
        <v>49</v>
      </c>
      <c r="F57" s="53" t="s">
        <v>50</v>
      </c>
      <c r="G57" s="53">
        <v>700</v>
      </c>
      <c r="H57" s="62">
        <v>46031</v>
      </c>
      <c r="I57" s="53" t="s">
        <v>1519</v>
      </c>
      <c r="J57" s="53" t="s">
        <v>1520</v>
      </c>
      <c r="K57" s="53">
        <v>352506293</v>
      </c>
      <c r="L57" s="53">
        <v>8520078561</v>
      </c>
      <c r="M57" s="55" t="s">
        <v>1576</v>
      </c>
    </row>
    <row r="58" spans="1:13" x14ac:dyDescent="0.25">
      <c r="A58" s="53" t="s">
        <v>12</v>
      </c>
      <c r="B58" s="53" t="s">
        <v>13</v>
      </c>
      <c r="C58" s="53" t="s">
        <v>14</v>
      </c>
      <c r="D58" s="53" t="s">
        <v>108</v>
      </c>
      <c r="E58" s="53" t="s">
        <v>109</v>
      </c>
      <c r="F58" s="53" t="s">
        <v>110</v>
      </c>
      <c r="G58" s="53">
        <v>3500</v>
      </c>
      <c r="H58" s="62">
        <v>46031</v>
      </c>
      <c r="I58" s="61" t="s">
        <v>1483</v>
      </c>
      <c r="J58" s="61" t="s">
        <v>1484</v>
      </c>
      <c r="K58" s="53">
        <v>352506294</v>
      </c>
      <c r="L58" s="53">
        <v>7870570436</v>
      </c>
      <c r="M58" s="55" t="s">
        <v>1575</v>
      </c>
    </row>
    <row r="59" spans="1:13" x14ac:dyDescent="0.25">
      <c r="A59" s="53" t="s">
        <v>12</v>
      </c>
      <c r="B59" s="53" t="s">
        <v>13</v>
      </c>
      <c r="C59" s="53" t="s">
        <v>14</v>
      </c>
      <c r="D59" s="53" t="s">
        <v>48</v>
      </c>
      <c r="E59" s="53" t="s">
        <v>49</v>
      </c>
      <c r="F59" s="53" t="s">
        <v>50</v>
      </c>
      <c r="G59" s="53">
        <v>3500</v>
      </c>
      <c r="H59" s="62">
        <v>46031</v>
      </c>
      <c r="I59" s="53" t="s">
        <v>1519</v>
      </c>
      <c r="J59" s="53" t="s">
        <v>1520</v>
      </c>
      <c r="K59" s="53">
        <v>352506293</v>
      </c>
      <c r="L59" s="53">
        <v>8520078561</v>
      </c>
      <c r="M59" s="55" t="s">
        <v>1575</v>
      </c>
    </row>
    <row r="60" spans="1:13" x14ac:dyDescent="0.25">
      <c r="A60" s="53" t="s">
        <v>12</v>
      </c>
      <c r="B60" s="53" t="s">
        <v>13</v>
      </c>
      <c r="C60" s="53" t="s">
        <v>14</v>
      </c>
      <c r="D60" s="53" t="s">
        <v>144</v>
      </c>
      <c r="E60" s="53">
        <v>44182579159</v>
      </c>
      <c r="F60" s="53" t="s">
        <v>145</v>
      </c>
      <c r="G60" s="53">
        <v>1500</v>
      </c>
      <c r="H60" s="62">
        <v>46032</v>
      </c>
      <c r="I60" s="53" t="s">
        <v>652</v>
      </c>
      <c r="J60" s="53" t="s">
        <v>147</v>
      </c>
      <c r="K60" s="53">
        <v>352506286</v>
      </c>
      <c r="L60" s="53">
        <v>7765824237</v>
      </c>
      <c r="M60" s="55" t="s">
        <v>1577</v>
      </c>
    </row>
    <row r="61" spans="1:13" x14ac:dyDescent="0.25">
      <c r="A61" s="53" t="s">
        <v>12</v>
      </c>
      <c r="B61" s="53" t="s">
        <v>13</v>
      </c>
      <c r="C61" s="53" t="s">
        <v>14</v>
      </c>
      <c r="D61" s="53" t="s">
        <v>343</v>
      </c>
      <c r="E61" s="54">
        <v>37223550583</v>
      </c>
      <c r="F61" s="53" t="s">
        <v>33</v>
      </c>
      <c r="G61" s="53">
        <v>1000</v>
      </c>
      <c r="H61" s="62">
        <v>46032</v>
      </c>
      <c r="I61" s="61" t="s">
        <v>895</v>
      </c>
      <c r="J61" s="61" t="s">
        <v>896</v>
      </c>
      <c r="K61" s="53">
        <v>352506316</v>
      </c>
      <c r="L61" s="53">
        <v>9031258705</v>
      </c>
      <c r="M61" s="55" t="s">
        <v>1578</v>
      </c>
    </row>
    <row r="62" spans="1:13" x14ac:dyDescent="0.25">
      <c r="A62" s="61" t="s">
        <v>12</v>
      </c>
      <c r="B62" s="61" t="s">
        <v>13</v>
      </c>
      <c r="C62" s="61" t="s">
        <v>14</v>
      </c>
      <c r="D62" s="61" t="s">
        <v>149</v>
      </c>
      <c r="E62" s="78">
        <v>50100624324501</v>
      </c>
      <c r="F62" s="61" t="s">
        <v>150</v>
      </c>
      <c r="G62" s="53">
        <v>1000</v>
      </c>
      <c r="H62" s="62">
        <v>46032</v>
      </c>
      <c r="I62" s="61" t="s">
        <v>1513</v>
      </c>
      <c r="J62" s="61" t="s">
        <v>1495</v>
      </c>
      <c r="K62" s="53">
        <v>352506317</v>
      </c>
      <c r="L62" s="61">
        <v>8789141433</v>
      </c>
      <c r="M62" s="55" t="s">
        <v>1578</v>
      </c>
    </row>
    <row r="63" spans="1:13" x14ac:dyDescent="0.25">
      <c r="A63" s="53" t="s">
        <v>12</v>
      </c>
      <c r="B63" s="53" t="s">
        <v>13</v>
      </c>
      <c r="C63" s="53" t="s">
        <v>14</v>
      </c>
      <c r="D63" s="53" t="s">
        <v>108</v>
      </c>
      <c r="E63" s="53" t="s">
        <v>109</v>
      </c>
      <c r="F63" s="53" t="s">
        <v>110</v>
      </c>
      <c r="G63" s="53">
        <v>1000</v>
      </c>
      <c r="H63" s="62">
        <v>46032</v>
      </c>
      <c r="I63" s="61" t="s">
        <v>1483</v>
      </c>
      <c r="J63" s="61" t="s">
        <v>1484</v>
      </c>
      <c r="K63" s="53">
        <v>352506322</v>
      </c>
      <c r="L63" s="53">
        <v>7870570436</v>
      </c>
      <c r="M63" s="55" t="s">
        <v>1579</v>
      </c>
    </row>
    <row r="64" spans="1:13" x14ac:dyDescent="0.25">
      <c r="A64" s="53" t="s">
        <v>12</v>
      </c>
      <c r="B64" s="53" t="s">
        <v>13</v>
      </c>
      <c r="C64" s="53" t="s">
        <v>14</v>
      </c>
      <c r="D64" s="53" t="s">
        <v>108</v>
      </c>
      <c r="E64" s="53" t="s">
        <v>109</v>
      </c>
      <c r="F64" s="53" t="s">
        <v>110</v>
      </c>
      <c r="G64" s="53">
        <v>700</v>
      </c>
      <c r="H64" s="62">
        <v>46032</v>
      </c>
      <c r="I64" s="61" t="s">
        <v>1483</v>
      </c>
      <c r="J64" s="61" t="s">
        <v>1484</v>
      </c>
      <c r="K64" s="53">
        <v>352506325</v>
      </c>
      <c r="L64" s="53">
        <v>7870570436</v>
      </c>
      <c r="M64" s="55" t="s">
        <v>1579</v>
      </c>
    </row>
    <row r="65" spans="1:13" x14ac:dyDescent="0.25">
      <c r="A65" s="53" t="s">
        <v>12</v>
      </c>
      <c r="B65" s="53" t="s">
        <v>13</v>
      </c>
      <c r="C65" s="53" t="s">
        <v>14</v>
      </c>
      <c r="D65" s="53" t="s">
        <v>48</v>
      </c>
      <c r="E65" s="53" t="s">
        <v>49</v>
      </c>
      <c r="F65" s="53" t="s">
        <v>50</v>
      </c>
      <c r="G65" s="53">
        <v>1000</v>
      </c>
      <c r="H65" s="62">
        <v>46032</v>
      </c>
      <c r="I65" s="53" t="s">
        <v>1519</v>
      </c>
      <c r="J65" s="53" t="s">
        <v>1520</v>
      </c>
      <c r="K65" s="53">
        <v>352506323</v>
      </c>
      <c r="L65" s="53">
        <v>8520078561</v>
      </c>
      <c r="M65" s="55" t="s">
        <v>1579</v>
      </c>
    </row>
    <row r="66" spans="1:13" x14ac:dyDescent="0.25">
      <c r="A66" s="53" t="s">
        <v>12</v>
      </c>
      <c r="B66" s="53" t="s">
        <v>13</v>
      </c>
      <c r="C66" s="53" t="s">
        <v>14</v>
      </c>
      <c r="D66" s="53" t="s">
        <v>48</v>
      </c>
      <c r="E66" s="53" t="s">
        <v>49</v>
      </c>
      <c r="F66" s="53" t="s">
        <v>50</v>
      </c>
      <c r="G66" s="53">
        <v>700</v>
      </c>
      <c r="H66" s="62">
        <v>46032</v>
      </c>
      <c r="I66" s="53" t="s">
        <v>1519</v>
      </c>
      <c r="J66" s="53" t="s">
        <v>1520</v>
      </c>
      <c r="K66" s="53">
        <v>352506324</v>
      </c>
      <c r="L66" s="53">
        <v>8520078561</v>
      </c>
      <c r="M66" s="55" t="s">
        <v>1579</v>
      </c>
    </row>
    <row r="67" spans="1:13" x14ac:dyDescent="0.25">
      <c r="A67" s="53" t="s">
        <v>12</v>
      </c>
      <c r="B67" s="53" t="s">
        <v>13</v>
      </c>
      <c r="C67" s="53" t="s">
        <v>14</v>
      </c>
      <c r="D67" s="53" t="s">
        <v>48</v>
      </c>
      <c r="E67" s="53" t="s">
        <v>49</v>
      </c>
      <c r="F67" s="53" t="s">
        <v>50</v>
      </c>
      <c r="G67" s="53">
        <v>1500</v>
      </c>
      <c r="H67" s="62">
        <v>46032</v>
      </c>
      <c r="I67" s="53" t="s">
        <v>1519</v>
      </c>
      <c r="J67" s="53" t="s">
        <v>1520</v>
      </c>
      <c r="K67" s="53">
        <v>352506347</v>
      </c>
      <c r="L67" s="53">
        <v>8520078561</v>
      </c>
      <c r="M67" s="55" t="s">
        <v>1580</v>
      </c>
    </row>
    <row r="68" spans="1:13" x14ac:dyDescent="0.25">
      <c r="A68" s="53" t="s">
        <v>12</v>
      </c>
      <c r="B68" s="53" t="s">
        <v>13</v>
      </c>
      <c r="C68" s="53" t="s">
        <v>14</v>
      </c>
      <c r="D68" s="53" t="s">
        <v>108</v>
      </c>
      <c r="E68" s="53" t="s">
        <v>109</v>
      </c>
      <c r="F68" s="53" t="s">
        <v>110</v>
      </c>
      <c r="G68" s="53">
        <v>1500</v>
      </c>
      <c r="H68" s="62">
        <v>46032</v>
      </c>
      <c r="I68" s="61" t="s">
        <v>1483</v>
      </c>
      <c r="J68" s="61" t="s">
        <v>1484</v>
      </c>
      <c r="K68" s="53">
        <v>352506348</v>
      </c>
      <c r="L68" s="53">
        <v>7870570436</v>
      </c>
      <c r="M68" s="55" t="s">
        <v>1580</v>
      </c>
    </row>
    <row r="69" spans="1:13" x14ac:dyDescent="0.25">
      <c r="A69" s="53" t="s">
        <v>12</v>
      </c>
      <c r="B69" s="53" t="s">
        <v>13</v>
      </c>
      <c r="C69" s="53" t="s">
        <v>14</v>
      </c>
      <c r="D69" s="53" t="s">
        <v>152</v>
      </c>
      <c r="E69" s="53" t="s">
        <v>153</v>
      </c>
      <c r="F69" s="60" t="s">
        <v>154</v>
      </c>
      <c r="G69" s="53">
        <v>5450</v>
      </c>
      <c r="H69" s="62">
        <v>46032</v>
      </c>
      <c r="I69" s="61" t="s">
        <v>1485</v>
      </c>
      <c r="J69" s="61" t="s">
        <v>1486</v>
      </c>
      <c r="K69" s="53">
        <v>352506287</v>
      </c>
      <c r="L69" s="60">
        <v>8084080392</v>
      </c>
      <c r="M69" s="55" t="s">
        <v>1581</v>
      </c>
    </row>
    <row r="70" spans="1:13" x14ac:dyDescent="0.25">
      <c r="A70" s="53" t="s">
        <v>12</v>
      </c>
      <c r="B70" s="53" t="s">
        <v>13</v>
      </c>
      <c r="C70" s="53" t="s">
        <v>14</v>
      </c>
      <c r="D70" s="53" t="s">
        <v>343</v>
      </c>
      <c r="E70" s="54">
        <v>37223550583</v>
      </c>
      <c r="F70" s="53" t="s">
        <v>33</v>
      </c>
      <c r="G70" s="53">
        <v>5450</v>
      </c>
      <c r="H70" s="62">
        <v>46032</v>
      </c>
      <c r="I70" s="61" t="s">
        <v>895</v>
      </c>
      <c r="J70" s="61" t="s">
        <v>896</v>
      </c>
      <c r="K70" s="53">
        <v>352506316</v>
      </c>
      <c r="L70" s="53">
        <v>9031258705</v>
      </c>
      <c r="M70" s="55" t="s">
        <v>1581</v>
      </c>
    </row>
    <row r="71" spans="1:13" x14ac:dyDescent="0.25">
      <c r="A71" s="61" t="s">
        <v>12</v>
      </c>
      <c r="B71" s="61" t="s">
        <v>13</v>
      </c>
      <c r="C71" s="61" t="s">
        <v>14</v>
      </c>
      <c r="D71" s="61" t="s">
        <v>149</v>
      </c>
      <c r="E71" s="78">
        <v>50100624324501</v>
      </c>
      <c r="F71" s="61" t="s">
        <v>150</v>
      </c>
      <c r="G71" s="53">
        <v>5450</v>
      </c>
      <c r="H71" s="62">
        <v>46032</v>
      </c>
      <c r="I71" s="61" t="s">
        <v>1513</v>
      </c>
      <c r="J71" s="61" t="s">
        <v>1495</v>
      </c>
      <c r="K71" s="53">
        <v>352506317</v>
      </c>
      <c r="L71" s="61">
        <v>8789141433</v>
      </c>
      <c r="M71" s="55" t="s">
        <v>1581</v>
      </c>
    </row>
    <row r="72" spans="1:13" x14ac:dyDescent="0.25">
      <c r="A72" s="53" t="s">
        <v>12</v>
      </c>
      <c r="B72" s="53" t="s">
        <v>13</v>
      </c>
      <c r="C72" s="53" t="s">
        <v>14</v>
      </c>
      <c r="D72" s="53" t="s">
        <v>1406</v>
      </c>
      <c r="E72" s="69">
        <v>645602010014653</v>
      </c>
      <c r="F72" s="53" t="s">
        <v>1407</v>
      </c>
      <c r="G72" s="53">
        <v>7500</v>
      </c>
      <c r="H72" s="62">
        <v>46032</v>
      </c>
      <c r="I72" s="53" t="s">
        <v>903</v>
      </c>
      <c r="J72" s="53" t="s">
        <v>904</v>
      </c>
      <c r="K72" s="53">
        <v>352506346</v>
      </c>
      <c r="L72" s="53">
        <v>8084480157</v>
      </c>
      <c r="M72" s="55" t="s">
        <v>1582</v>
      </c>
    </row>
    <row r="73" spans="1:13" x14ac:dyDescent="0.25">
      <c r="A73" s="53" t="s">
        <v>12</v>
      </c>
      <c r="B73" s="53" t="s">
        <v>13</v>
      </c>
      <c r="C73" s="53" t="s">
        <v>14</v>
      </c>
      <c r="D73" s="53" t="s">
        <v>48</v>
      </c>
      <c r="E73" s="53" t="s">
        <v>49</v>
      </c>
      <c r="F73" s="53" t="s">
        <v>50</v>
      </c>
      <c r="G73" s="53">
        <v>5200</v>
      </c>
      <c r="H73" s="62">
        <v>46032</v>
      </c>
      <c r="I73" s="53" t="s">
        <v>1519</v>
      </c>
      <c r="J73" s="53" t="s">
        <v>1520</v>
      </c>
      <c r="K73" s="53">
        <v>352506347</v>
      </c>
      <c r="L73" s="53">
        <v>8520078561</v>
      </c>
      <c r="M73" s="55" t="s">
        <v>1583</v>
      </c>
    </row>
    <row r="74" spans="1:13" x14ac:dyDescent="0.25">
      <c r="A74" s="53" t="s">
        <v>12</v>
      </c>
      <c r="B74" s="53" t="s">
        <v>13</v>
      </c>
      <c r="C74" s="53" t="s">
        <v>14</v>
      </c>
      <c r="D74" s="53" t="s">
        <v>108</v>
      </c>
      <c r="E74" s="53" t="s">
        <v>109</v>
      </c>
      <c r="F74" s="53" t="s">
        <v>110</v>
      </c>
      <c r="G74" s="53">
        <v>4950</v>
      </c>
      <c r="H74" s="62">
        <v>46032</v>
      </c>
      <c r="I74" s="61" t="s">
        <v>1483</v>
      </c>
      <c r="J74" s="61" t="s">
        <v>1484</v>
      </c>
      <c r="K74" s="53">
        <v>352506348</v>
      </c>
      <c r="L74" s="53">
        <v>7870570436</v>
      </c>
      <c r="M74" s="55" t="s">
        <v>1584</v>
      </c>
    </row>
    <row r="75" spans="1:13" x14ac:dyDescent="0.25">
      <c r="A75" s="53" t="s">
        <v>12</v>
      </c>
      <c r="B75" s="53" t="s">
        <v>13</v>
      </c>
      <c r="C75" s="53" t="s">
        <v>14</v>
      </c>
      <c r="D75" s="53" t="s">
        <v>144</v>
      </c>
      <c r="E75" s="53">
        <v>44182579159</v>
      </c>
      <c r="F75" s="53" t="s">
        <v>145</v>
      </c>
      <c r="G75" s="53">
        <v>6100</v>
      </c>
      <c r="H75" s="62">
        <v>46034</v>
      </c>
      <c r="I75" s="53" t="s">
        <v>652</v>
      </c>
      <c r="J75" s="53" t="s">
        <v>147</v>
      </c>
      <c r="K75" s="53">
        <v>352506364</v>
      </c>
      <c r="L75" s="53">
        <v>7765824237</v>
      </c>
      <c r="M75" s="55" t="s">
        <v>1589</v>
      </c>
    </row>
    <row r="76" spans="1:13" x14ac:dyDescent="0.25">
      <c r="A76" s="53" t="s">
        <v>12</v>
      </c>
      <c r="B76" s="53" t="s">
        <v>13</v>
      </c>
      <c r="C76" s="53" t="s">
        <v>14</v>
      </c>
      <c r="D76" s="53" t="s">
        <v>144</v>
      </c>
      <c r="E76" s="53">
        <v>44182579159</v>
      </c>
      <c r="F76" s="53" t="s">
        <v>145</v>
      </c>
      <c r="G76" s="53">
        <v>500</v>
      </c>
      <c r="H76" s="62">
        <v>46034</v>
      </c>
      <c r="I76" s="53" t="s">
        <v>652</v>
      </c>
      <c r="J76" s="53" t="s">
        <v>147</v>
      </c>
      <c r="K76" s="53">
        <v>352506364</v>
      </c>
      <c r="L76" s="53">
        <v>7765824237</v>
      </c>
      <c r="M76" s="55" t="s">
        <v>1590</v>
      </c>
    </row>
    <row r="77" spans="1:13" x14ac:dyDescent="0.25">
      <c r="A77" s="53" t="s">
        <v>12</v>
      </c>
      <c r="B77" s="53" t="s">
        <v>13</v>
      </c>
      <c r="C77" s="53" t="s">
        <v>14</v>
      </c>
      <c r="D77" s="53" t="s">
        <v>152</v>
      </c>
      <c r="E77" s="53" t="s">
        <v>153</v>
      </c>
      <c r="F77" s="60" t="s">
        <v>154</v>
      </c>
      <c r="G77" s="53">
        <v>1500</v>
      </c>
      <c r="H77" s="62">
        <v>46034</v>
      </c>
      <c r="I77" s="61" t="s">
        <v>1485</v>
      </c>
      <c r="J77" s="61" t="s">
        <v>1486</v>
      </c>
      <c r="K77" s="53">
        <v>352506384</v>
      </c>
      <c r="L77" s="60">
        <v>8084080392</v>
      </c>
      <c r="M77" s="55" t="s">
        <v>1585</v>
      </c>
    </row>
    <row r="78" spans="1:13" x14ac:dyDescent="0.25">
      <c r="A78" s="53" t="s">
        <v>12</v>
      </c>
      <c r="B78" s="53" t="s">
        <v>13</v>
      </c>
      <c r="C78" s="53" t="s">
        <v>14</v>
      </c>
      <c r="D78" s="53" t="s">
        <v>152</v>
      </c>
      <c r="E78" s="53" t="s">
        <v>153</v>
      </c>
      <c r="F78" s="60" t="s">
        <v>154</v>
      </c>
      <c r="G78" s="53">
        <v>5200</v>
      </c>
      <c r="H78" s="62">
        <v>46034</v>
      </c>
      <c r="I78" s="61" t="s">
        <v>1485</v>
      </c>
      <c r="J78" s="61" t="s">
        <v>1486</v>
      </c>
      <c r="K78" s="53">
        <v>352506384</v>
      </c>
      <c r="L78" s="60">
        <v>8084080392</v>
      </c>
      <c r="M78" s="55" t="s">
        <v>1586</v>
      </c>
    </row>
    <row r="79" spans="1:13" x14ac:dyDescent="0.25">
      <c r="A79" s="53" t="s">
        <v>12</v>
      </c>
      <c r="B79" s="53" t="s">
        <v>13</v>
      </c>
      <c r="C79" s="53" t="s">
        <v>14</v>
      </c>
      <c r="D79" s="53" t="s">
        <v>108</v>
      </c>
      <c r="E79" s="53" t="s">
        <v>109</v>
      </c>
      <c r="F79" s="53" t="s">
        <v>110</v>
      </c>
      <c r="G79" s="53">
        <v>3950</v>
      </c>
      <c r="H79" s="62">
        <v>46034</v>
      </c>
      <c r="I79" s="61" t="s">
        <v>1483</v>
      </c>
      <c r="J79" s="61" t="s">
        <v>1484</v>
      </c>
      <c r="K79" s="53">
        <v>352506369</v>
      </c>
      <c r="L79" s="53">
        <v>7870570436</v>
      </c>
      <c r="M79" s="55" t="s">
        <v>1587</v>
      </c>
    </row>
    <row r="80" spans="1:13" x14ac:dyDescent="0.25">
      <c r="A80" s="53" t="s">
        <v>12</v>
      </c>
      <c r="B80" s="53" t="s">
        <v>13</v>
      </c>
      <c r="C80" s="53" t="s">
        <v>14</v>
      </c>
      <c r="D80" s="53" t="s">
        <v>343</v>
      </c>
      <c r="E80" s="54">
        <v>37223550583</v>
      </c>
      <c r="F80" s="53" t="s">
        <v>33</v>
      </c>
      <c r="G80" s="53">
        <v>5450</v>
      </c>
      <c r="H80" s="62">
        <v>46034</v>
      </c>
      <c r="I80" s="61" t="s">
        <v>895</v>
      </c>
      <c r="J80" s="61" t="s">
        <v>896</v>
      </c>
      <c r="K80" s="53">
        <v>352506370</v>
      </c>
      <c r="L80" s="53">
        <v>9031258705</v>
      </c>
      <c r="M80" s="55" t="s">
        <v>1588</v>
      </c>
    </row>
    <row r="81" spans="1:13" x14ac:dyDescent="0.25">
      <c r="A81" s="61" t="s">
        <v>12</v>
      </c>
      <c r="B81" s="61" t="s">
        <v>13</v>
      </c>
      <c r="C81" s="61" t="s">
        <v>14</v>
      </c>
      <c r="D81" s="61" t="s">
        <v>149</v>
      </c>
      <c r="E81" s="78">
        <v>50100624324501</v>
      </c>
      <c r="F81" s="61" t="s">
        <v>150</v>
      </c>
      <c r="G81" s="53">
        <v>5450</v>
      </c>
      <c r="H81" s="62">
        <v>46034</v>
      </c>
      <c r="I81" s="61" t="s">
        <v>1513</v>
      </c>
      <c r="J81" s="61" t="s">
        <v>1495</v>
      </c>
      <c r="K81" s="53">
        <v>352506371</v>
      </c>
      <c r="L81" s="61">
        <v>8789141433</v>
      </c>
      <c r="M81" s="55" t="s">
        <v>1588</v>
      </c>
    </row>
    <row r="82" spans="1:13" x14ac:dyDescent="0.25">
      <c r="A82" s="53" t="s">
        <v>12</v>
      </c>
      <c r="B82" s="53" t="s">
        <v>13</v>
      </c>
      <c r="C82" s="53" t="s">
        <v>14</v>
      </c>
      <c r="D82" s="53" t="s">
        <v>993</v>
      </c>
      <c r="E82" s="69">
        <v>50100683547664</v>
      </c>
      <c r="F82" s="60" t="s">
        <v>994</v>
      </c>
      <c r="G82" s="53">
        <v>7500</v>
      </c>
      <c r="H82" s="62">
        <v>46035</v>
      </c>
      <c r="I82" s="61" t="s">
        <v>1497</v>
      </c>
      <c r="J82" s="61" t="s">
        <v>1498</v>
      </c>
      <c r="K82" s="53">
        <v>352506355</v>
      </c>
      <c r="L82" s="60">
        <v>8093441726</v>
      </c>
      <c r="M82" s="55" t="s">
        <v>1591</v>
      </c>
    </row>
    <row r="83" spans="1:13" x14ac:dyDescent="0.25">
      <c r="A83" s="53" t="s">
        <v>12</v>
      </c>
      <c r="B83" s="53" t="s">
        <v>13</v>
      </c>
      <c r="C83" s="53" t="s">
        <v>14</v>
      </c>
      <c r="D83" s="53" t="s">
        <v>36</v>
      </c>
      <c r="E83" s="53" t="s">
        <v>37</v>
      </c>
      <c r="F83" s="53" t="s">
        <v>38</v>
      </c>
      <c r="G83" s="53">
        <v>7500</v>
      </c>
      <c r="H83" s="62">
        <v>46035</v>
      </c>
      <c r="I83" s="53" t="s">
        <v>902</v>
      </c>
      <c r="J83" s="53" t="s">
        <v>901</v>
      </c>
      <c r="K83" s="53">
        <v>352506354</v>
      </c>
      <c r="L83" s="53">
        <v>9358936441</v>
      </c>
      <c r="M83" s="55" t="s">
        <v>1591</v>
      </c>
    </row>
    <row r="84" spans="1:13" x14ac:dyDescent="0.25">
      <c r="A84" s="53" t="s">
        <v>12</v>
      </c>
      <c r="B84" s="53" t="s">
        <v>13</v>
      </c>
      <c r="C84" s="53" t="s">
        <v>14</v>
      </c>
      <c r="D84" s="53" t="s">
        <v>108</v>
      </c>
      <c r="E84" s="53" t="s">
        <v>109</v>
      </c>
      <c r="F84" s="53" t="s">
        <v>110</v>
      </c>
      <c r="G84" s="53">
        <v>1500</v>
      </c>
      <c r="H84" s="62">
        <v>46035</v>
      </c>
      <c r="I84" s="61" t="s">
        <v>1483</v>
      </c>
      <c r="J84" s="61" t="s">
        <v>1484</v>
      </c>
      <c r="K84" s="53">
        <v>352506418</v>
      </c>
      <c r="L84" s="53">
        <v>7870570436</v>
      </c>
      <c r="M84" s="55" t="s">
        <v>1592</v>
      </c>
    </row>
    <row r="85" spans="1:13" x14ac:dyDescent="0.25">
      <c r="A85" s="53" t="s">
        <v>12</v>
      </c>
      <c r="B85" s="53" t="s">
        <v>13</v>
      </c>
      <c r="C85" s="53" t="s">
        <v>14</v>
      </c>
      <c r="D85" s="53" t="s">
        <v>108</v>
      </c>
      <c r="E85" s="53" t="s">
        <v>109</v>
      </c>
      <c r="F85" s="53" t="s">
        <v>110</v>
      </c>
      <c r="G85" s="53">
        <v>5200</v>
      </c>
      <c r="H85" s="62">
        <v>46035</v>
      </c>
      <c r="I85" s="61" t="s">
        <v>1483</v>
      </c>
      <c r="J85" s="61" t="s">
        <v>1484</v>
      </c>
      <c r="K85" s="53">
        <v>352506418</v>
      </c>
      <c r="L85" s="53">
        <v>7870570436</v>
      </c>
      <c r="M85" s="55" t="s">
        <v>1593</v>
      </c>
    </row>
    <row r="86" spans="1:13" x14ac:dyDescent="0.25">
      <c r="A86" s="61" t="s">
        <v>12</v>
      </c>
      <c r="B86" s="61" t="s">
        <v>13</v>
      </c>
      <c r="C86" s="61" t="s">
        <v>14</v>
      </c>
      <c r="D86" s="61" t="s">
        <v>149</v>
      </c>
      <c r="E86" s="78">
        <v>50100624324501</v>
      </c>
      <c r="F86" s="61" t="s">
        <v>150</v>
      </c>
      <c r="G86" s="53">
        <v>5450</v>
      </c>
      <c r="H86" s="62">
        <v>46035</v>
      </c>
      <c r="I86" s="61" t="s">
        <v>1513</v>
      </c>
      <c r="J86" s="61" t="s">
        <v>1495</v>
      </c>
      <c r="K86" s="53">
        <v>352506407</v>
      </c>
      <c r="L86" s="61">
        <v>8789141433</v>
      </c>
      <c r="M86" s="55" t="s">
        <v>1594</v>
      </c>
    </row>
    <row r="87" spans="1:13" x14ac:dyDescent="0.25">
      <c r="A87" s="53" t="s">
        <v>12</v>
      </c>
      <c r="B87" s="53" t="s">
        <v>13</v>
      </c>
      <c r="C87" s="53" t="s">
        <v>14</v>
      </c>
      <c r="D87" s="53" t="s">
        <v>152</v>
      </c>
      <c r="E87" s="53" t="s">
        <v>153</v>
      </c>
      <c r="F87" s="60" t="s">
        <v>154</v>
      </c>
      <c r="G87" s="53">
        <v>3950</v>
      </c>
      <c r="H87" s="62">
        <v>46035</v>
      </c>
      <c r="I87" s="61" t="s">
        <v>1485</v>
      </c>
      <c r="J87" s="61" t="s">
        <v>1486</v>
      </c>
      <c r="K87" s="53">
        <v>352506411</v>
      </c>
      <c r="L87" s="60">
        <v>8084080392</v>
      </c>
      <c r="M87" s="55" t="s">
        <v>1595</v>
      </c>
    </row>
    <row r="88" spans="1:13" x14ac:dyDescent="0.25">
      <c r="A88" s="53" t="s">
        <v>12</v>
      </c>
      <c r="B88" s="53" t="s">
        <v>13</v>
      </c>
      <c r="C88" s="53" t="s">
        <v>14</v>
      </c>
      <c r="D88" s="53" t="s">
        <v>343</v>
      </c>
      <c r="E88" s="54">
        <v>37223550583</v>
      </c>
      <c r="F88" s="53" t="s">
        <v>33</v>
      </c>
      <c r="G88" s="53">
        <v>1900</v>
      </c>
      <c r="H88" s="62">
        <v>46035</v>
      </c>
      <c r="I88" s="61" t="s">
        <v>895</v>
      </c>
      <c r="J88" s="61" t="s">
        <v>896</v>
      </c>
      <c r="K88" s="53">
        <v>352506420</v>
      </c>
      <c r="L88" s="53">
        <v>9031258705</v>
      </c>
      <c r="M88" s="55" t="s">
        <v>1592</v>
      </c>
    </row>
    <row r="89" spans="1:13" x14ac:dyDescent="0.25">
      <c r="A89" s="53" t="s">
        <v>12</v>
      </c>
      <c r="B89" s="53" t="s">
        <v>13</v>
      </c>
      <c r="C89" s="53" t="s">
        <v>14</v>
      </c>
      <c r="D89" s="53" t="s">
        <v>48</v>
      </c>
      <c r="E89" s="53" t="s">
        <v>49</v>
      </c>
      <c r="F89" s="53" t="s">
        <v>50</v>
      </c>
      <c r="G89" s="53">
        <v>3950</v>
      </c>
      <c r="H89" s="62">
        <v>46035</v>
      </c>
      <c r="I89" s="53" t="s">
        <v>1519</v>
      </c>
      <c r="J89" s="53" t="s">
        <v>1520</v>
      </c>
      <c r="K89" s="53">
        <v>352506368</v>
      </c>
      <c r="L89" s="53">
        <v>8520078561</v>
      </c>
      <c r="M89" s="55" t="s">
        <v>1595</v>
      </c>
    </row>
    <row r="90" spans="1:13" x14ac:dyDescent="0.25">
      <c r="A90" s="53" t="s">
        <v>12</v>
      </c>
      <c r="B90" s="53" t="s">
        <v>13</v>
      </c>
      <c r="C90" s="53" t="s">
        <v>14</v>
      </c>
      <c r="D90" s="53" t="s">
        <v>993</v>
      </c>
      <c r="E90" s="69">
        <v>50100683547664</v>
      </c>
      <c r="F90" s="60" t="s">
        <v>994</v>
      </c>
      <c r="G90" s="53">
        <v>1000</v>
      </c>
      <c r="H90" s="62">
        <v>46036</v>
      </c>
      <c r="I90" s="61" t="s">
        <v>1497</v>
      </c>
      <c r="J90" s="61" t="s">
        <v>1498</v>
      </c>
      <c r="K90" s="53">
        <v>352506424</v>
      </c>
      <c r="L90" s="60">
        <v>8093441726</v>
      </c>
      <c r="M90" s="55" t="s">
        <v>1597</v>
      </c>
    </row>
    <row r="91" spans="1:13" x14ac:dyDescent="0.25">
      <c r="A91" s="53" t="s">
        <v>12</v>
      </c>
      <c r="B91" s="53" t="s">
        <v>13</v>
      </c>
      <c r="C91" s="53" t="s">
        <v>14</v>
      </c>
      <c r="D91" s="53" t="s">
        <v>48</v>
      </c>
      <c r="E91" s="53" t="s">
        <v>49</v>
      </c>
      <c r="F91" s="53" t="s">
        <v>50</v>
      </c>
      <c r="G91" s="53">
        <v>1900</v>
      </c>
      <c r="H91" s="62">
        <v>46036</v>
      </c>
      <c r="I91" s="53" t="s">
        <v>1519</v>
      </c>
      <c r="J91" s="53" t="s">
        <v>1520</v>
      </c>
      <c r="K91" s="53">
        <v>352506444</v>
      </c>
      <c r="L91" s="53">
        <v>8520078561</v>
      </c>
      <c r="M91" s="55" t="s">
        <v>1596</v>
      </c>
    </row>
    <row r="92" spans="1:13" x14ac:dyDescent="0.25">
      <c r="A92" s="53" t="s">
        <v>12</v>
      </c>
      <c r="B92" s="53" t="s">
        <v>13</v>
      </c>
      <c r="C92" s="53" t="s">
        <v>14</v>
      </c>
      <c r="D92" s="53" t="s">
        <v>144</v>
      </c>
      <c r="E92" s="53">
        <v>44182579159</v>
      </c>
      <c r="F92" s="53" t="s">
        <v>145</v>
      </c>
      <c r="G92" s="53">
        <v>12000</v>
      </c>
      <c r="H92" s="62">
        <v>46036</v>
      </c>
      <c r="I92" s="53" t="s">
        <v>652</v>
      </c>
      <c r="J92" s="53" t="s">
        <v>147</v>
      </c>
      <c r="K92" s="53">
        <v>352506364</v>
      </c>
      <c r="L92" s="53">
        <v>7765824237</v>
      </c>
      <c r="M92" s="55" t="s">
        <v>1604</v>
      </c>
    </row>
    <row r="93" spans="1:13" x14ac:dyDescent="0.25">
      <c r="A93" s="53" t="s">
        <v>12</v>
      </c>
      <c r="B93" s="53" t="s">
        <v>13</v>
      </c>
      <c r="C93" s="53" t="s">
        <v>14</v>
      </c>
      <c r="D93" s="53" t="s">
        <v>343</v>
      </c>
      <c r="E93" s="54">
        <v>37223550583</v>
      </c>
      <c r="F93" s="53" t="s">
        <v>33</v>
      </c>
      <c r="G93" s="53">
        <v>5200</v>
      </c>
      <c r="H93" s="62">
        <v>46037</v>
      </c>
      <c r="I93" s="61" t="s">
        <v>895</v>
      </c>
      <c r="J93" s="61" t="s">
        <v>896</v>
      </c>
      <c r="K93" s="53">
        <v>352506420</v>
      </c>
      <c r="L93" s="53">
        <v>9031258705</v>
      </c>
      <c r="M93" s="55" t="s">
        <v>1598</v>
      </c>
    </row>
    <row r="94" spans="1:13" x14ac:dyDescent="0.25">
      <c r="A94" s="53" t="s">
        <v>12</v>
      </c>
      <c r="B94" s="53" t="s">
        <v>13</v>
      </c>
      <c r="C94" s="53" t="s">
        <v>14</v>
      </c>
      <c r="D94" s="53" t="s">
        <v>1406</v>
      </c>
      <c r="E94" s="69">
        <v>645602010014653</v>
      </c>
      <c r="F94" s="53" t="s">
        <v>1407</v>
      </c>
      <c r="G94" s="53">
        <v>5300</v>
      </c>
      <c r="H94" s="62">
        <v>46037</v>
      </c>
      <c r="I94" s="53" t="s">
        <v>903</v>
      </c>
      <c r="J94" s="53" t="s">
        <v>904</v>
      </c>
      <c r="K94" s="53">
        <v>352506399</v>
      </c>
      <c r="L94" s="53">
        <v>8084480157</v>
      </c>
      <c r="M94" s="55" t="s">
        <v>1608</v>
      </c>
    </row>
    <row r="95" spans="1:13" x14ac:dyDescent="0.25">
      <c r="A95" s="53" t="s">
        <v>12</v>
      </c>
      <c r="B95" s="53" t="s">
        <v>13</v>
      </c>
      <c r="C95" s="53" t="s">
        <v>14</v>
      </c>
      <c r="D95" s="53" t="s">
        <v>1406</v>
      </c>
      <c r="E95" s="69">
        <v>645602010014653</v>
      </c>
      <c r="F95" s="53" t="s">
        <v>1407</v>
      </c>
      <c r="G95" s="53">
        <v>200</v>
      </c>
      <c r="H95" s="62">
        <v>46038</v>
      </c>
      <c r="I95" s="53" t="s">
        <v>903</v>
      </c>
      <c r="J95" s="53" t="s">
        <v>904</v>
      </c>
      <c r="K95" s="53">
        <v>352506399</v>
      </c>
      <c r="L95" s="53">
        <v>8084480157</v>
      </c>
      <c r="M95" s="55" t="s">
        <v>1599</v>
      </c>
    </row>
    <row r="96" spans="1:13" x14ac:dyDescent="0.25">
      <c r="A96" s="53" t="s">
        <v>12</v>
      </c>
      <c r="B96" s="53" t="s">
        <v>13</v>
      </c>
      <c r="C96" s="53" t="s">
        <v>14</v>
      </c>
      <c r="D96" s="53" t="s">
        <v>48</v>
      </c>
      <c r="E96" s="53" t="s">
        <v>49</v>
      </c>
      <c r="F96" s="53" t="s">
        <v>50</v>
      </c>
      <c r="G96" s="53">
        <v>4950</v>
      </c>
      <c r="H96" s="62">
        <v>46038</v>
      </c>
      <c r="I96" s="53" t="s">
        <v>1519</v>
      </c>
      <c r="J96" s="53" t="s">
        <v>1520</v>
      </c>
      <c r="K96" s="53">
        <v>352506444</v>
      </c>
      <c r="L96" s="53">
        <v>8520078561</v>
      </c>
      <c r="M96" s="55" t="s">
        <v>1600</v>
      </c>
    </row>
    <row r="97" spans="1:13" x14ac:dyDescent="0.25">
      <c r="A97" s="53" t="s">
        <v>12</v>
      </c>
      <c r="B97" s="53" t="s">
        <v>13</v>
      </c>
      <c r="C97" s="53" t="s">
        <v>14</v>
      </c>
      <c r="D97" s="53" t="s">
        <v>993</v>
      </c>
      <c r="E97" s="69">
        <v>50100683547664</v>
      </c>
      <c r="F97" s="60" t="s">
        <v>994</v>
      </c>
      <c r="G97" s="53">
        <v>5450</v>
      </c>
      <c r="H97" s="62">
        <v>46038</v>
      </c>
      <c r="I97" s="61" t="s">
        <v>1497</v>
      </c>
      <c r="J97" s="61" t="s">
        <v>1498</v>
      </c>
      <c r="K97" s="53">
        <v>352506424</v>
      </c>
      <c r="L97" s="60">
        <v>8093441726</v>
      </c>
      <c r="M97" s="55" t="s">
        <v>1601</v>
      </c>
    </row>
    <row r="98" spans="1:13" x14ac:dyDescent="0.25">
      <c r="A98" s="61" t="s">
        <v>12</v>
      </c>
      <c r="B98" s="61" t="s">
        <v>13</v>
      </c>
      <c r="C98" s="61" t="s">
        <v>14</v>
      </c>
      <c r="D98" s="61" t="s">
        <v>149</v>
      </c>
      <c r="E98" s="78">
        <v>50100624324501</v>
      </c>
      <c r="F98" s="61" t="s">
        <v>150</v>
      </c>
      <c r="G98" s="53">
        <v>5450</v>
      </c>
      <c r="H98" s="62">
        <v>46038</v>
      </c>
      <c r="I98" s="61" t="s">
        <v>1513</v>
      </c>
      <c r="J98" s="61" t="s">
        <v>1495</v>
      </c>
      <c r="K98" s="53">
        <v>352506430</v>
      </c>
      <c r="L98" s="61">
        <v>8789141433</v>
      </c>
      <c r="M98" s="55" t="s">
        <v>703</v>
      </c>
    </row>
    <row r="99" spans="1:13" x14ac:dyDescent="0.25">
      <c r="A99" s="53" t="s">
        <v>12</v>
      </c>
      <c r="B99" s="53" t="s">
        <v>13</v>
      </c>
      <c r="C99" s="53" t="s">
        <v>14</v>
      </c>
      <c r="D99" s="53" t="s">
        <v>152</v>
      </c>
      <c r="E99" s="53" t="s">
        <v>153</v>
      </c>
      <c r="F99" s="60" t="s">
        <v>154</v>
      </c>
      <c r="G99" s="53">
        <v>5450</v>
      </c>
      <c r="H99" s="62">
        <v>46038</v>
      </c>
      <c r="I99" s="61" t="s">
        <v>1485</v>
      </c>
      <c r="J99" s="61" t="s">
        <v>1486</v>
      </c>
      <c r="K99" s="53">
        <v>352506431</v>
      </c>
      <c r="L99" s="60">
        <v>8084080392</v>
      </c>
      <c r="M99" s="55" t="s">
        <v>703</v>
      </c>
    </row>
    <row r="100" spans="1:13" x14ac:dyDescent="0.25">
      <c r="A100" s="53" t="s">
        <v>12</v>
      </c>
      <c r="B100" s="53" t="s">
        <v>13</v>
      </c>
      <c r="C100" s="53" t="s">
        <v>14</v>
      </c>
      <c r="D100" s="53" t="s">
        <v>343</v>
      </c>
      <c r="E100" s="54">
        <v>37223550583</v>
      </c>
      <c r="F100" s="53" t="s">
        <v>33</v>
      </c>
      <c r="G100" s="53">
        <v>3950</v>
      </c>
      <c r="H100" s="62">
        <v>46038</v>
      </c>
      <c r="I100" s="61" t="s">
        <v>895</v>
      </c>
      <c r="J100" s="61" t="s">
        <v>896</v>
      </c>
      <c r="K100" s="53">
        <v>352506470</v>
      </c>
      <c r="L100" s="53">
        <v>9031258705</v>
      </c>
      <c r="M100" s="55" t="s">
        <v>1602</v>
      </c>
    </row>
    <row r="101" spans="1:13" x14ac:dyDescent="0.25">
      <c r="A101" s="53" t="s">
        <v>12</v>
      </c>
      <c r="B101" s="53" t="s">
        <v>13</v>
      </c>
      <c r="C101" s="53" t="s">
        <v>14</v>
      </c>
      <c r="D101" s="53" t="s">
        <v>144</v>
      </c>
      <c r="E101" s="53">
        <v>44182579159</v>
      </c>
      <c r="F101" s="53" t="s">
        <v>145</v>
      </c>
      <c r="G101" s="53">
        <v>4600</v>
      </c>
      <c r="H101" s="62">
        <v>46039</v>
      </c>
      <c r="I101" s="53" t="s">
        <v>652</v>
      </c>
      <c r="J101" s="53" t="s">
        <v>147</v>
      </c>
      <c r="K101" s="53">
        <v>352506364</v>
      </c>
      <c r="L101" s="53">
        <v>7765824237</v>
      </c>
      <c r="M101" s="55" t="s">
        <v>1603</v>
      </c>
    </row>
    <row r="102" spans="1:13" x14ac:dyDescent="0.25">
      <c r="A102" s="53" t="s">
        <v>12</v>
      </c>
      <c r="B102" s="53" t="s">
        <v>13</v>
      </c>
      <c r="C102" s="53" t="s">
        <v>14</v>
      </c>
      <c r="D102" s="53" t="s">
        <v>36</v>
      </c>
      <c r="E102" s="53" t="s">
        <v>37</v>
      </c>
      <c r="F102" s="53" t="s">
        <v>38</v>
      </c>
      <c r="G102" s="53">
        <v>200</v>
      </c>
      <c r="H102" s="62">
        <v>46039</v>
      </c>
      <c r="I102" s="53" t="s">
        <v>902</v>
      </c>
      <c r="J102" s="53" t="s">
        <v>901</v>
      </c>
      <c r="K102" s="53">
        <v>352506425</v>
      </c>
      <c r="L102" s="53">
        <v>9358936441</v>
      </c>
      <c r="M102" s="55" t="s">
        <v>1605</v>
      </c>
    </row>
    <row r="103" spans="1:13" x14ac:dyDescent="0.25">
      <c r="A103" s="53" t="s">
        <v>12</v>
      </c>
      <c r="B103" s="53" t="s">
        <v>13</v>
      </c>
      <c r="C103" s="53" t="s">
        <v>14</v>
      </c>
      <c r="D103" s="53" t="s">
        <v>108</v>
      </c>
      <c r="E103" s="53" t="s">
        <v>109</v>
      </c>
      <c r="F103" s="53" t="s">
        <v>110</v>
      </c>
      <c r="G103" s="53">
        <v>1000</v>
      </c>
      <c r="H103" s="62">
        <v>46039</v>
      </c>
      <c r="I103" s="61" t="s">
        <v>1483</v>
      </c>
      <c r="J103" s="61" t="s">
        <v>1484</v>
      </c>
      <c r="K103" s="53">
        <v>352506478</v>
      </c>
      <c r="L103" s="53">
        <v>7870570436</v>
      </c>
      <c r="M103" s="55" t="s">
        <v>1612</v>
      </c>
    </row>
    <row r="104" spans="1:13" x14ac:dyDescent="0.25">
      <c r="A104" s="53" t="s">
        <v>12</v>
      </c>
      <c r="B104" s="53" t="s">
        <v>13</v>
      </c>
      <c r="C104" s="53" t="s">
        <v>14</v>
      </c>
      <c r="D104" s="53" t="s">
        <v>108</v>
      </c>
      <c r="E104" s="53" t="s">
        <v>109</v>
      </c>
      <c r="F104" s="53" t="s">
        <v>110</v>
      </c>
      <c r="G104" s="53">
        <v>700</v>
      </c>
      <c r="H104" s="62">
        <v>46039</v>
      </c>
      <c r="I104" s="61" t="s">
        <v>1483</v>
      </c>
      <c r="J104" s="61" t="s">
        <v>1484</v>
      </c>
      <c r="K104" s="53">
        <v>352506479</v>
      </c>
      <c r="L104" s="53">
        <v>7870570436</v>
      </c>
      <c r="M104" s="55" t="s">
        <v>1612</v>
      </c>
    </row>
    <row r="105" spans="1:13" x14ac:dyDescent="0.25">
      <c r="A105" s="53" t="s">
        <v>12</v>
      </c>
      <c r="B105" s="53" t="s">
        <v>13</v>
      </c>
      <c r="C105" s="53" t="s">
        <v>14</v>
      </c>
      <c r="D105" s="53" t="s">
        <v>36</v>
      </c>
      <c r="E105" s="53" t="s">
        <v>37</v>
      </c>
      <c r="F105" s="53" t="s">
        <v>38</v>
      </c>
      <c r="G105" s="53">
        <v>5450</v>
      </c>
      <c r="H105" s="62">
        <v>46039</v>
      </c>
      <c r="I105" s="53" t="s">
        <v>902</v>
      </c>
      <c r="J105" s="53" t="s">
        <v>901</v>
      </c>
      <c r="K105" s="53">
        <v>352506425</v>
      </c>
      <c r="L105" s="53">
        <v>9358936441</v>
      </c>
      <c r="M105" s="55" t="s">
        <v>1607</v>
      </c>
    </row>
    <row r="106" spans="1:13" x14ac:dyDescent="0.25">
      <c r="A106" s="53" t="s">
        <v>12</v>
      </c>
      <c r="B106" s="53" t="s">
        <v>13</v>
      </c>
      <c r="C106" s="53" t="s">
        <v>14</v>
      </c>
      <c r="D106" s="53" t="s">
        <v>1406</v>
      </c>
      <c r="E106" s="69">
        <v>645602010014653</v>
      </c>
      <c r="F106" s="53" t="s">
        <v>1407</v>
      </c>
      <c r="G106" s="53">
        <v>5450</v>
      </c>
      <c r="H106" s="62">
        <v>46039</v>
      </c>
      <c r="I106" s="53" t="s">
        <v>903</v>
      </c>
      <c r="J106" s="53" t="s">
        <v>904</v>
      </c>
      <c r="K106" s="53">
        <v>352506483</v>
      </c>
      <c r="L106" s="53">
        <v>8084480157</v>
      </c>
      <c r="M106" s="55" t="s">
        <v>705</v>
      </c>
    </row>
    <row r="107" spans="1:13" x14ac:dyDescent="0.25">
      <c r="A107" s="53" t="s">
        <v>12</v>
      </c>
      <c r="B107" s="53" t="s">
        <v>13</v>
      </c>
      <c r="C107" s="53" t="s">
        <v>14</v>
      </c>
      <c r="D107" s="53" t="s">
        <v>48</v>
      </c>
      <c r="E107" s="53" t="s">
        <v>49</v>
      </c>
      <c r="F107" s="53" t="s">
        <v>50</v>
      </c>
      <c r="G107" s="53">
        <v>3950</v>
      </c>
      <c r="H107" s="62">
        <v>46039</v>
      </c>
      <c r="I107" s="53" t="s">
        <v>1519</v>
      </c>
      <c r="J107" s="53" t="s">
        <v>1520</v>
      </c>
      <c r="K107" s="53">
        <v>352506482</v>
      </c>
      <c r="L107" s="53">
        <v>8520078561</v>
      </c>
      <c r="M107" s="55" t="s">
        <v>1606</v>
      </c>
    </row>
    <row r="108" spans="1:13" x14ac:dyDescent="0.25">
      <c r="A108" s="53" t="s">
        <v>12</v>
      </c>
      <c r="B108" s="53" t="s">
        <v>13</v>
      </c>
      <c r="C108" s="53" t="s">
        <v>14</v>
      </c>
      <c r="D108" s="53" t="s">
        <v>108</v>
      </c>
      <c r="E108" s="53" t="s">
        <v>109</v>
      </c>
      <c r="F108" s="53" t="s">
        <v>110</v>
      </c>
      <c r="G108" s="53">
        <v>3950</v>
      </c>
      <c r="H108" s="62">
        <v>46039</v>
      </c>
      <c r="I108" s="61" t="s">
        <v>1483</v>
      </c>
      <c r="J108" s="61" t="s">
        <v>1484</v>
      </c>
      <c r="K108" s="53">
        <v>352506428</v>
      </c>
      <c r="L108" s="53">
        <v>7870570436</v>
      </c>
      <c r="M108" s="55" t="s">
        <v>1606</v>
      </c>
    </row>
    <row r="109" spans="1:13" x14ac:dyDescent="0.25">
      <c r="A109" s="61" t="s">
        <v>12</v>
      </c>
      <c r="B109" s="61" t="s">
        <v>13</v>
      </c>
      <c r="C109" s="61" t="s">
        <v>14</v>
      </c>
      <c r="D109" s="61" t="s">
        <v>31</v>
      </c>
      <c r="E109" s="61" t="s">
        <v>32</v>
      </c>
      <c r="F109" s="61" t="s">
        <v>33</v>
      </c>
      <c r="G109" s="53">
        <v>5450</v>
      </c>
      <c r="H109" s="62">
        <v>46039</v>
      </c>
      <c r="I109" s="61" t="s">
        <v>571</v>
      </c>
      <c r="J109" s="61" t="s">
        <v>59</v>
      </c>
      <c r="K109" s="53">
        <v>352506190</v>
      </c>
      <c r="L109" s="61">
        <v>9347726061</v>
      </c>
      <c r="M109" s="55" t="s">
        <v>1607</v>
      </c>
    </row>
    <row r="110" spans="1:13" x14ac:dyDescent="0.25">
      <c r="A110" s="53" t="s">
        <v>12</v>
      </c>
      <c r="B110" s="53" t="s">
        <v>13</v>
      </c>
      <c r="C110" s="53" t="s">
        <v>14</v>
      </c>
      <c r="D110" s="53" t="s">
        <v>1610</v>
      </c>
      <c r="E110" s="53">
        <v>33067706253</v>
      </c>
      <c r="F110" s="53" t="s">
        <v>1611</v>
      </c>
      <c r="G110" s="53">
        <v>5500</v>
      </c>
      <c r="H110" s="62">
        <v>46039</v>
      </c>
      <c r="I110" s="53" t="s">
        <v>572</v>
      </c>
      <c r="J110" s="53" t="s">
        <v>34</v>
      </c>
      <c r="K110" s="53"/>
      <c r="L110" s="53">
        <v>6381535643</v>
      </c>
      <c r="M110" s="55" t="s">
        <v>1609</v>
      </c>
    </row>
    <row r="111" spans="1:13" x14ac:dyDescent="0.25">
      <c r="A111" s="53" t="s">
        <v>12</v>
      </c>
      <c r="B111" s="53" t="s">
        <v>13</v>
      </c>
      <c r="C111" s="53" t="s">
        <v>14</v>
      </c>
      <c r="D111" s="53" t="s">
        <v>108</v>
      </c>
      <c r="E111" s="53" t="s">
        <v>109</v>
      </c>
      <c r="F111" s="53" t="s">
        <v>110</v>
      </c>
      <c r="G111" s="53">
        <v>200</v>
      </c>
      <c r="H111" s="62">
        <v>46040</v>
      </c>
      <c r="I111" s="61" t="s">
        <v>1483</v>
      </c>
      <c r="J111" s="61" t="s">
        <v>1484</v>
      </c>
      <c r="K111" s="53">
        <v>352506479</v>
      </c>
      <c r="L111" s="53">
        <v>7870570436</v>
      </c>
      <c r="M111" s="55" t="s">
        <v>1599</v>
      </c>
    </row>
    <row r="112" spans="1:13" x14ac:dyDescent="0.25">
      <c r="A112" s="53" t="s">
        <v>12</v>
      </c>
      <c r="B112" s="53" t="s">
        <v>13</v>
      </c>
      <c r="C112" s="53" t="s">
        <v>14</v>
      </c>
      <c r="D112" s="53" t="s">
        <v>144</v>
      </c>
      <c r="E112" s="53">
        <v>44182579159</v>
      </c>
      <c r="F112" s="53" t="s">
        <v>145</v>
      </c>
      <c r="G112" s="53">
        <v>7500</v>
      </c>
      <c r="H112" s="62">
        <v>46040</v>
      </c>
      <c r="I112" s="53" t="s">
        <v>593</v>
      </c>
      <c r="J112" s="53" t="s">
        <v>76</v>
      </c>
      <c r="K112" s="53"/>
      <c r="L112" s="53">
        <v>7765824237</v>
      </c>
      <c r="M112" s="55" t="s">
        <v>1613</v>
      </c>
    </row>
    <row r="113" spans="1:13" x14ac:dyDescent="0.25">
      <c r="A113" s="53" t="s">
        <v>12</v>
      </c>
      <c r="B113" s="53" t="s">
        <v>13</v>
      </c>
      <c r="C113" s="53" t="s">
        <v>14</v>
      </c>
      <c r="D113" s="53" t="s">
        <v>466</v>
      </c>
      <c r="E113" s="53" t="s">
        <v>467</v>
      </c>
      <c r="F113" s="53" t="s">
        <v>468</v>
      </c>
      <c r="G113" s="53">
        <v>10000</v>
      </c>
      <c r="H113" s="62">
        <v>46040</v>
      </c>
      <c r="I113" s="53" t="s">
        <v>1185</v>
      </c>
      <c r="J113" s="53" t="s">
        <v>470</v>
      </c>
      <c r="K113" s="53">
        <v>352506450</v>
      </c>
      <c r="L113" s="53">
        <v>8687714453</v>
      </c>
      <c r="M113" s="77" t="s">
        <v>690</v>
      </c>
    </row>
    <row r="114" spans="1:13" x14ac:dyDescent="0.25">
      <c r="A114" s="53" t="s">
        <v>12</v>
      </c>
      <c r="B114" s="53" t="s">
        <v>13</v>
      </c>
      <c r="C114" s="53" t="s">
        <v>14</v>
      </c>
      <c r="D114" s="53" t="s">
        <v>36</v>
      </c>
      <c r="E114" s="53" t="s">
        <v>37</v>
      </c>
      <c r="F114" s="53" t="s">
        <v>38</v>
      </c>
      <c r="G114" s="53">
        <v>2000</v>
      </c>
      <c r="H114" s="62">
        <v>46041</v>
      </c>
      <c r="I114" s="53" t="s">
        <v>902</v>
      </c>
      <c r="J114" s="53" t="s">
        <v>901</v>
      </c>
      <c r="K114" s="53">
        <v>352506511</v>
      </c>
      <c r="L114" s="53">
        <v>9358936441</v>
      </c>
      <c r="M114" s="55" t="s">
        <v>1614</v>
      </c>
    </row>
    <row r="115" spans="1:13" x14ac:dyDescent="0.25">
      <c r="A115" s="53" t="s">
        <v>12</v>
      </c>
      <c r="B115" s="53" t="s">
        <v>13</v>
      </c>
      <c r="C115" s="53" t="s">
        <v>14</v>
      </c>
      <c r="D115" s="53" t="s">
        <v>152</v>
      </c>
      <c r="E115" s="53" t="s">
        <v>153</v>
      </c>
      <c r="F115" s="60" t="s">
        <v>154</v>
      </c>
      <c r="G115" s="53">
        <v>5450</v>
      </c>
      <c r="H115" s="62">
        <v>46041</v>
      </c>
      <c r="I115" s="61" t="s">
        <v>1485</v>
      </c>
      <c r="J115" s="61" t="s">
        <v>1486</v>
      </c>
      <c r="K115" s="53">
        <v>352506486</v>
      </c>
      <c r="L115" s="60">
        <v>8084080392</v>
      </c>
      <c r="M115" s="55" t="s">
        <v>1615</v>
      </c>
    </row>
    <row r="116" spans="1:13" x14ac:dyDescent="0.25">
      <c r="A116" s="53" t="s">
        <v>12</v>
      </c>
      <c r="B116" s="53" t="s">
        <v>13</v>
      </c>
      <c r="C116" s="53" t="s">
        <v>14</v>
      </c>
      <c r="D116" s="53" t="s">
        <v>343</v>
      </c>
      <c r="E116" s="54">
        <v>37223550583</v>
      </c>
      <c r="F116" s="53" t="s">
        <v>33</v>
      </c>
      <c r="G116" s="53">
        <v>5450</v>
      </c>
      <c r="H116" s="62">
        <v>46041</v>
      </c>
      <c r="I116" s="61" t="s">
        <v>895</v>
      </c>
      <c r="J116" s="61" t="s">
        <v>896</v>
      </c>
      <c r="K116" s="53">
        <v>352506487</v>
      </c>
      <c r="L116" s="53">
        <v>9031258705</v>
      </c>
      <c r="M116" s="55" t="s">
        <v>1615</v>
      </c>
    </row>
    <row r="117" spans="1:13" x14ac:dyDescent="0.25">
      <c r="A117" s="53" t="s">
        <v>12</v>
      </c>
      <c r="B117" s="53" t="s">
        <v>13</v>
      </c>
      <c r="C117" s="53" t="s">
        <v>14</v>
      </c>
      <c r="D117" s="53" t="s">
        <v>993</v>
      </c>
      <c r="E117" s="69">
        <v>50100683547664</v>
      </c>
      <c r="F117" s="60" t="s">
        <v>994</v>
      </c>
      <c r="G117" s="53">
        <v>5450</v>
      </c>
      <c r="H117" s="62">
        <v>46041</v>
      </c>
      <c r="I117" s="61" t="s">
        <v>1497</v>
      </c>
      <c r="J117" s="61" t="s">
        <v>1498</v>
      </c>
      <c r="K117" s="53">
        <v>352506484</v>
      </c>
      <c r="L117" s="60">
        <v>8093441726</v>
      </c>
      <c r="M117" s="55" t="s">
        <v>1615</v>
      </c>
    </row>
    <row r="118" spans="1:13" x14ac:dyDescent="0.25">
      <c r="A118" s="61" t="s">
        <v>12</v>
      </c>
      <c r="B118" s="61" t="s">
        <v>13</v>
      </c>
      <c r="C118" s="61" t="s">
        <v>14</v>
      </c>
      <c r="D118" s="61" t="s">
        <v>149</v>
      </c>
      <c r="E118" s="78">
        <v>50100624324501</v>
      </c>
      <c r="F118" s="61" t="s">
        <v>150</v>
      </c>
      <c r="G118" s="53">
        <v>5450</v>
      </c>
      <c r="H118" s="62">
        <v>46041</v>
      </c>
      <c r="I118" s="61" t="s">
        <v>1513</v>
      </c>
      <c r="J118" s="61" t="s">
        <v>1495</v>
      </c>
      <c r="K118" s="53">
        <v>352506485</v>
      </c>
      <c r="L118" s="61">
        <v>8789141433</v>
      </c>
      <c r="M118" s="55" t="s">
        <v>1615</v>
      </c>
    </row>
    <row r="119" spans="1:13" x14ac:dyDescent="0.25">
      <c r="A119" s="53" t="s">
        <v>12</v>
      </c>
      <c r="B119" s="53" t="s">
        <v>13</v>
      </c>
      <c r="C119" s="53" t="s">
        <v>14</v>
      </c>
      <c r="D119" s="53" t="s">
        <v>48</v>
      </c>
      <c r="E119" s="53" t="s">
        <v>49</v>
      </c>
      <c r="F119" s="53" t="s">
        <v>50</v>
      </c>
      <c r="G119" s="53">
        <v>5450</v>
      </c>
      <c r="H119" s="62">
        <v>46041</v>
      </c>
      <c r="I119" s="53" t="s">
        <v>1519</v>
      </c>
      <c r="J119" s="53" t="s">
        <v>1520</v>
      </c>
      <c r="K119" s="53">
        <v>352506514</v>
      </c>
      <c r="L119" s="53">
        <v>8520078561</v>
      </c>
      <c r="M119" s="55" t="s">
        <v>1615</v>
      </c>
    </row>
    <row r="120" spans="1:13" x14ac:dyDescent="0.25">
      <c r="A120" s="53" t="s">
        <v>12</v>
      </c>
      <c r="B120" s="53" t="s">
        <v>13</v>
      </c>
      <c r="C120" s="53" t="s">
        <v>14</v>
      </c>
      <c r="D120" s="53" t="s">
        <v>1406</v>
      </c>
      <c r="E120" s="69">
        <v>645602010014653</v>
      </c>
      <c r="F120" s="53" t="s">
        <v>1407</v>
      </c>
      <c r="G120" s="53">
        <v>1500</v>
      </c>
      <c r="H120" s="62">
        <v>46041</v>
      </c>
      <c r="I120" s="53" t="s">
        <v>903</v>
      </c>
      <c r="J120" s="53" t="s">
        <v>904</v>
      </c>
      <c r="K120" s="53">
        <v>352506528</v>
      </c>
      <c r="L120" s="53">
        <v>8084480157</v>
      </c>
      <c r="M120" s="55" t="s">
        <v>1616</v>
      </c>
    </row>
    <row r="121" spans="1:13" x14ac:dyDescent="0.25">
      <c r="A121" s="53" t="s">
        <v>12</v>
      </c>
      <c r="B121" s="53" t="s">
        <v>13</v>
      </c>
      <c r="C121" s="53" t="s">
        <v>14</v>
      </c>
      <c r="D121" s="53" t="s">
        <v>108</v>
      </c>
      <c r="E121" s="53" t="s">
        <v>109</v>
      </c>
      <c r="F121" s="53" t="s">
        <v>110</v>
      </c>
      <c r="G121" s="53">
        <v>7700</v>
      </c>
      <c r="H121" s="62">
        <v>46041</v>
      </c>
      <c r="I121" s="61" t="s">
        <v>1483</v>
      </c>
      <c r="J121" s="61" t="s">
        <v>1484</v>
      </c>
      <c r="K121" s="53">
        <v>352506515</v>
      </c>
      <c r="L121" s="53">
        <v>7870570436</v>
      </c>
      <c r="M121" s="55" t="s">
        <v>1617</v>
      </c>
    </row>
    <row r="122" spans="1:13" x14ac:dyDescent="0.25">
      <c r="A122" s="53" t="s">
        <v>12</v>
      </c>
      <c r="B122" s="53" t="s">
        <v>13</v>
      </c>
      <c r="C122" s="53" t="s">
        <v>14</v>
      </c>
      <c r="D122" s="53" t="s">
        <v>1406</v>
      </c>
      <c r="E122" s="69">
        <v>645602010014653</v>
      </c>
      <c r="F122" s="53" t="s">
        <v>1407</v>
      </c>
      <c r="G122" s="53">
        <v>5000</v>
      </c>
      <c r="H122" s="62">
        <v>46042</v>
      </c>
      <c r="I122" s="53" t="s">
        <v>903</v>
      </c>
      <c r="J122" s="53" t="s">
        <v>904</v>
      </c>
      <c r="K122" s="53">
        <v>352506539</v>
      </c>
      <c r="L122" s="53">
        <v>8084480157</v>
      </c>
      <c r="M122" s="55" t="s">
        <v>1618</v>
      </c>
    </row>
    <row r="123" spans="1:13" x14ac:dyDescent="0.25">
      <c r="A123" s="53" t="s">
        <v>12</v>
      </c>
      <c r="B123" s="53" t="s">
        <v>13</v>
      </c>
      <c r="C123" s="53" t="s">
        <v>14</v>
      </c>
      <c r="D123" s="53" t="s">
        <v>36</v>
      </c>
      <c r="E123" s="53" t="s">
        <v>37</v>
      </c>
      <c r="F123" s="53" t="s">
        <v>38</v>
      </c>
      <c r="G123" s="53">
        <v>1000</v>
      </c>
      <c r="H123" s="62">
        <v>46042</v>
      </c>
      <c r="I123" s="53" t="s">
        <v>902</v>
      </c>
      <c r="J123" s="53" t="s">
        <v>901</v>
      </c>
      <c r="K123" s="53">
        <v>352506535</v>
      </c>
      <c r="L123" s="53">
        <v>9358936441</v>
      </c>
      <c r="M123" s="55" t="s">
        <v>1619</v>
      </c>
    </row>
    <row r="124" spans="1:13" x14ac:dyDescent="0.25">
      <c r="A124" s="53" t="s">
        <v>12</v>
      </c>
      <c r="B124" s="53" t="s">
        <v>13</v>
      </c>
      <c r="C124" s="53" t="s">
        <v>14</v>
      </c>
      <c r="D124" s="53" t="s">
        <v>36</v>
      </c>
      <c r="E124" s="53" t="s">
        <v>37</v>
      </c>
      <c r="F124" s="53" t="s">
        <v>38</v>
      </c>
      <c r="G124" s="53">
        <v>700</v>
      </c>
      <c r="H124" s="62">
        <v>46042</v>
      </c>
      <c r="I124" s="53" t="s">
        <v>902</v>
      </c>
      <c r="J124" s="53" t="s">
        <v>901</v>
      </c>
      <c r="K124" s="53">
        <v>352506536</v>
      </c>
      <c r="L124" s="53">
        <v>9358936441</v>
      </c>
      <c r="M124" s="55" t="s">
        <v>1619</v>
      </c>
    </row>
    <row r="125" spans="1:13" x14ac:dyDescent="0.25">
      <c r="A125" s="61" t="s">
        <v>12</v>
      </c>
      <c r="B125" s="61" t="s">
        <v>13</v>
      </c>
      <c r="C125" s="61" t="s">
        <v>14</v>
      </c>
      <c r="D125" s="61" t="s">
        <v>31</v>
      </c>
      <c r="E125" s="61" t="s">
        <v>32</v>
      </c>
      <c r="F125" s="61" t="s">
        <v>33</v>
      </c>
      <c r="G125" s="53">
        <v>5200</v>
      </c>
      <c r="H125" s="62">
        <v>46042</v>
      </c>
      <c r="I125" s="61" t="s">
        <v>571</v>
      </c>
      <c r="J125" s="61" t="s">
        <v>59</v>
      </c>
      <c r="K125" s="53">
        <v>352506513</v>
      </c>
      <c r="L125" s="61">
        <v>9347726061</v>
      </c>
      <c r="M125" s="55" t="s">
        <v>1620</v>
      </c>
    </row>
    <row r="126" spans="1:13" x14ac:dyDescent="0.25">
      <c r="A126" s="53" t="s">
        <v>12</v>
      </c>
      <c r="B126" s="53" t="s">
        <v>13</v>
      </c>
      <c r="C126" s="53" t="s">
        <v>14</v>
      </c>
      <c r="D126" s="53" t="s">
        <v>343</v>
      </c>
      <c r="E126" s="54">
        <v>37223550583</v>
      </c>
      <c r="F126" s="53" t="s">
        <v>33</v>
      </c>
      <c r="G126" s="53">
        <v>7500</v>
      </c>
      <c r="H126" s="62">
        <v>46042</v>
      </c>
      <c r="I126" s="61" t="s">
        <v>895</v>
      </c>
      <c r="J126" s="61" t="s">
        <v>896</v>
      </c>
      <c r="K126" s="53">
        <v>352506545</v>
      </c>
      <c r="L126" s="53">
        <v>9031258705</v>
      </c>
      <c r="M126" s="55" t="s">
        <v>1621</v>
      </c>
    </row>
    <row r="127" spans="1:13" x14ac:dyDescent="0.25">
      <c r="A127" s="53" t="s">
        <v>12</v>
      </c>
      <c r="B127" s="53" t="s">
        <v>13</v>
      </c>
      <c r="C127" s="53" t="s">
        <v>14</v>
      </c>
      <c r="D127" s="53" t="s">
        <v>108</v>
      </c>
      <c r="E127" s="53" t="s">
        <v>109</v>
      </c>
      <c r="F127" s="53" t="s">
        <v>110</v>
      </c>
      <c r="G127" s="53">
        <v>7500</v>
      </c>
      <c r="H127" s="62">
        <v>46042</v>
      </c>
      <c r="I127" s="61" t="s">
        <v>1483</v>
      </c>
      <c r="J127" s="61" t="s">
        <v>1484</v>
      </c>
      <c r="K127" s="53">
        <v>352506515</v>
      </c>
      <c r="L127" s="53">
        <v>7870570436</v>
      </c>
      <c r="M127" s="55" t="s">
        <v>1622</v>
      </c>
    </row>
    <row r="128" spans="1:13" x14ac:dyDescent="0.25">
      <c r="A128" s="53" t="s">
        <v>12</v>
      </c>
      <c r="B128" s="53" t="s">
        <v>13</v>
      </c>
      <c r="C128" s="53" t="s">
        <v>14</v>
      </c>
      <c r="D128" s="53" t="s">
        <v>152</v>
      </c>
      <c r="E128" s="53" t="s">
        <v>153</v>
      </c>
      <c r="F128" s="60" t="s">
        <v>154</v>
      </c>
      <c r="G128" s="53">
        <v>5450</v>
      </c>
      <c r="H128" s="62">
        <v>46042</v>
      </c>
      <c r="I128" s="61" t="s">
        <v>1485</v>
      </c>
      <c r="J128" s="61" t="s">
        <v>1486</v>
      </c>
      <c r="K128" s="53">
        <v>352506546</v>
      </c>
      <c r="L128" s="60">
        <v>8084080392</v>
      </c>
      <c r="M128" s="55" t="s">
        <v>1623</v>
      </c>
    </row>
    <row r="129" spans="1:13" x14ac:dyDescent="0.25">
      <c r="A129" s="53" t="s">
        <v>12</v>
      </c>
      <c r="B129" s="53" t="s">
        <v>13</v>
      </c>
      <c r="C129" s="53" t="s">
        <v>14</v>
      </c>
      <c r="D129" s="53" t="s">
        <v>993</v>
      </c>
      <c r="E129" s="69">
        <v>50100683547664</v>
      </c>
      <c r="F129" s="60" t="s">
        <v>994</v>
      </c>
      <c r="G129" s="53">
        <v>5450</v>
      </c>
      <c r="H129" s="62">
        <v>46042</v>
      </c>
      <c r="I129" s="61" t="s">
        <v>1497</v>
      </c>
      <c r="J129" s="61" t="s">
        <v>1498</v>
      </c>
      <c r="K129" s="53">
        <v>352506544</v>
      </c>
      <c r="L129" s="60">
        <v>8093441726</v>
      </c>
      <c r="M129" s="55" t="s">
        <v>1623</v>
      </c>
    </row>
    <row r="130" spans="1:13" x14ac:dyDescent="0.25">
      <c r="A130" s="61" t="s">
        <v>12</v>
      </c>
      <c r="B130" s="61" t="s">
        <v>13</v>
      </c>
      <c r="C130" s="61" t="s">
        <v>14</v>
      </c>
      <c r="D130" s="61" t="s">
        <v>149</v>
      </c>
      <c r="E130" s="78">
        <v>50100624324501</v>
      </c>
      <c r="F130" s="61" t="s">
        <v>150</v>
      </c>
      <c r="G130" s="53">
        <v>5450</v>
      </c>
      <c r="H130" s="62">
        <v>46042</v>
      </c>
      <c r="I130" s="61" t="s">
        <v>1513</v>
      </c>
      <c r="J130" s="61" t="s">
        <v>1495</v>
      </c>
      <c r="K130" s="53">
        <v>352506542</v>
      </c>
      <c r="L130" s="61">
        <v>8789141433</v>
      </c>
      <c r="M130" s="55" t="s">
        <v>1623</v>
      </c>
    </row>
    <row r="131" spans="1:13" x14ac:dyDescent="0.25">
      <c r="A131" s="53" t="s">
        <v>12</v>
      </c>
      <c r="B131" s="53" t="s">
        <v>13</v>
      </c>
      <c r="C131" s="53" t="s">
        <v>14</v>
      </c>
      <c r="D131" s="53" t="s">
        <v>48</v>
      </c>
      <c r="E131" s="53" t="s">
        <v>49</v>
      </c>
      <c r="F131" s="53" t="s">
        <v>50</v>
      </c>
      <c r="G131" s="53">
        <v>5450</v>
      </c>
      <c r="H131" s="62">
        <v>46042</v>
      </c>
      <c r="I131" s="53" t="s">
        <v>1519</v>
      </c>
      <c r="J131" s="53" t="s">
        <v>1520</v>
      </c>
      <c r="K131" s="53">
        <v>352506543</v>
      </c>
      <c r="L131" s="53">
        <v>8520078561</v>
      </c>
      <c r="M131" s="55" t="s">
        <v>1623</v>
      </c>
    </row>
    <row r="132" spans="1:13" x14ac:dyDescent="0.25">
      <c r="A132" s="53" t="s">
        <v>12</v>
      </c>
      <c r="B132" s="53" t="s">
        <v>13</v>
      </c>
      <c r="C132" s="53" t="s">
        <v>14</v>
      </c>
      <c r="D132" s="53" t="s">
        <v>1406</v>
      </c>
      <c r="E132" s="69">
        <v>645602010014653</v>
      </c>
      <c r="F132" s="53" t="s">
        <v>1407</v>
      </c>
      <c r="G132" s="53">
        <v>5450</v>
      </c>
      <c r="H132" s="62">
        <v>46042</v>
      </c>
      <c r="I132" s="53" t="s">
        <v>903</v>
      </c>
      <c r="J132" s="53" t="s">
        <v>904</v>
      </c>
      <c r="K132" s="53">
        <v>352506539</v>
      </c>
      <c r="L132" s="53">
        <v>8084480157</v>
      </c>
      <c r="M132" s="55" t="s">
        <v>1623</v>
      </c>
    </row>
    <row r="133" spans="1:13" x14ac:dyDescent="0.25">
      <c r="A133" s="53" t="s">
        <v>12</v>
      </c>
      <c r="B133" s="53" t="s">
        <v>13</v>
      </c>
      <c r="C133" s="53" t="s">
        <v>14</v>
      </c>
      <c r="D133" s="53" t="s">
        <v>36</v>
      </c>
      <c r="E133" s="53" t="s">
        <v>37</v>
      </c>
      <c r="F133" s="53" t="s">
        <v>38</v>
      </c>
      <c r="G133" s="53">
        <v>3500</v>
      </c>
      <c r="H133" s="62">
        <v>46042</v>
      </c>
      <c r="I133" s="53" t="s">
        <v>902</v>
      </c>
      <c r="J133" s="53" t="s">
        <v>901</v>
      </c>
      <c r="K133" s="53">
        <v>352506511</v>
      </c>
      <c r="L133" s="53">
        <v>9358936441</v>
      </c>
      <c r="M133" s="55" t="s">
        <v>1626</v>
      </c>
    </row>
    <row r="134" spans="1:13" x14ac:dyDescent="0.25">
      <c r="A134" s="53" t="s">
        <v>12</v>
      </c>
      <c r="B134" s="53" t="s">
        <v>13</v>
      </c>
      <c r="C134" s="53" t="s">
        <v>14</v>
      </c>
      <c r="D134" s="53" t="s">
        <v>36</v>
      </c>
      <c r="E134" s="53" t="s">
        <v>37</v>
      </c>
      <c r="F134" s="53" t="s">
        <v>38</v>
      </c>
      <c r="G134" s="53">
        <v>1000</v>
      </c>
      <c r="H134" s="62">
        <v>46043</v>
      </c>
      <c r="I134" s="53" t="s">
        <v>902</v>
      </c>
      <c r="J134" s="53" t="s">
        <v>901</v>
      </c>
      <c r="K134" s="53">
        <v>352506559</v>
      </c>
      <c r="L134" s="53">
        <v>9358936441</v>
      </c>
      <c r="M134" s="55" t="s">
        <v>1624</v>
      </c>
    </row>
    <row r="135" spans="1:13" x14ac:dyDescent="0.25">
      <c r="A135" s="53" t="s">
        <v>12</v>
      </c>
      <c r="B135" s="53" t="s">
        <v>13</v>
      </c>
      <c r="C135" s="53" t="s">
        <v>14</v>
      </c>
      <c r="D135" s="53" t="s">
        <v>36</v>
      </c>
      <c r="E135" s="53" t="s">
        <v>37</v>
      </c>
      <c r="F135" s="53" t="s">
        <v>38</v>
      </c>
      <c r="G135" s="53">
        <v>700</v>
      </c>
      <c r="H135" s="62">
        <v>46043</v>
      </c>
      <c r="I135" s="53" t="s">
        <v>902</v>
      </c>
      <c r="J135" s="53" t="s">
        <v>901</v>
      </c>
      <c r="K135" s="53">
        <v>352506560</v>
      </c>
      <c r="L135" s="53">
        <v>9358936441</v>
      </c>
      <c r="M135" s="55" t="s">
        <v>1624</v>
      </c>
    </row>
    <row r="136" spans="1:13" x14ac:dyDescent="0.25">
      <c r="A136" s="53" t="s">
        <v>12</v>
      </c>
      <c r="B136" s="53" t="s">
        <v>13</v>
      </c>
      <c r="C136" s="53" t="s">
        <v>14</v>
      </c>
      <c r="D136" s="53" t="s">
        <v>1406</v>
      </c>
      <c r="E136" s="69">
        <v>645602010014653</v>
      </c>
      <c r="F136" s="53" t="s">
        <v>1407</v>
      </c>
      <c r="G136" s="53">
        <v>2000</v>
      </c>
      <c r="H136" s="62">
        <v>46043</v>
      </c>
      <c r="I136" s="53" t="s">
        <v>903</v>
      </c>
      <c r="J136" s="53" t="s">
        <v>904</v>
      </c>
      <c r="K136" s="53">
        <v>352506564</v>
      </c>
      <c r="L136" s="53">
        <v>8084480157</v>
      </c>
      <c r="M136" s="55" t="s">
        <v>1625</v>
      </c>
    </row>
    <row r="137" spans="1:13" x14ac:dyDescent="0.25">
      <c r="A137" s="53" t="s">
        <v>12</v>
      </c>
      <c r="B137" s="53" t="s">
        <v>13</v>
      </c>
      <c r="C137" s="53" t="s">
        <v>14</v>
      </c>
      <c r="D137" s="53" t="s">
        <v>36</v>
      </c>
      <c r="E137" s="53" t="s">
        <v>37</v>
      </c>
      <c r="F137" s="53" t="s">
        <v>38</v>
      </c>
      <c r="G137" s="53">
        <v>5450</v>
      </c>
      <c r="H137" s="62">
        <v>46043</v>
      </c>
      <c r="I137" s="53" t="s">
        <v>902</v>
      </c>
      <c r="J137" s="53" t="s">
        <v>901</v>
      </c>
      <c r="K137" s="53">
        <v>352506562</v>
      </c>
      <c r="L137" s="53">
        <v>9358936441</v>
      </c>
      <c r="M137" s="55" t="s">
        <v>1627</v>
      </c>
    </row>
    <row r="138" spans="1:13" x14ac:dyDescent="0.25">
      <c r="A138" s="61" t="s">
        <v>12</v>
      </c>
      <c r="B138" s="61" t="s">
        <v>13</v>
      </c>
      <c r="C138" s="61" t="s">
        <v>14</v>
      </c>
      <c r="D138" s="61" t="s">
        <v>149</v>
      </c>
      <c r="E138" s="78">
        <v>50100624324501</v>
      </c>
      <c r="F138" s="61" t="s">
        <v>150</v>
      </c>
      <c r="G138" s="53">
        <v>5450</v>
      </c>
      <c r="H138" s="62">
        <v>46043</v>
      </c>
      <c r="I138" s="61" t="s">
        <v>1513</v>
      </c>
      <c r="J138" s="61" t="s">
        <v>1495</v>
      </c>
      <c r="K138" s="53">
        <v>352506565</v>
      </c>
      <c r="L138" s="61">
        <v>8789141433</v>
      </c>
      <c r="M138" s="55" t="s">
        <v>1627</v>
      </c>
    </row>
    <row r="139" spans="1:13" x14ac:dyDescent="0.25">
      <c r="A139" s="53" t="s">
        <v>12</v>
      </c>
      <c r="B139" s="53" t="s">
        <v>13</v>
      </c>
      <c r="C139" s="53" t="s">
        <v>14</v>
      </c>
      <c r="D139" s="53" t="s">
        <v>48</v>
      </c>
      <c r="E139" s="53" t="s">
        <v>49</v>
      </c>
      <c r="F139" s="53" t="s">
        <v>50</v>
      </c>
      <c r="G139" s="53">
        <v>5450</v>
      </c>
      <c r="H139" s="62">
        <v>46043</v>
      </c>
      <c r="I139" s="53" t="s">
        <v>1519</v>
      </c>
      <c r="J139" s="53" t="s">
        <v>1520</v>
      </c>
      <c r="K139" s="53">
        <v>352506563</v>
      </c>
      <c r="L139" s="53">
        <v>8520078561</v>
      </c>
      <c r="M139" s="55" t="s">
        <v>1627</v>
      </c>
    </row>
    <row r="140" spans="1:13" x14ac:dyDescent="0.25">
      <c r="A140" s="53" t="s">
        <v>12</v>
      </c>
      <c r="B140" s="53" t="s">
        <v>13</v>
      </c>
      <c r="C140" s="53" t="s">
        <v>14</v>
      </c>
      <c r="D140" s="53" t="s">
        <v>993</v>
      </c>
      <c r="E140" s="69">
        <v>50100683547664</v>
      </c>
      <c r="F140" s="60" t="s">
        <v>994</v>
      </c>
      <c r="G140" s="53">
        <v>1500</v>
      </c>
      <c r="H140" s="62">
        <v>46044</v>
      </c>
      <c r="I140" s="61" t="s">
        <v>1497</v>
      </c>
      <c r="J140" s="61" t="s">
        <v>1498</v>
      </c>
      <c r="K140" s="53">
        <v>352506585</v>
      </c>
      <c r="L140" s="60">
        <v>8093441726</v>
      </c>
      <c r="M140" s="55" t="s">
        <v>1628</v>
      </c>
    </row>
    <row r="141" spans="1:13" x14ac:dyDescent="0.25">
      <c r="A141" s="53" t="s">
        <v>12</v>
      </c>
      <c r="B141" s="53" t="s">
        <v>13</v>
      </c>
      <c r="C141" s="53" t="s">
        <v>14</v>
      </c>
      <c r="D141" s="53" t="s">
        <v>152</v>
      </c>
      <c r="E141" s="53" t="s">
        <v>153</v>
      </c>
      <c r="F141" s="60" t="s">
        <v>154</v>
      </c>
      <c r="G141" s="53">
        <v>1500</v>
      </c>
      <c r="H141" s="62">
        <v>46044</v>
      </c>
      <c r="I141" s="61" t="s">
        <v>1485</v>
      </c>
      <c r="J141" s="61" t="s">
        <v>1486</v>
      </c>
      <c r="K141" s="53">
        <v>352506586</v>
      </c>
      <c r="L141" s="60">
        <v>8084080392</v>
      </c>
      <c r="M141" s="55" t="s">
        <v>1628</v>
      </c>
    </row>
    <row r="142" spans="1:13" x14ac:dyDescent="0.25">
      <c r="A142" s="53" t="s">
        <v>12</v>
      </c>
      <c r="B142" s="53" t="s">
        <v>13</v>
      </c>
      <c r="C142" s="53" t="s">
        <v>14</v>
      </c>
      <c r="D142" s="53" t="s">
        <v>993</v>
      </c>
      <c r="E142" s="69">
        <v>50100683547664</v>
      </c>
      <c r="F142" s="60" t="s">
        <v>994</v>
      </c>
      <c r="G142" s="53">
        <v>5450</v>
      </c>
      <c r="H142" s="62">
        <v>46044</v>
      </c>
      <c r="I142" s="61" t="s">
        <v>1497</v>
      </c>
      <c r="J142" s="61" t="s">
        <v>1498</v>
      </c>
      <c r="K142" s="53">
        <v>352506606</v>
      </c>
      <c r="L142" s="60">
        <v>8093441726</v>
      </c>
      <c r="M142" s="55" t="s">
        <v>1627</v>
      </c>
    </row>
    <row r="143" spans="1:13" x14ac:dyDescent="0.25">
      <c r="A143" s="53" t="s">
        <v>12</v>
      </c>
      <c r="B143" s="53" t="s">
        <v>13</v>
      </c>
      <c r="C143" s="53" t="s">
        <v>14</v>
      </c>
      <c r="D143" s="53" t="s">
        <v>152</v>
      </c>
      <c r="E143" s="53" t="s">
        <v>153</v>
      </c>
      <c r="F143" s="60" t="s">
        <v>154</v>
      </c>
      <c r="G143" s="53">
        <v>5450</v>
      </c>
      <c r="H143" s="62">
        <v>46044</v>
      </c>
      <c r="I143" s="61" t="s">
        <v>1485</v>
      </c>
      <c r="J143" s="61" t="s">
        <v>1486</v>
      </c>
      <c r="K143" s="53">
        <v>352506605</v>
      </c>
      <c r="L143" s="60">
        <v>8084080392</v>
      </c>
      <c r="M143" s="55" t="s">
        <v>1627</v>
      </c>
    </row>
    <row r="144" spans="1:13" x14ac:dyDescent="0.25">
      <c r="A144" s="53" t="s">
        <v>12</v>
      </c>
      <c r="B144" s="53" t="s">
        <v>13</v>
      </c>
      <c r="C144" s="53" t="s">
        <v>14</v>
      </c>
      <c r="D144" s="53" t="s">
        <v>1406</v>
      </c>
      <c r="E144" s="69">
        <v>645602010014653</v>
      </c>
      <c r="F144" s="53" t="s">
        <v>1407</v>
      </c>
      <c r="G144" s="53">
        <v>1000</v>
      </c>
      <c r="H144" s="62">
        <v>46044</v>
      </c>
      <c r="I144" s="53" t="s">
        <v>903</v>
      </c>
      <c r="J144" s="53" t="s">
        <v>904</v>
      </c>
      <c r="K144" s="53">
        <v>352506596</v>
      </c>
      <c r="L144" s="53">
        <v>8084480157</v>
      </c>
      <c r="M144" s="55" t="s">
        <v>1629</v>
      </c>
    </row>
    <row r="145" spans="1:13" x14ac:dyDescent="0.25">
      <c r="A145" s="53" t="s">
        <v>12</v>
      </c>
      <c r="B145" s="53" t="s">
        <v>13</v>
      </c>
      <c r="C145" s="53" t="s">
        <v>14</v>
      </c>
      <c r="D145" s="53" t="s">
        <v>1406</v>
      </c>
      <c r="E145" s="69">
        <v>645602010014653</v>
      </c>
      <c r="F145" s="53" t="s">
        <v>1407</v>
      </c>
      <c r="G145" s="53">
        <v>700</v>
      </c>
      <c r="H145" s="62">
        <v>46044</v>
      </c>
      <c r="I145" s="53" t="s">
        <v>903</v>
      </c>
      <c r="J145" s="53" t="s">
        <v>904</v>
      </c>
      <c r="K145" s="53">
        <v>352506597</v>
      </c>
      <c r="L145" s="53">
        <v>8084480157</v>
      </c>
      <c r="M145" s="55" t="s">
        <v>1629</v>
      </c>
    </row>
    <row r="146" spans="1:13" x14ac:dyDescent="0.25">
      <c r="A146" s="53" t="s">
        <v>12</v>
      </c>
      <c r="B146" s="53" t="s">
        <v>13</v>
      </c>
      <c r="C146" s="53" t="s">
        <v>14</v>
      </c>
      <c r="D146" s="53" t="s">
        <v>343</v>
      </c>
      <c r="E146" s="54">
        <v>37223550583</v>
      </c>
      <c r="F146" s="53" t="s">
        <v>33</v>
      </c>
      <c r="G146" s="53">
        <v>1000</v>
      </c>
      <c r="H146" s="62">
        <v>46044</v>
      </c>
      <c r="I146" s="61" t="s">
        <v>895</v>
      </c>
      <c r="J146" s="61" t="s">
        <v>896</v>
      </c>
      <c r="K146" s="53">
        <v>352506573</v>
      </c>
      <c r="L146" s="53">
        <v>9031258705</v>
      </c>
      <c r="M146" s="55" t="s">
        <v>1630</v>
      </c>
    </row>
    <row r="147" spans="1:13" x14ac:dyDescent="0.25">
      <c r="A147" s="53" t="s">
        <v>12</v>
      </c>
      <c r="B147" s="53" t="s">
        <v>13</v>
      </c>
      <c r="C147" s="53" t="s">
        <v>14</v>
      </c>
      <c r="D147" s="53" t="s">
        <v>108</v>
      </c>
      <c r="E147" s="53" t="s">
        <v>109</v>
      </c>
      <c r="F147" s="53" t="s">
        <v>110</v>
      </c>
      <c r="G147" s="53">
        <v>1000</v>
      </c>
      <c r="H147" s="62">
        <v>46044</v>
      </c>
      <c r="I147" s="61" t="s">
        <v>1483</v>
      </c>
      <c r="J147" s="61" t="s">
        <v>1484</v>
      </c>
      <c r="K147" s="53">
        <v>352506515</v>
      </c>
      <c r="L147" s="53">
        <v>7870570436</v>
      </c>
      <c r="M147" s="55" t="s">
        <v>1630</v>
      </c>
    </row>
    <row r="148" spans="1:13" x14ac:dyDescent="0.25">
      <c r="A148" s="53" t="s">
        <v>12</v>
      </c>
      <c r="B148" s="53" t="s">
        <v>13</v>
      </c>
      <c r="C148" s="53" t="s">
        <v>14</v>
      </c>
      <c r="D148" s="53" t="s">
        <v>343</v>
      </c>
      <c r="E148" s="54">
        <v>37223550583</v>
      </c>
      <c r="F148" s="53" t="s">
        <v>33</v>
      </c>
      <c r="G148" s="53">
        <v>7500</v>
      </c>
      <c r="H148" s="62">
        <v>46044</v>
      </c>
      <c r="I148" s="61" t="s">
        <v>895</v>
      </c>
      <c r="J148" s="61" t="s">
        <v>896</v>
      </c>
      <c r="K148" s="53">
        <v>352506573</v>
      </c>
      <c r="L148" s="53">
        <v>9031258705</v>
      </c>
      <c r="M148" s="55" t="s">
        <v>1631</v>
      </c>
    </row>
    <row r="149" spans="1:13" x14ac:dyDescent="0.25">
      <c r="A149" s="53" t="s">
        <v>12</v>
      </c>
      <c r="B149" s="53" t="s">
        <v>13</v>
      </c>
      <c r="C149" s="53" t="s">
        <v>14</v>
      </c>
      <c r="D149" s="53" t="s">
        <v>993</v>
      </c>
      <c r="E149" s="69">
        <v>50100683547664</v>
      </c>
      <c r="F149" s="60" t="s">
        <v>994</v>
      </c>
      <c r="G149" s="53">
        <v>5200</v>
      </c>
      <c r="H149" s="62">
        <v>46044</v>
      </c>
      <c r="I149" s="61" t="s">
        <v>1497</v>
      </c>
      <c r="J149" s="61" t="s">
        <v>1498</v>
      </c>
      <c r="K149" s="53">
        <v>352506606</v>
      </c>
      <c r="L149" s="60">
        <v>8093441726</v>
      </c>
      <c r="M149" s="55" t="s">
        <v>1632</v>
      </c>
    </row>
    <row r="150" spans="1:13" x14ac:dyDescent="0.25">
      <c r="A150" s="53" t="s">
        <v>12</v>
      </c>
      <c r="B150" s="53" t="s">
        <v>13</v>
      </c>
      <c r="C150" s="53" t="s">
        <v>14</v>
      </c>
      <c r="D150" s="53" t="s">
        <v>1610</v>
      </c>
      <c r="E150" s="53">
        <v>33067706253</v>
      </c>
      <c r="F150" s="53" t="s">
        <v>1611</v>
      </c>
      <c r="G150" s="53">
        <v>5200</v>
      </c>
      <c r="H150" s="62">
        <v>46044</v>
      </c>
      <c r="I150" s="53" t="s">
        <v>1513</v>
      </c>
      <c r="J150" s="53" t="s">
        <v>1495</v>
      </c>
      <c r="K150" s="53">
        <v>352506607</v>
      </c>
      <c r="L150" s="53">
        <v>6381535643</v>
      </c>
      <c r="M150" s="55" t="s">
        <v>1632</v>
      </c>
    </row>
    <row r="151" spans="1:13" x14ac:dyDescent="0.25">
      <c r="A151" s="53" t="s">
        <v>12</v>
      </c>
      <c r="B151" s="53" t="s">
        <v>13</v>
      </c>
      <c r="C151" s="53" t="s">
        <v>14</v>
      </c>
      <c r="D151" s="53" t="s">
        <v>108</v>
      </c>
      <c r="E151" s="53" t="s">
        <v>109</v>
      </c>
      <c r="F151" s="53" t="s">
        <v>110</v>
      </c>
      <c r="G151" s="53">
        <v>5500</v>
      </c>
      <c r="H151" s="62">
        <v>46044</v>
      </c>
      <c r="I151" s="61" t="s">
        <v>571</v>
      </c>
      <c r="J151" s="61" t="s">
        <v>59</v>
      </c>
      <c r="K151" s="53">
        <v>352506584</v>
      </c>
      <c r="L151" s="53">
        <v>7870570436</v>
      </c>
      <c r="M151" s="55" t="s">
        <v>1633</v>
      </c>
    </row>
    <row r="152" spans="1:13" x14ac:dyDescent="0.25">
      <c r="A152" s="53" t="s">
        <v>12</v>
      </c>
      <c r="B152" s="53" t="s">
        <v>13</v>
      </c>
      <c r="C152" s="53" t="s">
        <v>14</v>
      </c>
      <c r="D152" s="53" t="s">
        <v>48</v>
      </c>
      <c r="E152" s="53" t="s">
        <v>49</v>
      </c>
      <c r="F152" s="53" t="s">
        <v>50</v>
      </c>
      <c r="G152" s="53">
        <v>7700</v>
      </c>
      <c r="H152" s="62">
        <v>46044</v>
      </c>
      <c r="I152" s="53" t="s">
        <v>1519</v>
      </c>
      <c r="J152" s="53" t="s">
        <v>1520</v>
      </c>
      <c r="K152" s="53">
        <v>352506604</v>
      </c>
      <c r="L152" s="53">
        <v>8520078561</v>
      </c>
      <c r="M152" s="55" t="s">
        <v>1634</v>
      </c>
    </row>
    <row r="153" spans="1:13" x14ac:dyDescent="0.25">
      <c r="A153" s="53" t="s">
        <v>12</v>
      </c>
      <c r="B153" s="53" t="s">
        <v>13</v>
      </c>
      <c r="C153" s="53" t="s">
        <v>14</v>
      </c>
      <c r="D153" s="53" t="s">
        <v>1406</v>
      </c>
      <c r="E153" s="69">
        <v>645602010014653</v>
      </c>
      <c r="F153" s="53" t="s">
        <v>1407</v>
      </c>
      <c r="G153" s="53">
        <v>3500</v>
      </c>
      <c r="H153" s="62">
        <v>46044</v>
      </c>
      <c r="I153" s="53" t="s">
        <v>903</v>
      </c>
      <c r="J153" s="53" t="s">
        <v>904</v>
      </c>
      <c r="K153" s="53">
        <v>352506564</v>
      </c>
      <c r="L153" s="53">
        <v>8084480157</v>
      </c>
      <c r="M153" s="55" t="s">
        <v>1635</v>
      </c>
    </row>
    <row r="154" spans="1:13" x14ac:dyDescent="0.25">
      <c r="A154" s="53" t="s">
        <v>12</v>
      </c>
      <c r="B154" s="53" t="s">
        <v>13</v>
      </c>
      <c r="C154" s="53" t="s">
        <v>14</v>
      </c>
      <c r="D154" s="53" t="s">
        <v>36</v>
      </c>
      <c r="E154" s="53" t="s">
        <v>37</v>
      </c>
      <c r="F154" s="53" t="s">
        <v>38</v>
      </c>
      <c r="G154" s="53">
        <v>5450</v>
      </c>
      <c r="H154" s="62">
        <v>46044</v>
      </c>
      <c r="I154" s="53" t="s">
        <v>902</v>
      </c>
      <c r="J154" s="53" t="s">
        <v>901</v>
      </c>
      <c r="K154" s="53">
        <v>352506603</v>
      </c>
      <c r="L154" s="53">
        <v>9358936441</v>
      </c>
      <c r="M154" s="55" t="s">
        <v>1636</v>
      </c>
    </row>
    <row r="155" spans="1:13" x14ac:dyDescent="0.25">
      <c r="A155" s="53" t="s">
        <v>12</v>
      </c>
      <c r="B155" s="53" t="s">
        <v>13</v>
      </c>
      <c r="C155" s="53" t="s">
        <v>14</v>
      </c>
      <c r="D155" s="53" t="s">
        <v>152</v>
      </c>
      <c r="E155" s="53" t="s">
        <v>153</v>
      </c>
      <c r="F155" s="60" t="s">
        <v>154</v>
      </c>
      <c r="G155" s="53">
        <v>5450</v>
      </c>
      <c r="H155" s="62">
        <v>46044</v>
      </c>
      <c r="I155" s="61" t="s">
        <v>1485</v>
      </c>
      <c r="J155" s="61" t="s">
        <v>1486</v>
      </c>
      <c r="K155" s="53">
        <v>352506605</v>
      </c>
      <c r="L155" s="60">
        <v>8084080392</v>
      </c>
      <c r="M155" s="55" t="s">
        <v>1636</v>
      </c>
    </row>
    <row r="156" spans="1:13" x14ac:dyDescent="0.25">
      <c r="A156" s="53" t="s">
        <v>12</v>
      </c>
      <c r="B156" s="53" t="s">
        <v>13</v>
      </c>
      <c r="C156" s="53" t="s">
        <v>14</v>
      </c>
      <c r="D156" s="53" t="s">
        <v>144</v>
      </c>
      <c r="E156" s="53">
        <v>44182579159</v>
      </c>
      <c r="F156" s="53" t="s">
        <v>145</v>
      </c>
      <c r="G156" s="53">
        <v>1300</v>
      </c>
      <c r="H156" s="62">
        <v>46044</v>
      </c>
      <c r="I156" s="53" t="s">
        <v>593</v>
      </c>
      <c r="J156" s="53" t="s">
        <v>76</v>
      </c>
      <c r="K156" s="53">
        <v>352506533</v>
      </c>
      <c r="L156" s="53">
        <v>7765824237</v>
      </c>
      <c r="M156" s="55" t="s">
        <v>1637</v>
      </c>
    </row>
    <row r="157" spans="1:13" x14ac:dyDescent="0.25">
      <c r="A157" s="53" t="s">
        <v>12</v>
      </c>
      <c r="B157" s="53" t="s">
        <v>13</v>
      </c>
      <c r="C157" s="53" t="s">
        <v>14</v>
      </c>
      <c r="D157" s="53" t="s">
        <v>343</v>
      </c>
      <c r="E157" s="54">
        <v>37223550583</v>
      </c>
      <c r="F157" s="53" t="s">
        <v>33</v>
      </c>
      <c r="G157" s="53">
        <v>1000</v>
      </c>
      <c r="H157" s="62">
        <v>46045</v>
      </c>
      <c r="I157" s="61" t="s">
        <v>895</v>
      </c>
      <c r="J157" s="61" t="s">
        <v>896</v>
      </c>
      <c r="K157" s="53">
        <v>352506624</v>
      </c>
      <c r="L157" s="53">
        <v>9031258705</v>
      </c>
      <c r="M157" s="55" t="s">
        <v>1638</v>
      </c>
    </row>
    <row r="158" spans="1:13" x14ac:dyDescent="0.25">
      <c r="A158" s="53" t="s">
        <v>12</v>
      </c>
      <c r="B158" s="53" t="s">
        <v>13</v>
      </c>
      <c r="C158" s="53" t="s">
        <v>14</v>
      </c>
      <c r="D158" s="53" t="s">
        <v>144</v>
      </c>
      <c r="E158" s="53">
        <v>44182579159</v>
      </c>
      <c r="F158" s="53" t="s">
        <v>145</v>
      </c>
      <c r="G158" s="53">
        <v>7500</v>
      </c>
      <c r="H158" s="62">
        <v>46045</v>
      </c>
      <c r="I158" s="53" t="s">
        <v>593</v>
      </c>
      <c r="J158" s="53" t="s">
        <v>76</v>
      </c>
      <c r="K158" s="53">
        <v>352506533</v>
      </c>
      <c r="L158" s="53">
        <v>7765824237</v>
      </c>
      <c r="M158" s="55" t="s">
        <v>1639</v>
      </c>
    </row>
    <row r="159" spans="1:13" x14ac:dyDescent="0.25">
      <c r="A159" s="53" t="s">
        <v>12</v>
      </c>
      <c r="B159" s="53" t="s">
        <v>13</v>
      </c>
      <c r="C159" s="53" t="s">
        <v>14</v>
      </c>
      <c r="D159" s="53" t="s">
        <v>144</v>
      </c>
      <c r="E159" s="53">
        <v>44182579159</v>
      </c>
      <c r="F159" s="53" t="s">
        <v>145</v>
      </c>
      <c r="G159" s="53">
        <v>200</v>
      </c>
      <c r="H159" s="62">
        <v>46045</v>
      </c>
      <c r="I159" s="53" t="s">
        <v>593</v>
      </c>
      <c r="J159" s="53" t="s">
        <v>76</v>
      </c>
      <c r="K159" s="53">
        <v>352506533</v>
      </c>
      <c r="L159" s="53">
        <v>7765824237</v>
      </c>
      <c r="M159" s="55" t="s">
        <v>1640</v>
      </c>
    </row>
    <row r="160" spans="1:13" x14ac:dyDescent="0.25">
      <c r="A160" s="53" t="s">
        <v>12</v>
      </c>
      <c r="B160" s="53" t="s">
        <v>13</v>
      </c>
      <c r="C160" s="53" t="s">
        <v>14</v>
      </c>
      <c r="D160" s="53" t="s">
        <v>144</v>
      </c>
      <c r="E160" s="53">
        <v>44182579159</v>
      </c>
      <c r="F160" s="53" t="s">
        <v>145</v>
      </c>
      <c r="G160" s="53">
        <v>1160</v>
      </c>
      <c r="H160" s="62">
        <v>46045</v>
      </c>
      <c r="I160" s="53" t="s">
        <v>593</v>
      </c>
      <c r="J160" s="53" t="s">
        <v>76</v>
      </c>
      <c r="K160" s="53">
        <v>352506533</v>
      </c>
      <c r="L160" s="53">
        <v>7765824237</v>
      </c>
      <c r="M160" s="55" t="s">
        <v>1641</v>
      </c>
    </row>
    <row r="161" spans="1:13" x14ac:dyDescent="0.25">
      <c r="A161" s="53" t="s">
        <v>12</v>
      </c>
      <c r="B161" s="53" t="s">
        <v>13</v>
      </c>
      <c r="C161" s="53" t="s">
        <v>14</v>
      </c>
      <c r="D161" s="53" t="s">
        <v>95</v>
      </c>
      <c r="E161" s="53" t="s">
        <v>96</v>
      </c>
      <c r="F161" s="53" t="s">
        <v>33</v>
      </c>
      <c r="G161" s="53">
        <v>5300</v>
      </c>
      <c r="H161" s="62">
        <v>46045</v>
      </c>
      <c r="I161" s="61" t="s">
        <v>1483</v>
      </c>
      <c r="J161" s="61" t="s">
        <v>1484</v>
      </c>
      <c r="K161" s="53">
        <v>352506614</v>
      </c>
      <c r="L161" s="53">
        <v>8159025834</v>
      </c>
      <c r="M161" s="55" t="s">
        <v>1642</v>
      </c>
    </row>
    <row r="162" spans="1:13" x14ac:dyDescent="0.25">
      <c r="A162" s="53" t="s">
        <v>12</v>
      </c>
      <c r="B162" s="53" t="s">
        <v>13</v>
      </c>
      <c r="C162" s="53" t="s">
        <v>14</v>
      </c>
      <c r="D162" s="53" t="s">
        <v>1406</v>
      </c>
      <c r="E162" s="69">
        <v>645602010014653</v>
      </c>
      <c r="F162" s="53" t="s">
        <v>1407</v>
      </c>
      <c r="G162" s="53">
        <v>5000</v>
      </c>
      <c r="H162" s="62">
        <v>46045</v>
      </c>
      <c r="I162" s="53" t="s">
        <v>903</v>
      </c>
      <c r="J162" s="53" t="s">
        <v>904</v>
      </c>
      <c r="K162" s="53">
        <v>352506627</v>
      </c>
      <c r="L162" s="53">
        <v>8084480157</v>
      </c>
      <c r="M162" s="55" t="s">
        <v>1643</v>
      </c>
    </row>
    <row r="163" spans="1:13" x14ac:dyDescent="0.25">
      <c r="A163" s="53" t="s">
        <v>12</v>
      </c>
      <c r="B163" s="53" t="s">
        <v>13</v>
      </c>
      <c r="C163" s="53" t="s">
        <v>14</v>
      </c>
      <c r="D163" s="53" t="s">
        <v>36</v>
      </c>
      <c r="E163" s="53" t="s">
        <v>37</v>
      </c>
      <c r="F163" s="53" t="s">
        <v>38</v>
      </c>
      <c r="G163" s="53">
        <v>1500</v>
      </c>
      <c r="H163" s="62">
        <v>46045</v>
      </c>
      <c r="I163" s="53" t="s">
        <v>902</v>
      </c>
      <c r="J163" s="53" t="s">
        <v>901</v>
      </c>
      <c r="K163" s="53">
        <v>352506651</v>
      </c>
      <c r="L163" s="53">
        <v>9358936441</v>
      </c>
      <c r="M163" s="55" t="s">
        <v>1644</v>
      </c>
    </row>
    <row r="164" spans="1:13" x14ac:dyDescent="0.25">
      <c r="A164" s="53" t="s">
        <v>12</v>
      </c>
      <c r="B164" s="53" t="s">
        <v>13</v>
      </c>
      <c r="C164" s="53" t="s">
        <v>14</v>
      </c>
      <c r="D164" s="53" t="s">
        <v>36</v>
      </c>
      <c r="E164" s="53" t="s">
        <v>37</v>
      </c>
      <c r="F164" s="53" t="s">
        <v>38</v>
      </c>
      <c r="G164" s="53">
        <v>5200</v>
      </c>
      <c r="H164" s="62">
        <v>46045</v>
      </c>
      <c r="I164" s="53" t="s">
        <v>902</v>
      </c>
      <c r="J164" s="53" t="s">
        <v>901</v>
      </c>
      <c r="K164" s="53">
        <v>352506629</v>
      </c>
      <c r="L164" s="53">
        <v>9358936441</v>
      </c>
      <c r="M164" s="55" t="s">
        <v>1645</v>
      </c>
    </row>
    <row r="165" spans="1:13" x14ac:dyDescent="0.25">
      <c r="A165" s="53" t="s">
        <v>12</v>
      </c>
      <c r="B165" s="53" t="s">
        <v>13</v>
      </c>
      <c r="C165" s="53" t="s">
        <v>14</v>
      </c>
      <c r="D165" s="53" t="s">
        <v>343</v>
      </c>
      <c r="E165" s="54">
        <v>37223550583</v>
      </c>
      <c r="F165" s="53" t="s">
        <v>33</v>
      </c>
      <c r="G165" s="53">
        <v>5450</v>
      </c>
      <c r="H165" s="62">
        <v>46046</v>
      </c>
      <c r="I165" s="61" t="s">
        <v>895</v>
      </c>
      <c r="J165" s="61" t="s">
        <v>896</v>
      </c>
      <c r="K165" s="53">
        <v>352506624</v>
      </c>
      <c r="L165" s="53">
        <v>9031258705</v>
      </c>
      <c r="M165" s="55" t="s">
        <v>719</v>
      </c>
    </row>
    <row r="166" spans="1:13" x14ac:dyDescent="0.25">
      <c r="A166" s="53" t="s">
        <v>12</v>
      </c>
      <c r="B166" s="53" t="s">
        <v>13</v>
      </c>
      <c r="C166" s="53" t="s">
        <v>14</v>
      </c>
      <c r="D166" s="53" t="s">
        <v>993</v>
      </c>
      <c r="E166" s="69">
        <v>50100683547664</v>
      </c>
      <c r="F166" s="60" t="s">
        <v>994</v>
      </c>
      <c r="G166" s="53">
        <v>3950</v>
      </c>
      <c r="H166" s="62">
        <v>46046</v>
      </c>
      <c r="I166" s="61" t="s">
        <v>1497</v>
      </c>
      <c r="J166" s="61" t="s">
        <v>1498</v>
      </c>
      <c r="K166" s="53">
        <v>352506625</v>
      </c>
      <c r="L166" s="60">
        <v>8093441726</v>
      </c>
      <c r="M166" s="55" t="s">
        <v>1646</v>
      </c>
    </row>
    <row r="167" spans="1:13" x14ac:dyDescent="0.25">
      <c r="A167" s="53" t="s">
        <v>12</v>
      </c>
      <c r="B167" s="53" t="s">
        <v>13</v>
      </c>
      <c r="C167" s="53" t="s">
        <v>14</v>
      </c>
      <c r="D167" s="53" t="s">
        <v>1610</v>
      </c>
      <c r="E167" s="53">
        <v>33067706253</v>
      </c>
      <c r="F167" s="53" t="s">
        <v>1611</v>
      </c>
      <c r="G167" s="53">
        <v>3950</v>
      </c>
      <c r="H167" s="62">
        <v>46046</v>
      </c>
      <c r="I167" s="53" t="s">
        <v>1513</v>
      </c>
      <c r="J167" s="53" t="s">
        <v>1495</v>
      </c>
      <c r="K167" s="53">
        <v>352506626</v>
      </c>
      <c r="L167" s="53">
        <v>6381535643</v>
      </c>
      <c r="M167" s="55" t="s">
        <v>1646</v>
      </c>
    </row>
    <row r="168" spans="1:13" x14ac:dyDescent="0.25">
      <c r="A168" s="53" t="s">
        <v>12</v>
      </c>
      <c r="B168" s="53" t="s">
        <v>13</v>
      </c>
      <c r="C168" s="53" t="s">
        <v>14</v>
      </c>
      <c r="D168" s="53" t="s">
        <v>152</v>
      </c>
      <c r="E168" s="53" t="s">
        <v>153</v>
      </c>
      <c r="F168" s="60" t="s">
        <v>154</v>
      </c>
      <c r="G168" s="53">
        <v>5450</v>
      </c>
      <c r="H168" s="62">
        <v>46046</v>
      </c>
      <c r="I168" s="61" t="s">
        <v>1485</v>
      </c>
      <c r="J168" s="61" t="s">
        <v>1486</v>
      </c>
      <c r="K168" s="53">
        <v>352506628</v>
      </c>
      <c r="L168" s="60">
        <v>8084080392</v>
      </c>
      <c r="M168" s="55" t="s">
        <v>719</v>
      </c>
    </row>
    <row r="169" spans="1:13" x14ac:dyDescent="0.25">
      <c r="A169" s="53" t="s">
        <v>12</v>
      </c>
      <c r="B169" s="53" t="s">
        <v>13</v>
      </c>
      <c r="C169" s="53" t="s">
        <v>14</v>
      </c>
      <c r="D169" s="53" t="s">
        <v>144</v>
      </c>
      <c r="E169" s="53">
        <v>44182579159</v>
      </c>
      <c r="F169" s="53" t="s">
        <v>145</v>
      </c>
      <c r="G169" s="53">
        <v>1160</v>
      </c>
      <c r="H169" s="62">
        <v>46046</v>
      </c>
      <c r="I169" s="53" t="s">
        <v>593</v>
      </c>
      <c r="J169" s="53" t="s">
        <v>76</v>
      </c>
      <c r="K169" s="53">
        <v>352506661</v>
      </c>
      <c r="L169" s="53">
        <v>7765824237</v>
      </c>
      <c r="M169" s="55" t="s">
        <v>1641</v>
      </c>
    </row>
    <row r="170" spans="1:13" x14ac:dyDescent="0.25">
      <c r="A170" s="53" t="s">
        <v>12</v>
      </c>
      <c r="B170" s="53" t="s">
        <v>13</v>
      </c>
      <c r="C170" s="53" t="s">
        <v>14</v>
      </c>
      <c r="D170" s="53" t="s">
        <v>144</v>
      </c>
      <c r="E170" s="53">
        <v>44182579159</v>
      </c>
      <c r="F170" s="53" t="s">
        <v>145</v>
      </c>
      <c r="G170" s="53">
        <v>1000</v>
      </c>
      <c r="H170" s="62">
        <v>46046</v>
      </c>
      <c r="I170" s="53" t="s">
        <v>593</v>
      </c>
      <c r="J170" s="53" t="s">
        <v>76</v>
      </c>
      <c r="K170" s="53">
        <v>352506661</v>
      </c>
      <c r="L170" s="53">
        <v>7765824237</v>
      </c>
      <c r="M170" s="55" t="s">
        <v>1647</v>
      </c>
    </row>
    <row r="171" spans="1:13" x14ac:dyDescent="0.25">
      <c r="A171" s="53" t="s">
        <v>12</v>
      </c>
      <c r="B171" s="53" t="s">
        <v>13</v>
      </c>
      <c r="C171" s="53" t="s">
        <v>14</v>
      </c>
      <c r="D171" s="53" t="s">
        <v>108</v>
      </c>
      <c r="E171" s="53" t="s">
        <v>109</v>
      </c>
      <c r="F171" s="53" t="s">
        <v>110</v>
      </c>
      <c r="G171" s="53">
        <v>200</v>
      </c>
      <c r="H171" s="62">
        <v>46046</v>
      </c>
      <c r="I171" s="61" t="s">
        <v>571</v>
      </c>
      <c r="J171" s="61" t="s">
        <v>59</v>
      </c>
      <c r="K171" s="53">
        <v>352506649</v>
      </c>
      <c r="L171" s="53">
        <v>7870570436</v>
      </c>
      <c r="M171" s="55" t="s">
        <v>1640</v>
      </c>
    </row>
    <row r="172" spans="1:13" x14ac:dyDescent="0.25">
      <c r="A172" s="53" t="s">
        <v>12</v>
      </c>
      <c r="B172" s="53" t="s">
        <v>13</v>
      </c>
      <c r="C172" s="53" t="s">
        <v>14</v>
      </c>
      <c r="D172" s="53" t="s">
        <v>108</v>
      </c>
      <c r="E172" s="53" t="s">
        <v>109</v>
      </c>
      <c r="F172" s="53" t="s">
        <v>110</v>
      </c>
      <c r="G172" s="53">
        <v>5200</v>
      </c>
      <c r="H172" s="62">
        <v>46049</v>
      </c>
      <c r="I172" s="61" t="s">
        <v>571</v>
      </c>
      <c r="J172" s="61" t="s">
        <v>59</v>
      </c>
      <c r="K172" s="53">
        <v>352506687</v>
      </c>
      <c r="L172" s="53">
        <v>7870570436</v>
      </c>
      <c r="M172" s="55" t="s">
        <v>1648</v>
      </c>
    </row>
    <row r="173" spans="1:13" x14ac:dyDescent="0.25">
      <c r="A173" s="53" t="s">
        <v>12</v>
      </c>
      <c r="B173" s="53" t="s">
        <v>13</v>
      </c>
      <c r="C173" s="53" t="s">
        <v>14</v>
      </c>
      <c r="D173" s="53" t="s">
        <v>1406</v>
      </c>
      <c r="E173" s="69">
        <v>645602010014653</v>
      </c>
      <c r="F173" s="53" t="s">
        <v>1407</v>
      </c>
      <c r="G173" s="53">
        <v>5450</v>
      </c>
      <c r="H173" s="62">
        <v>46049</v>
      </c>
      <c r="I173" s="53" t="s">
        <v>903</v>
      </c>
      <c r="J173" s="53" t="s">
        <v>904</v>
      </c>
      <c r="K173" s="53">
        <v>352506724</v>
      </c>
      <c r="L173" s="53">
        <v>8084480157</v>
      </c>
      <c r="M173" s="55" t="s">
        <v>1649</v>
      </c>
    </row>
    <row r="174" spans="1:13" x14ac:dyDescent="0.25">
      <c r="A174" s="53" t="s">
        <v>12</v>
      </c>
      <c r="B174" s="53" t="s">
        <v>13</v>
      </c>
      <c r="C174" s="53" t="s">
        <v>14</v>
      </c>
      <c r="D174" s="53" t="s">
        <v>144</v>
      </c>
      <c r="E174" s="53">
        <v>44182579159</v>
      </c>
      <c r="F174" s="53" t="s">
        <v>145</v>
      </c>
      <c r="G174" s="53">
        <v>5450</v>
      </c>
      <c r="H174" s="62">
        <v>46049</v>
      </c>
      <c r="I174" s="53" t="s">
        <v>593</v>
      </c>
      <c r="J174" s="53" t="s">
        <v>76</v>
      </c>
      <c r="K174" s="53">
        <v>352506661</v>
      </c>
      <c r="L174" s="53">
        <v>7765824237</v>
      </c>
      <c r="M174" s="55" t="s">
        <v>1649</v>
      </c>
    </row>
    <row r="175" spans="1:13" x14ac:dyDescent="0.25">
      <c r="A175" s="53" t="s">
        <v>12</v>
      </c>
      <c r="B175" s="53" t="s">
        <v>13</v>
      </c>
      <c r="C175" s="53" t="s">
        <v>14</v>
      </c>
      <c r="D175" s="53" t="s">
        <v>95</v>
      </c>
      <c r="E175" s="53" t="s">
        <v>96</v>
      </c>
      <c r="F175" s="53" t="s">
        <v>33</v>
      </c>
      <c r="G175" s="53">
        <v>15000</v>
      </c>
      <c r="H175" s="62">
        <v>46049</v>
      </c>
      <c r="I175" s="61" t="s">
        <v>1483</v>
      </c>
      <c r="J175" s="61" t="s">
        <v>1484</v>
      </c>
      <c r="K175" s="53">
        <v>352506725</v>
      </c>
      <c r="L175" s="53">
        <v>8159025834</v>
      </c>
      <c r="M175" s="55" t="s">
        <v>1650</v>
      </c>
    </row>
    <row r="176" spans="1:13" x14ac:dyDescent="0.25">
      <c r="A176" s="53" t="s">
        <v>12</v>
      </c>
      <c r="B176" s="53" t="s">
        <v>13</v>
      </c>
      <c r="C176" s="53" t="s">
        <v>14</v>
      </c>
      <c r="D176" s="53" t="s">
        <v>48</v>
      </c>
      <c r="E176" s="53" t="s">
        <v>49</v>
      </c>
      <c r="F176" s="53" t="s">
        <v>50</v>
      </c>
      <c r="G176" s="53">
        <v>7500</v>
      </c>
      <c r="H176" s="62">
        <v>46049</v>
      </c>
      <c r="I176" s="53" t="s">
        <v>1519</v>
      </c>
      <c r="J176" s="53" t="s">
        <v>1520</v>
      </c>
      <c r="K176" s="53">
        <v>352506650</v>
      </c>
      <c r="L176" s="53">
        <v>8520078561</v>
      </c>
      <c r="M176" s="55" t="s">
        <v>1651</v>
      </c>
    </row>
    <row r="177" spans="1:13" x14ac:dyDescent="0.25">
      <c r="A177" s="53" t="s">
        <v>12</v>
      </c>
      <c r="B177" s="53" t="s">
        <v>13</v>
      </c>
      <c r="C177" s="53" t="s">
        <v>14</v>
      </c>
      <c r="D177" s="53" t="s">
        <v>36</v>
      </c>
      <c r="E177" s="53" t="s">
        <v>37</v>
      </c>
      <c r="F177" s="53" t="s">
        <v>38</v>
      </c>
      <c r="G177" s="53">
        <v>6000</v>
      </c>
      <c r="H177" s="62">
        <v>46049</v>
      </c>
      <c r="I177" s="53" t="s">
        <v>902</v>
      </c>
      <c r="J177" s="53" t="s">
        <v>901</v>
      </c>
      <c r="K177" s="53">
        <v>352506672</v>
      </c>
      <c r="L177" s="53">
        <v>9358936441</v>
      </c>
      <c r="M177" s="55" t="s">
        <v>1652</v>
      </c>
    </row>
    <row r="178" spans="1:13" x14ac:dyDescent="0.25">
      <c r="A178" s="53" t="s">
        <v>12</v>
      </c>
      <c r="B178" s="53" t="s">
        <v>13</v>
      </c>
      <c r="C178" s="53" t="s">
        <v>14</v>
      </c>
      <c r="D178" s="53" t="s">
        <v>993</v>
      </c>
      <c r="E178" s="69">
        <v>50100683547664</v>
      </c>
      <c r="F178" s="60" t="s">
        <v>994</v>
      </c>
      <c r="G178" s="53">
        <v>7500</v>
      </c>
      <c r="H178" s="62">
        <v>46049</v>
      </c>
      <c r="I178" s="61" t="s">
        <v>1497</v>
      </c>
      <c r="J178" s="61" t="s">
        <v>1498</v>
      </c>
      <c r="K178" s="53">
        <v>352506625</v>
      </c>
      <c r="L178" s="60">
        <v>8093441726</v>
      </c>
      <c r="M178" s="55" t="s">
        <v>1651</v>
      </c>
    </row>
    <row r="179" spans="1:13" x14ac:dyDescent="0.25">
      <c r="A179" s="53" t="s">
        <v>12</v>
      </c>
      <c r="B179" s="53" t="s">
        <v>13</v>
      </c>
      <c r="C179" s="53" t="s">
        <v>14</v>
      </c>
      <c r="D179" s="53" t="s">
        <v>144</v>
      </c>
      <c r="E179" s="53">
        <v>44182579159</v>
      </c>
      <c r="F179" s="53" t="s">
        <v>145</v>
      </c>
      <c r="G179" s="53">
        <v>1160</v>
      </c>
      <c r="H179" s="62">
        <v>46050</v>
      </c>
      <c r="I179" s="53" t="s">
        <v>593</v>
      </c>
      <c r="J179" s="53" t="s">
        <v>76</v>
      </c>
      <c r="K179" s="53">
        <v>352506751</v>
      </c>
      <c r="L179" s="53">
        <v>7765824237</v>
      </c>
      <c r="M179" s="55" t="s">
        <v>1653</v>
      </c>
    </row>
    <row r="180" spans="1:13" x14ac:dyDescent="0.25">
      <c r="A180" s="53" t="s">
        <v>12</v>
      </c>
      <c r="B180" s="53" t="s">
        <v>13</v>
      </c>
      <c r="C180" s="53" t="s">
        <v>14</v>
      </c>
      <c r="D180" s="53" t="s">
        <v>144</v>
      </c>
      <c r="E180" s="53">
        <v>44182579159</v>
      </c>
      <c r="F180" s="53" t="s">
        <v>145</v>
      </c>
      <c r="G180" s="53">
        <v>163</v>
      </c>
      <c r="H180" s="62">
        <v>46050</v>
      </c>
      <c r="I180" s="53" t="s">
        <v>593</v>
      </c>
      <c r="J180" s="53" t="s">
        <v>76</v>
      </c>
      <c r="K180" s="53">
        <v>352506751</v>
      </c>
      <c r="L180" s="53">
        <v>7765824237</v>
      </c>
      <c r="M180" s="55" t="s">
        <v>1653</v>
      </c>
    </row>
    <row r="181" spans="1:13" x14ac:dyDescent="0.25">
      <c r="A181" s="53" t="s">
        <v>12</v>
      </c>
      <c r="B181" s="53" t="s">
        <v>13</v>
      </c>
      <c r="C181" s="53" t="s">
        <v>14</v>
      </c>
      <c r="D181" s="53" t="s">
        <v>1610</v>
      </c>
      <c r="E181" s="53">
        <v>33067706253</v>
      </c>
      <c r="F181" s="53" t="s">
        <v>1611</v>
      </c>
      <c r="G181" s="53">
        <v>7700</v>
      </c>
      <c r="H181" s="62">
        <v>46050</v>
      </c>
      <c r="I181" s="53" t="s">
        <v>1513</v>
      </c>
      <c r="J181" s="53" t="s">
        <v>1495</v>
      </c>
      <c r="K181" s="53">
        <v>352506739</v>
      </c>
      <c r="L181" s="53">
        <v>6381535643</v>
      </c>
      <c r="M181" s="55" t="s">
        <v>1654</v>
      </c>
    </row>
    <row r="182" spans="1:13" x14ac:dyDescent="0.25">
      <c r="A182" s="53" t="s">
        <v>12</v>
      </c>
      <c r="B182" s="53" t="s">
        <v>13</v>
      </c>
      <c r="C182" s="53" t="s">
        <v>14</v>
      </c>
      <c r="D182" s="53" t="s">
        <v>152</v>
      </c>
      <c r="E182" s="53" t="s">
        <v>153</v>
      </c>
      <c r="F182" s="60" t="s">
        <v>154</v>
      </c>
      <c r="G182" s="53">
        <v>5450</v>
      </c>
      <c r="H182" s="62">
        <v>46050</v>
      </c>
      <c r="I182" s="61" t="s">
        <v>1485</v>
      </c>
      <c r="J182" s="61" t="s">
        <v>1486</v>
      </c>
      <c r="K182" s="53">
        <v>352506740</v>
      </c>
      <c r="L182" s="60">
        <v>8084080392</v>
      </c>
      <c r="M182" s="55" t="s">
        <v>729</v>
      </c>
    </row>
    <row r="183" spans="1:13" x14ac:dyDescent="0.25">
      <c r="A183" s="53" t="s">
        <v>12</v>
      </c>
      <c r="B183" s="53" t="s">
        <v>13</v>
      </c>
      <c r="C183" s="53" t="s">
        <v>14</v>
      </c>
      <c r="D183" s="53" t="s">
        <v>343</v>
      </c>
      <c r="E183" s="54">
        <v>37223550583</v>
      </c>
      <c r="F183" s="53" t="s">
        <v>33</v>
      </c>
      <c r="G183" s="53">
        <v>5450</v>
      </c>
      <c r="H183" s="62">
        <v>46050</v>
      </c>
      <c r="I183" s="61" t="s">
        <v>895</v>
      </c>
      <c r="J183" s="61" t="s">
        <v>896</v>
      </c>
      <c r="K183" s="53">
        <v>352506738</v>
      </c>
      <c r="L183" s="53">
        <v>9031258705</v>
      </c>
      <c r="M183" s="55" t="s">
        <v>729</v>
      </c>
    </row>
    <row r="184" spans="1:13" x14ac:dyDescent="0.25">
      <c r="A184" s="53" t="s">
        <v>12</v>
      </c>
      <c r="B184" s="53" t="s">
        <v>13</v>
      </c>
      <c r="C184" s="53" t="s">
        <v>14</v>
      </c>
      <c r="D184" s="53" t="s">
        <v>144</v>
      </c>
      <c r="E184" s="53">
        <v>44182579159</v>
      </c>
      <c r="F184" s="53" t="s">
        <v>145</v>
      </c>
      <c r="G184" s="53">
        <v>1500</v>
      </c>
      <c r="H184" s="62">
        <v>46050</v>
      </c>
      <c r="I184" s="53" t="s">
        <v>593</v>
      </c>
      <c r="J184" s="53" t="s">
        <v>76</v>
      </c>
      <c r="K184" s="53">
        <v>352506776</v>
      </c>
      <c r="L184" s="53">
        <v>7765824237</v>
      </c>
      <c r="M184" s="55" t="s">
        <v>1655</v>
      </c>
    </row>
    <row r="185" spans="1:13" x14ac:dyDescent="0.25">
      <c r="A185" s="53" t="s">
        <v>12</v>
      </c>
      <c r="B185" s="53" t="s">
        <v>13</v>
      </c>
      <c r="C185" s="53" t="s">
        <v>14</v>
      </c>
      <c r="D185" s="53" t="s">
        <v>144</v>
      </c>
      <c r="E185" s="53">
        <v>44182579159</v>
      </c>
      <c r="F185" s="53" t="s">
        <v>145</v>
      </c>
      <c r="G185" s="53">
        <v>5200</v>
      </c>
      <c r="H185" s="62">
        <v>46050</v>
      </c>
      <c r="I185" s="53" t="s">
        <v>593</v>
      </c>
      <c r="J185" s="53" t="s">
        <v>76</v>
      </c>
      <c r="K185" s="53">
        <v>352506776</v>
      </c>
      <c r="L185" s="53">
        <v>7765824237</v>
      </c>
      <c r="M185" s="55" t="s">
        <v>1656</v>
      </c>
    </row>
    <row r="186" spans="1:13" x14ac:dyDescent="0.25">
      <c r="A186" s="53" t="s">
        <v>12</v>
      </c>
      <c r="B186" s="53" t="s">
        <v>13</v>
      </c>
      <c r="C186" s="53" t="s">
        <v>14</v>
      </c>
      <c r="D186" s="53" t="s">
        <v>95</v>
      </c>
      <c r="E186" s="53" t="s">
        <v>96</v>
      </c>
      <c r="F186" s="53" t="s">
        <v>33</v>
      </c>
      <c r="G186" s="53">
        <v>1600</v>
      </c>
      <c r="H186" s="62">
        <v>46051</v>
      </c>
      <c r="I186" s="61" t="s">
        <v>1483</v>
      </c>
      <c r="J186" s="61" t="s">
        <v>1484</v>
      </c>
      <c r="K186" s="53">
        <v>352506725</v>
      </c>
      <c r="L186" s="53">
        <v>8159025834</v>
      </c>
      <c r="M186" s="55" t="s">
        <v>1650</v>
      </c>
    </row>
    <row r="187" spans="1:13" x14ac:dyDescent="0.25">
      <c r="A187" s="53" t="s">
        <v>12</v>
      </c>
      <c r="B187" s="53" t="s">
        <v>13</v>
      </c>
      <c r="C187" s="53" t="s">
        <v>14</v>
      </c>
      <c r="D187" s="53" t="s">
        <v>993</v>
      </c>
      <c r="E187" s="69">
        <v>50100683547664</v>
      </c>
      <c r="F187" s="60" t="s">
        <v>994</v>
      </c>
      <c r="G187" s="53">
        <v>1000</v>
      </c>
      <c r="H187" s="62">
        <v>46051</v>
      </c>
      <c r="I187" s="61" t="s">
        <v>1497</v>
      </c>
      <c r="J187" s="61" t="s">
        <v>1498</v>
      </c>
      <c r="K187" s="53">
        <v>352506777</v>
      </c>
      <c r="L187" s="60">
        <v>8093441726</v>
      </c>
      <c r="M187" s="55" t="s">
        <v>1658</v>
      </c>
    </row>
    <row r="188" spans="1:13" x14ac:dyDescent="0.25">
      <c r="A188" s="53" t="s">
        <v>12</v>
      </c>
      <c r="B188" s="53" t="s">
        <v>13</v>
      </c>
      <c r="C188" s="53" t="s">
        <v>14</v>
      </c>
      <c r="D188" s="53" t="s">
        <v>36</v>
      </c>
      <c r="E188" s="53" t="s">
        <v>37</v>
      </c>
      <c r="F188" s="53" t="s">
        <v>38</v>
      </c>
      <c r="G188" s="53">
        <v>1000</v>
      </c>
      <c r="H188" s="62">
        <v>46051</v>
      </c>
      <c r="I188" s="53" t="s">
        <v>902</v>
      </c>
      <c r="J188" s="53" t="s">
        <v>901</v>
      </c>
      <c r="K188" s="53">
        <v>352506779</v>
      </c>
      <c r="L188" s="53">
        <v>9358936441</v>
      </c>
      <c r="M188" s="55" t="s">
        <v>1658</v>
      </c>
    </row>
    <row r="189" spans="1:13" x14ac:dyDescent="0.25">
      <c r="A189" s="53" t="s">
        <v>12</v>
      </c>
      <c r="B189" s="53" t="s">
        <v>13</v>
      </c>
      <c r="C189" s="53" t="s">
        <v>14</v>
      </c>
      <c r="D189" s="53" t="s">
        <v>48</v>
      </c>
      <c r="E189" s="53" t="s">
        <v>49</v>
      </c>
      <c r="F189" s="53" t="s">
        <v>50</v>
      </c>
      <c r="G189" s="53">
        <v>1000</v>
      </c>
      <c r="H189" s="62">
        <v>46051</v>
      </c>
      <c r="I189" s="53" t="s">
        <v>1519</v>
      </c>
      <c r="J189" s="53" t="s">
        <v>1520</v>
      </c>
      <c r="K189" s="53">
        <v>352506778</v>
      </c>
      <c r="L189" s="53">
        <v>8520078561</v>
      </c>
      <c r="M189" s="55" t="s">
        <v>1658</v>
      </c>
    </row>
    <row r="190" spans="1:13" x14ac:dyDescent="0.25">
      <c r="A190" s="53" t="s">
        <v>12</v>
      </c>
      <c r="B190" s="53" t="s">
        <v>13</v>
      </c>
      <c r="C190" s="53" t="s">
        <v>14</v>
      </c>
      <c r="D190" s="53" t="s">
        <v>95</v>
      </c>
      <c r="E190" s="53" t="s">
        <v>96</v>
      </c>
      <c r="F190" s="53" t="s">
        <v>33</v>
      </c>
      <c r="G190" s="53">
        <v>5450</v>
      </c>
      <c r="H190" s="62">
        <v>46051</v>
      </c>
      <c r="I190" s="61" t="s">
        <v>1483</v>
      </c>
      <c r="J190" s="61" t="s">
        <v>1484</v>
      </c>
      <c r="K190" s="53">
        <v>352506725</v>
      </c>
      <c r="L190" s="53">
        <v>8159025834</v>
      </c>
      <c r="M190" s="55" t="s">
        <v>1657</v>
      </c>
    </row>
    <row r="191" spans="1:13" x14ac:dyDescent="0.25">
      <c r="A191" s="53" t="s">
        <v>12</v>
      </c>
      <c r="B191" s="53" t="s">
        <v>13</v>
      </c>
      <c r="C191" s="53" t="s">
        <v>14</v>
      </c>
      <c r="D191" s="53" t="s">
        <v>343</v>
      </c>
      <c r="E191" s="54">
        <v>37223550583</v>
      </c>
      <c r="F191" s="53" t="s">
        <v>33</v>
      </c>
      <c r="G191" s="53">
        <v>1500</v>
      </c>
      <c r="H191" s="62">
        <v>46051</v>
      </c>
      <c r="I191" s="61" t="s">
        <v>895</v>
      </c>
      <c r="J191" s="61" t="s">
        <v>896</v>
      </c>
      <c r="K191" s="53">
        <v>352506809</v>
      </c>
      <c r="L191" s="53">
        <v>9031258705</v>
      </c>
      <c r="M191" s="55" t="s">
        <v>1659</v>
      </c>
    </row>
    <row r="192" spans="1:13" x14ac:dyDescent="0.25">
      <c r="A192" s="53" t="s">
        <v>12</v>
      </c>
      <c r="B192" s="53" t="s">
        <v>13</v>
      </c>
      <c r="C192" s="53" t="s">
        <v>14</v>
      </c>
      <c r="D192" s="53" t="s">
        <v>343</v>
      </c>
      <c r="E192" s="54">
        <v>37223550583</v>
      </c>
      <c r="F192" s="53" t="s">
        <v>33</v>
      </c>
      <c r="G192" s="53">
        <v>5200</v>
      </c>
      <c r="H192" s="62">
        <v>46051</v>
      </c>
      <c r="I192" s="61" t="s">
        <v>895</v>
      </c>
      <c r="J192" s="61" t="s">
        <v>896</v>
      </c>
      <c r="K192" s="53">
        <v>352506798</v>
      </c>
      <c r="L192" s="53">
        <v>9031258705</v>
      </c>
      <c r="M192" s="55" t="s">
        <v>1660</v>
      </c>
    </row>
    <row r="193" spans="1:13" x14ac:dyDescent="0.25">
      <c r="A193" s="53" t="s">
        <v>12</v>
      </c>
      <c r="B193" s="53" t="s">
        <v>13</v>
      </c>
      <c r="C193" s="53" t="s">
        <v>14</v>
      </c>
      <c r="D193" s="53" t="s">
        <v>1610</v>
      </c>
      <c r="E193" s="53">
        <v>33067706253</v>
      </c>
      <c r="F193" s="53" t="s">
        <v>1611</v>
      </c>
      <c r="G193" s="53">
        <v>3500</v>
      </c>
      <c r="H193" s="62">
        <v>46051</v>
      </c>
      <c r="I193" s="53" t="s">
        <v>1513</v>
      </c>
      <c r="J193" s="53" t="s">
        <v>1495</v>
      </c>
      <c r="K193" s="53">
        <v>352506781</v>
      </c>
      <c r="L193" s="53">
        <v>6381535643</v>
      </c>
      <c r="M193" s="55" t="s">
        <v>1661</v>
      </c>
    </row>
    <row r="194" spans="1:13" x14ac:dyDescent="0.25">
      <c r="A194" s="53" t="s">
        <v>12</v>
      </c>
      <c r="B194" s="53" t="s">
        <v>13</v>
      </c>
      <c r="C194" s="53" t="s">
        <v>14</v>
      </c>
      <c r="D194" s="53" t="s">
        <v>1406</v>
      </c>
      <c r="E194" s="69">
        <v>645602010014653</v>
      </c>
      <c r="F194" s="53" t="s">
        <v>1407</v>
      </c>
      <c r="G194" s="53">
        <v>1500</v>
      </c>
      <c r="H194" s="62">
        <v>46053</v>
      </c>
      <c r="I194" s="53" t="s">
        <v>903</v>
      </c>
      <c r="J194" s="53" t="s">
        <v>904</v>
      </c>
      <c r="K194" s="53">
        <v>352506842</v>
      </c>
      <c r="L194" s="53">
        <v>8084480157</v>
      </c>
      <c r="M194" s="55" t="s">
        <v>1662</v>
      </c>
    </row>
    <row r="195" spans="1:13" x14ac:dyDescent="0.25">
      <c r="A195" s="53" t="s">
        <v>12</v>
      </c>
      <c r="B195" s="53" t="s">
        <v>13</v>
      </c>
      <c r="C195" s="53" t="s">
        <v>14</v>
      </c>
      <c r="D195" s="53" t="s">
        <v>95</v>
      </c>
      <c r="E195" s="53" t="s">
        <v>96</v>
      </c>
      <c r="F195" s="53" t="s">
        <v>33</v>
      </c>
      <c r="G195" s="53">
        <v>1900</v>
      </c>
      <c r="H195" s="62">
        <v>46053</v>
      </c>
      <c r="I195" s="61" t="s">
        <v>1483</v>
      </c>
      <c r="J195" s="61" t="s">
        <v>1484</v>
      </c>
      <c r="K195" s="53">
        <v>352506843</v>
      </c>
      <c r="L195" s="53">
        <v>8159025834</v>
      </c>
      <c r="M195" s="55" t="s">
        <v>1662</v>
      </c>
    </row>
    <row r="196" spans="1:13" x14ac:dyDescent="0.25">
      <c r="A196" s="53" t="s">
        <v>12</v>
      </c>
      <c r="B196" s="53" t="s">
        <v>13</v>
      </c>
      <c r="C196" s="53" t="s">
        <v>14</v>
      </c>
      <c r="D196" s="53" t="s">
        <v>1406</v>
      </c>
      <c r="E196" s="69">
        <v>645602010014653</v>
      </c>
      <c r="F196" s="53" t="s">
        <v>1407</v>
      </c>
      <c r="G196" s="53">
        <v>7500</v>
      </c>
      <c r="H196" s="62">
        <v>46053</v>
      </c>
      <c r="I196" s="53" t="s">
        <v>903</v>
      </c>
      <c r="J196" s="53" t="s">
        <v>904</v>
      </c>
      <c r="K196" s="53">
        <v>352506752</v>
      </c>
      <c r="L196" s="53">
        <v>8084480157</v>
      </c>
      <c r="M196" s="55" t="s">
        <v>1663</v>
      </c>
    </row>
    <row r="197" spans="1:13" x14ac:dyDescent="0.25">
      <c r="A197" s="53" t="s">
        <v>12</v>
      </c>
      <c r="B197" s="53" t="s">
        <v>13</v>
      </c>
      <c r="C197" s="53" t="s">
        <v>14</v>
      </c>
      <c r="D197" s="53" t="s">
        <v>36</v>
      </c>
      <c r="E197" s="53" t="s">
        <v>37</v>
      </c>
      <c r="F197" s="53" t="s">
        <v>38</v>
      </c>
      <c r="G197" s="53">
        <v>7500</v>
      </c>
      <c r="H197" s="62">
        <v>46053</v>
      </c>
      <c r="I197" s="53" t="s">
        <v>902</v>
      </c>
      <c r="J197" s="53" t="s">
        <v>901</v>
      </c>
      <c r="K197" s="53">
        <v>352506779</v>
      </c>
      <c r="L197" s="53">
        <v>9358936441</v>
      </c>
      <c r="M197" s="55" t="s">
        <v>1664</v>
      </c>
    </row>
    <row r="198" spans="1:13" x14ac:dyDescent="0.25">
      <c r="A198" s="53" t="s">
        <v>12</v>
      </c>
      <c r="B198" s="53" t="s">
        <v>13</v>
      </c>
      <c r="C198" s="53" t="s">
        <v>14</v>
      </c>
      <c r="D198" s="53" t="s">
        <v>152</v>
      </c>
      <c r="E198" s="53" t="s">
        <v>153</v>
      </c>
      <c r="F198" s="60" t="s">
        <v>154</v>
      </c>
      <c r="G198" s="53">
        <v>7500</v>
      </c>
      <c r="H198" s="62">
        <v>46053</v>
      </c>
      <c r="I198" s="61" t="s">
        <v>1485</v>
      </c>
      <c r="J198" s="61" t="s">
        <v>1486</v>
      </c>
      <c r="K198" s="53">
        <v>352506797</v>
      </c>
      <c r="L198" s="60">
        <v>8084080392</v>
      </c>
      <c r="M198" s="55" t="s">
        <v>1665</v>
      </c>
    </row>
    <row r="199" spans="1:13" x14ac:dyDescent="0.25">
      <c r="A199" s="53" t="s">
        <v>12</v>
      </c>
      <c r="B199" s="53" t="s">
        <v>13</v>
      </c>
      <c r="C199" s="53" t="s">
        <v>14</v>
      </c>
      <c r="D199" s="53" t="s">
        <v>108</v>
      </c>
      <c r="E199" s="53" t="s">
        <v>109</v>
      </c>
      <c r="F199" s="53" t="s">
        <v>110</v>
      </c>
      <c r="G199" s="53">
        <v>400</v>
      </c>
      <c r="H199" s="62">
        <v>46053</v>
      </c>
      <c r="I199" s="61" t="s">
        <v>571</v>
      </c>
      <c r="J199" s="61" t="s">
        <v>59</v>
      </c>
      <c r="K199" s="53">
        <v>352506750</v>
      </c>
      <c r="L199" s="53">
        <v>7870570436</v>
      </c>
      <c r="M199" s="55" t="s">
        <v>1668</v>
      </c>
    </row>
    <row r="200" spans="1:13" x14ac:dyDescent="0.25">
      <c r="A200" s="53" t="s">
        <v>12</v>
      </c>
      <c r="B200" s="53" t="s">
        <v>13</v>
      </c>
      <c r="C200" s="53" t="s">
        <v>14</v>
      </c>
      <c r="D200" s="53" t="s">
        <v>343</v>
      </c>
      <c r="E200" s="54">
        <v>37223550583</v>
      </c>
      <c r="F200" s="53" t="s">
        <v>33</v>
      </c>
      <c r="G200" s="53">
        <v>5200</v>
      </c>
      <c r="H200" s="62">
        <v>46053</v>
      </c>
      <c r="I200" s="61" t="s">
        <v>895</v>
      </c>
      <c r="J200" s="61" t="s">
        <v>896</v>
      </c>
      <c r="K200" s="53">
        <v>352506816</v>
      </c>
      <c r="L200" s="53">
        <v>9031258705</v>
      </c>
      <c r="M200" s="55" t="s">
        <v>1666</v>
      </c>
    </row>
    <row r="201" spans="1:13" x14ac:dyDescent="0.25">
      <c r="A201" s="53" t="s">
        <v>12</v>
      </c>
      <c r="B201" s="53" t="s">
        <v>13</v>
      </c>
      <c r="C201" s="53" t="s">
        <v>14</v>
      </c>
      <c r="D201" s="53" t="s">
        <v>48</v>
      </c>
      <c r="E201" s="53" t="s">
        <v>49</v>
      </c>
      <c r="F201" s="53" t="s">
        <v>50</v>
      </c>
      <c r="G201" s="53">
        <v>5450</v>
      </c>
      <c r="H201" s="62">
        <v>46053</v>
      </c>
      <c r="I201" s="53" t="s">
        <v>1519</v>
      </c>
      <c r="J201" s="53" t="s">
        <v>1520</v>
      </c>
      <c r="K201" s="53">
        <v>352506778</v>
      </c>
      <c r="L201" s="53">
        <v>8520078561</v>
      </c>
      <c r="M201" s="55" t="s">
        <v>1667</v>
      </c>
    </row>
    <row r="202" spans="1:13" x14ac:dyDescent="0.25">
      <c r="A202" s="53" t="s">
        <v>12</v>
      </c>
      <c r="B202" s="53" t="s">
        <v>13</v>
      </c>
      <c r="C202" s="53" t="s">
        <v>14</v>
      </c>
      <c r="D202" s="53" t="s">
        <v>48</v>
      </c>
      <c r="E202" s="53" t="s">
        <v>49</v>
      </c>
      <c r="F202" s="53" t="s">
        <v>50</v>
      </c>
      <c r="G202" s="53">
        <v>400</v>
      </c>
      <c r="H202" s="62">
        <v>46053</v>
      </c>
      <c r="I202" s="53" t="s">
        <v>1519</v>
      </c>
      <c r="J202" s="53" t="s">
        <v>1520</v>
      </c>
      <c r="K202" s="53">
        <v>352506778</v>
      </c>
      <c r="L202" s="53">
        <v>8520078561</v>
      </c>
      <c r="M202" s="55" t="s">
        <v>1668</v>
      </c>
    </row>
    <row r="203" spans="1:13" x14ac:dyDescent="0.25">
      <c r="A203" s="53" t="s">
        <v>12</v>
      </c>
      <c r="B203" s="53" t="s">
        <v>13</v>
      </c>
      <c r="C203" s="53" t="s">
        <v>14</v>
      </c>
      <c r="D203" s="53" t="s">
        <v>993</v>
      </c>
      <c r="E203" s="69">
        <v>50100683547664</v>
      </c>
      <c r="F203" s="60" t="s">
        <v>994</v>
      </c>
      <c r="G203" s="53">
        <v>5450</v>
      </c>
      <c r="H203" s="62">
        <v>46053</v>
      </c>
      <c r="I203" s="61" t="s">
        <v>1497</v>
      </c>
      <c r="J203" s="61" t="s">
        <v>1498</v>
      </c>
      <c r="K203" s="53">
        <v>352506777</v>
      </c>
      <c r="L203" s="60">
        <v>8093441726</v>
      </c>
      <c r="M203" s="55" t="s">
        <v>1667</v>
      </c>
    </row>
    <row r="204" spans="1:13" x14ac:dyDescent="0.25">
      <c r="A204" s="53" t="s">
        <v>12</v>
      </c>
      <c r="B204" s="53" t="s">
        <v>13</v>
      </c>
      <c r="C204" s="53" t="s">
        <v>14</v>
      </c>
      <c r="D204" s="53" t="s">
        <v>993</v>
      </c>
      <c r="E204" s="69">
        <v>50100683547664</v>
      </c>
      <c r="F204" s="60" t="s">
        <v>994</v>
      </c>
      <c r="G204" s="53">
        <v>400</v>
      </c>
      <c r="H204" s="62">
        <v>46053</v>
      </c>
      <c r="I204" s="61" t="s">
        <v>1497</v>
      </c>
      <c r="J204" s="61" t="s">
        <v>1498</v>
      </c>
      <c r="K204" s="53">
        <v>352506777</v>
      </c>
      <c r="L204" s="60">
        <v>8093441726</v>
      </c>
      <c r="M204" s="55" t="s">
        <v>1668</v>
      </c>
    </row>
    <row r="205" spans="1:13" x14ac:dyDescent="0.25">
      <c r="A205" s="53" t="s">
        <v>12</v>
      </c>
      <c r="B205" s="53" t="s">
        <v>13</v>
      </c>
      <c r="C205" s="53" t="s">
        <v>14</v>
      </c>
      <c r="D205" s="53" t="s">
        <v>144</v>
      </c>
      <c r="E205" s="53">
        <v>44182579159</v>
      </c>
      <c r="F205" s="53" t="s">
        <v>145</v>
      </c>
      <c r="G205" s="53">
        <v>3950</v>
      </c>
      <c r="H205" s="62">
        <v>46053</v>
      </c>
      <c r="I205" s="53" t="s">
        <v>593</v>
      </c>
      <c r="J205" s="53" t="s">
        <v>76</v>
      </c>
      <c r="K205" s="53">
        <v>352506792</v>
      </c>
      <c r="L205" s="53">
        <v>7765824237</v>
      </c>
      <c r="M205" s="55" t="s">
        <v>1667</v>
      </c>
    </row>
    <row r="206" spans="1:13" x14ac:dyDescent="0.25">
      <c r="A206" s="53" t="s">
        <v>12</v>
      </c>
      <c r="B206" s="53" t="s">
        <v>13</v>
      </c>
      <c r="C206" s="53" t="s">
        <v>14</v>
      </c>
      <c r="D206" s="53" t="s">
        <v>144</v>
      </c>
      <c r="E206" s="53">
        <v>44182579159</v>
      </c>
      <c r="F206" s="53" t="s">
        <v>145</v>
      </c>
      <c r="G206" s="53">
        <v>1160</v>
      </c>
      <c r="H206" s="62">
        <v>46053</v>
      </c>
      <c r="I206" s="53" t="s">
        <v>593</v>
      </c>
      <c r="J206" s="53" t="s">
        <v>76</v>
      </c>
      <c r="K206" s="53">
        <v>352506792</v>
      </c>
      <c r="L206" s="53">
        <v>7765824237</v>
      </c>
      <c r="M206" s="55" t="s">
        <v>1669</v>
      </c>
    </row>
    <row r="207" spans="1:13" x14ac:dyDescent="0.25">
      <c r="A207" s="53" t="s">
        <v>12</v>
      </c>
      <c r="B207" s="53" t="s">
        <v>13</v>
      </c>
      <c r="C207" s="53" t="s">
        <v>14</v>
      </c>
      <c r="D207" s="53" t="s">
        <v>95</v>
      </c>
      <c r="E207" s="53" t="s">
        <v>96</v>
      </c>
      <c r="F207" s="53" t="s">
        <v>33</v>
      </c>
      <c r="G207" s="53">
        <v>5450</v>
      </c>
      <c r="H207" s="62">
        <v>46053</v>
      </c>
      <c r="I207" s="61" t="s">
        <v>1483</v>
      </c>
      <c r="J207" s="61" t="s">
        <v>1484</v>
      </c>
      <c r="K207" s="53">
        <v>352506815</v>
      </c>
      <c r="L207" s="53">
        <v>8159025834</v>
      </c>
      <c r="M207" s="55" t="s">
        <v>1667</v>
      </c>
    </row>
    <row r="208" spans="1:13" x14ac:dyDescent="0.25">
      <c r="A208" s="53" t="s">
        <v>12</v>
      </c>
      <c r="B208" s="53" t="s">
        <v>13</v>
      </c>
      <c r="C208" s="53" t="s">
        <v>14</v>
      </c>
      <c r="D208" s="53" t="s">
        <v>1610</v>
      </c>
      <c r="E208" s="53">
        <v>33067706253</v>
      </c>
      <c r="F208" s="53" t="s">
        <v>1611</v>
      </c>
      <c r="G208" s="53">
        <v>1000</v>
      </c>
      <c r="H208" s="62">
        <v>46053</v>
      </c>
      <c r="I208" s="53" t="s">
        <v>1513</v>
      </c>
      <c r="J208" s="53" t="s">
        <v>1495</v>
      </c>
      <c r="K208" s="53">
        <v>352506850</v>
      </c>
      <c r="L208" s="53">
        <v>6381535643</v>
      </c>
      <c r="M208" s="55" t="s">
        <v>1670</v>
      </c>
    </row>
    <row r="209" spans="1:13" x14ac:dyDescent="0.25">
      <c r="A209" s="53" t="s">
        <v>12</v>
      </c>
      <c r="B209" s="53" t="s">
        <v>13</v>
      </c>
      <c r="C209" s="53" t="s">
        <v>14</v>
      </c>
      <c r="D209" s="53" t="s">
        <v>1610</v>
      </c>
      <c r="E209" s="53">
        <v>33067706253</v>
      </c>
      <c r="F209" s="53" t="s">
        <v>1611</v>
      </c>
      <c r="G209" s="53">
        <v>700</v>
      </c>
      <c r="H209" s="62">
        <v>46053</v>
      </c>
      <c r="I209" s="53" t="s">
        <v>1513</v>
      </c>
      <c r="J209" s="53" t="s">
        <v>1495</v>
      </c>
      <c r="K209" s="53">
        <v>352506851</v>
      </c>
      <c r="L209" s="53">
        <v>6381535643</v>
      </c>
      <c r="M209" s="55" t="s">
        <v>1670</v>
      </c>
    </row>
  </sheetData>
  <autoFilter ref="A1:M209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4"/>
  <sheetViews>
    <sheetView zoomScaleNormal="100" workbookViewId="0">
      <pane ySplit="1" topLeftCell="A2" activePane="bottomLeft" state="frozen"/>
      <selection pane="bottomLeft" activeCell="G5" sqref="G5"/>
    </sheetView>
  </sheetViews>
  <sheetFormatPr defaultRowHeight="12" x14ac:dyDescent="0.25"/>
  <cols>
    <col min="1" max="1" width="18.33203125" style="59" customWidth="1"/>
    <col min="2" max="2" width="11.5546875" style="59" customWidth="1"/>
    <col min="3" max="3" width="11" style="59" customWidth="1"/>
    <col min="4" max="4" width="14" style="59" bestFit="1" customWidth="1"/>
    <col min="5" max="5" width="15.33203125" style="59" bestFit="1" customWidth="1"/>
    <col min="6" max="6" width="12.44140625" style="59" bestFit="1" customWidth="1"/>
    <col min="7" max="7" width="9" style="59" customWidth="1"/>
    <col min="8" max="8" width="11.109375" style="59" bestFit="1" customWidth="1"/>
    <col min="9" max="9" width="15" style="59" bestFit="1" customWidth="1"/>
    <col min="10" max="10" width="8.5546875" style="59" bestFit="1" customWidth="1"/>
    <col min="11" max="11" width="9" style="59" customWidth="1"/>
    <col min="12" max="12" width="11.21875" style="59" customWidth="1"/>
    <col min="13" max="13" width="70.44140625" style="59" bestFit="1" customWidth="1"/>
    <col min="14" max="16384" width="8.88671875" style="59"/>
  </cols>
  <sheetData>
    <row r="1" spans="1:13" ht="24" x14ac:dyDescent="0.25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7" t="s">
        <v>7</v>
      </c>
      <c r="I1" s="56" t="s">
        <v>8</v>
      </c>
      <c r="J1" s="56" t="s">
        <v>9</v>
      </c>
      <c r="K1" s="56" t="s">
        <v>10</v>
      </c>
      <c r="L1" s="56" t="s">
        <v>949</v>
      </c>
      <c r="M1" s="58" t="s">
        <v>11</v>
      </c>
    </row>
    <row r="2" spans="1:13" x14ac:dyDescent="0.25">
      <c r="A2" s="53" t="s">
        <v>12</v>
      </c>
      <c r="B2" s="53" t="s">
        <v>13</v>
      </c>
      <c r="C2" s="53" t="s">
        <v>14</v>
      </c>
      <c r="D2" s="53" t="s">
        <v>1610</v>
      </c>
      <c r="E2" s="53">
        <v>33067706253</v>
      </c>
      <c r="F2" s="53" t="s">
        <v>1611</v>
      </c>
      <c r="G2" s="53">
        <v>1000</v>
      </c>
      <c r="H2" s="62">
        <v>46055</v>
      </c>
      <c r="I2" s="53" t="s">
        <v>1513</v>
      </c>
      <c r="J2" s="53" t="s">
        <v>1495</v>
      </c>
      <c r="K2" s="53">
        <v>352506876</v>
      </c>
      <c r="L2" s="53">
        <v>6381535643</v>
      </c>
      <c r="M2" s="55" t="s">
        <v>1671</v>
      </c>
    </row>
    <row r="3" spans="1:13" x14ac:dyDescent="0.25">
      <c r="A3" s="53" t="s">
        <v>12</v>
      </c>
      <c r="B3" s="53" t="s">
        <v>13</v>
      </c>
      <c r="C3" s="53" t="s">
        <v>14</v>
      </c>
      <c r="D3" s="53" t="s">
        <v>1610</v>
      </c>
      <c r="E3" s="53">
        <v>33067706253</v>
      </c>
      <c r="F3" s="53" t="s">
        <v>1611</v>
      </c>
      <c r="G3" s="53">
        <v>700</v>
      </c>
      <c r="H3" s="62">
        <v>46055</v>
      </c>
      <c r="I3" s="53" t="s">
        <v>1513</v>
      </c>
      <c r="J3" s="53" t="s">
        <v>1495</v>
      </c>
      <c r="K3" s="53">
        <v>352506876</v>
      </c>
      <c r="L3" s="53">
        <v>6381535643</v>
      </c>
      <c r="M3" s="55" t="s">
        <v>1671</v>
      </c>
    </row>
    <row r="4" spans="1:13" x14ac:dyDescent="0.25">
      <c r="A4" s="53" t="s">
        <v>12</v>
      </c>
      <c r="B4" s="53" t="s">
        <v>13</v>
      </c>
      <c r="C4" s="53" t="s">
        <v>14</v>
      </c>
      <c r="D4" s="53" t="s">
        <v>1610</v>
      </c>
      <c r="E4" s="53">
        <v>33067706253</v>
      </c>
      <c r="F4" s="53" t="s">
        <v>1611</v>
      </c>
      <c r="G4" s="53">
        <v>700</v>
      </c>
      <c r="H4" s="62">
        <v>46055</v>
      </c>
      <c r="I4" s="53" t="s">
        <v>1513</v>
      </c>
      <c r="J4" s="53" t="s">
        <v>1495</v>
      </c>
      <c r="K4" s="53">
        <v>352506876</v>
      </c>
      <c r="L4" s="53">
        <v>6381535643</v>
      </c>
      <c r="M4" s="55" t="s">
        <v>1671</v>
      </c>
    </row>
    <row r="5" spans="1:13" x14ac:dyDescent="0.25">
      <c r="A5" s="53" t="s">
        <v>12</v>
      </c>
      <c r="B5" s="53" t="s">
        <v>13</v>
      </c>
      <c r="C5" s="53" t="s">
        <v>14</v>
      </c>
      <c r="D5" s="53" t="s">
        <v>152</v>
      </c>
      <c r="E5" s="53" t="s">
        <v>153</v>
      </c>
      <c r="F5" s="60" t="s">
        <v>154</v>
      </c>
      <c r="G5" s="53">
        <v>1000</v>
      </c>
      <c r="H5" s="62">
        <v>46055</v>
      </c>
      <c r="I5" s="61" t="s">
        <v>1485</v>
      </c>
      <c r="J5" s="61" t="s">
        <v>1486</v>
      </c>
      <c r="K5" s="53">
        <v>352506797</v>
      </c>
      <c r="L5" s="60">
        <v>8084080392</v>
      </c>
      <c r="M5" s="55" t="s">
        <v>1672</v>
      </c>
    </row>
    <row r="6" spans="1:13" x14ac:dyDescent="0.25">
      <c r="A6" s="53" t="s">
        <v>12</v>
      </c>
      <c r="B6" s="53" t="s">
        <v>13</v>
      </c>
      <c r="C6" s="53" t="s">
        <v>14</v>
      </c>
      <c r="D6" s="53" t="s">
        <v>993</v>
      </c>
      <c r="E6" s="69">
        <v>50100683547664</v>
      </c>
      <c r="F6" s="60" t="s">
        <v>994</v>
      </c>
      <c r="G6" s="53">
        <v>1500</v>
      </c>
      <c r="H6" s="62">
        <v>46055</v>
      </c>
      <c r="I6" s="61" t="s">
        <v>1497</v>
      </c>
      <c r="J6" s="61" t="s">
        <v>1498</v>
      </c>
      <c r="K6" s="53">
        <v>352506909</v>
      </c>
      <c r="L6" s="60">
        <v>8093441726</v>
      </c>
      <c r="M6" s="55" t="s">
        <v>1674</v>
      </c>
    </row>
    <row r="7" spans="1:13" x14ac:dyDescent="0.25">
      <c r="A7" s="53" t="s">
        <v>12</v>
      </c>
      <c r="B7" s="53" t="s">
        <v>13</v>
      </c>
      <c r="C7" s="53" t="s">
        <v>14</v>
      </c>
      <c r="D7" s="53" t="s">
        <v>95</v>
      </c>
      <c r="E7" s="53" t="s">
        <v>96</v>
      </c>
      <c r="F7" s="53" t="s">
        <v>33</v>
      </c>
      <c r="G7" s="53">
        <v>1500</v>
      </c>
      <c r="H7" s="62">
        <v>46055</v>
      </c>
      <c r="I7" s="61" t="s">
        <v>1483</v>
      </c>
      <c r="J7" s="61" t="s">
        <v>1484</v>
      </c>
      <c r="K7" s="53">
        <v>352506912</v>
      </c>
      <c r="L7" s="53">
        <v>8159025834</v>
      </c>
      <c r="M7" s="55" t="s">
        <v>1674</v>
      </c>
    </row>
    <row r="8" spans="1:13" x14ac:dyDescent="0.25">
      <c r="A8" s="53" t="s">
        <v>12</v>
      </c>
      <c r="B8" s="53" t="s">
        <v>13</v>
      </c>
      <c r="C8" s="53" t="s">
        <v>14</v>
      </c>
      <c r="D8" s="53" t="s">
        <v>144</v>
      </c>
      <c r="E8" s="53">
        <v>44182579159</v>
      </c>
      <c r="F8" s="53" t="s">
        <v>145</v>
      </c>
      <c r="G8" s="53">
        <v>5450</v>
      </c>
      <c r="H8" s="62">
        <v>46055</v>
      </c>
      <c r="I8" s="53" t="s">
        <v>593</v>
      </c>
      <c r="J8" s="53" t="s">
        <v>76</v>
      </c>
      <c r="K8" s="53">
        <v>352506899</v>
      </c>
      <c r="L8" s="53">
        <v>7765824237</v>
      </c>
      <c r="M8" s="55" t="s">
        <v>1673</v>
      </c>
    </row>
    <row r="9" spans="1:13" x14ac:dyDescent="0.25">
      <c r="A9" s="53" t="s">
        <v>12</v>
      </c>
      <c r="B9" s="53" t="s">
        <v>13</v>
      </c>
      <c r="C9" s="53" t="s">
        <v>14</v>
      </c>
      <c r="D9" s="53" t="s">
        <v>48</v>
      </c>
      <c r="E9" s="53" t="s">
        <v>49</v>
      </c>
      <c r="F9" s="53" t="s">
        <v>50</v>
      </c>
      <c r="G9" s="53">
        <v>5450</v>
      </c>
      <c r="H9" s="62">
        <v>46055</v>
      </c>
      <c r="I9" s="53" t="s">
        <v>1519</v>
      </c>
      <c r="J9" s="53" t="s">
        <v>1520</v>
      </c>
      <c r="K9" s="53">
        <v>352506900</v>
      </c>
      <c r="L9" s="53">
        <v>8520078561</v>
      </c>
      <c r="M9" s="55" t="s">
        <v>1673</v>
      </c>
    </row>
    <row r="10" spans="1:13" x14ac:dyDescent="0.25">
      <c r="A10" s="53" t="s">
        <v>12</v>
      </c>
      <c r="B10" s="53" t="s">
        <v>13</v>
      </c>
      <c r="C10" s="53" t="s">
        <v>14</v>
      </c>
      <c r="D10" s="53" t="s">
        <v>993</v>
      </c>
      <c r="E10" s="69">
        <v>50100683547664</v>
      </c>
      <c r="F10" s="60" t="s">
        <v>994</v>
      </c>
      <c r="G10" s="53">
        <v>5450</v>
      </c>
      <c r="H10" s="62">
        <v>46055</v>
      </c>
      <c r="I10" s="61" t="s">
        <v>1497</v>
      </c>
      <c r="J10" s="61" t="s">
        <v>1498</v>
      </c>
      <c r="K10" s="53">
        <v>352506902</v>
      </c>
      <c r="L10" s="60">
        <v>8093441726</v>
      </c>
      <c r="M10" s="55" t="s">
        <v>1673</v>
      </c>
    </row>
    <row r="11" spans="1:13" x14ac:dyDescent="0.25">
      <c r="A11" s="53" t="s">
        <v>12</v>
      </c>
      <c r="B11" s="53" t="s">
        <v>13</v>
      </c>
      <c r="C11" s="53" t="s">
        <v>14</v>
      </c>
      <c r="D11" s="53" t="s">
        <v>343</v>
      </c>
      <c r="E11" s="54">
        <v>37223550583</v>
      </c>
      <c r="F11" s="53" t="s">
        <v>33</v>
      </c>
      <c r="G11" s="53">
        <v>3950</v>
      </c>
      <c r="H11" s="62">
        <v>46055</v>
      </c>
      <c r="I11" s="61" t="s">
        <v>895</v>
      </c>
      <c r="J11" s="61" t="s">
        <v>896</v>
      </c>
      <c r="K11" s="53">
        <v>352506896</v>
      </c>
      <c r="L11" s="53">
        <v>9031258705</v>
      </c>
      <c r="M11" s="55" t="s">
        <v>1675</v>
      </c>
    </row>
    <row r="12" spans="1:13" x14ac:dyDescent="0.25">
      <c r="A12" s="53" t="s">
        <v>12</v>
      </c>
      <c r="B12" s="53" t="s">
        <v>13</v>
      </c>
      <c r="C12" s="53" t="s">
        <v>14</v>
      </c>
      <c r="D12" s="53" t="s">
        <v>95</v>
      </c>
      <c r="E12" s="53" t="s">
        <v>96</v>
      </c>
      <c r="F12" s="53" t="s">
        <v>33</v>
      </c>
      <c r="G12" s="53">
        <v>7500</v>
      </c>
      <c r="H12" s="62">
        <v>46055</v>
      </c>
      <c r="I12" s="61" t="s">
        <v>1483</v>
      </c>
      <c r="J12" s="61" t="s">
        <v>1484</v>
      </c>
      <c r="K12" s="53">
        <v>352506901</v>
      </c>
      <c r="L12" s="53">
        <v>8159025834</v>
      </c>
      <c r="M12" s="55" t="s">
        <v>1676</v>
      </c>
    </row>
    <row r="13" spans="1:13" x14ac:dyDescent="0.25">
      <c r="A13" s="53" t="s">
        <v>12</v>
      </c>
      <c r="B13" s="53" t="s">
        <v>13</v>
      </c>
      <c r="C13" s="53" t="s">
        <v>14</v>
      </c>
      <c r="D13" s="53" t="s">
        <v>1610</v>
      </c>
      <c r="E13" s="53">
        <v>33067706253</v>
      </c>
      <c r="F13" s="53" t="s">
        <v>1611</v>
      </c>
      <c r="G13" s="53">
        <v>1000</v>
      </c>
      <c r="H13" s="62">
        <v>46055</v>
      </c>
      <c r="I13" s="53" t="s">
        <v>1513</v>
      </c>
      <c r="J13" s="53" t="s">
        <v>1495</v>
      </c>
      <c r="K13" s="53">
        <v>352506923</v>
      </c>
      <c r="L13" s="53">
        <v>6381535643</v>
      </c>
      <c r="M13" s="55" t="s">
        <v>1677</v>
      </c>
    </row>
    <row r="14" spans="1:13" x14ac:dyDescent="0.25">
      <c r="A14" s="53" t="s">
        <v>12</v>
      </c>
      <c r="B14" s="53" t="s">
        <v>13</v>
      </c>
      <c r="C14" s="53" t="s">
        <v>14</v>
      </c>
      <c r="D14" s="53" t="s">
        <v>108</v>
      </c>
      <c r="E14" s="53" t="s">
        <v>109</v>
      </c>
      <c r="F14" s="53" t="s">
        <v>110</v>
      </c>
      <c r="G14" s="53">
        <v>5000</v>
      </c>
      <c r="H14" s="62">
        <v>46055</v>
      </c>
      <c r="I14" s="61" t="s">
        <v>571</v>
      </c>
      <c r="J14" s="61" t="s">
        <v>59</v>
      </c>
      <c r="K14" s="53">
        <v>352506895</v>
      </c>
      <c r="L14" s="53">
        <v>7870570436</v>
      </c>
      <c r="M14" s="77" t="s">
        <v>690</v>
      </c>
    </row>
    <row r="15" spans="1:13" x14ac:dyDescent="0.25">
      <c r="A15" s="53" t="s">
        <v>12</v>
      </c>
      <c r="B15" s="53" t="s">
        <v>13</v>
      </c>
      <c r="C15" s="53" t="s">
        <v>14</v>
      </c>
      <c r="D15" s="53" t="s">
        <v>435</v>
      </c>
      <c r="E15" s="53">
        <v>31095925572</v>
      </c>
      <c r="F15" s="60" t="s">
        <v>33</v>
      </c>
      <c r="G15" s="53">
        <v>5450</v>
      </c>
      <c r="H15" s="62">
        <v>46057</v>
      </c>
      <c r="I15" s="61" t="s">
        <v>1485</v>
      </c>
      <c r="J15" s="61" t="s">
        <v>1486</v>
      </c>
      <c r="K15" s="53">
        <v>352506958</v>
      </c>
      <c r="L15" s="60">
        <v>8084080392</v>
      </c>
      <c r="M15" s="55" t="s">
        <v>1678</v>
      </c>
    </row>
    <row r="16" spans="1:13" x14ac:dyDescent="0.25">
      <c r="A16" s="53" t="s">
        <v>12</v>
      </c>
      <c r="B16" s="53" t="s">
        <v>13</v>
      </c>
      <c r="C16" s="53" t="s">
        <v>14</v>
      </c>
      <c r="D16" s="53" t="s">
        <v>1610</v>
      </c>
      <c r="E16" s="53">
        <v>33067706253</v>
      </c>
      <c r="F16" s="53" t="s">
        <v>1611</v>
      </c>
      <c r="G16" s="53">
        <v>1000</v>
      </c>
      <c r="H16" s="62">
        <v>46057</v>
      </c>
      <c r="I16" s="53" t="s">
        <v>1513</v>
      </c>
      <c r="J16" s="53" t="s">
        <v>1495</v>
      </c>
      <c r="K16" s="53">
        <v>352506959</v>
      </c>
      <c r="L16" s="53">
        <v>6381535643</v>
      </c>
      <c r="M16" s="55" t="s">
        <v>1679</v>
      </c>
    </row>
    <row r="17" spans="1:13" x14ac:dyDescent="0.25">
      <c r="A17" s="53" t="s">
        <v>12</v>
      </c>
      <c r="B17" s="53" t="s">
        <v>13</v>
      </c>
      <c r="C17" s="53" t="s">
        <v>14</v>
      </c>
      <c r="D17" s="53" t="s">
        <v>1610</v>
      </c>
      <c r="E17" s="53">
        <v>33067706253</v>
      </c>
      <c r="F17" s="53" t="s">
        <v>1611</v>
      </c>
      <c r="G17" s="53">
        <v>6100</v>
      </c>
      <c r="H17" s="62">
        <v>46057</v>
      </c>
      <c r="I17" s="53" t="s">
        <v>1513</v>
      </c>
      <c r="J17" s="53" t="s">
        <v>1495</v>
      </c>
      <c r="K17" s="53">
        <v>352506959</v>
      </c>
      <c r="L17" s="53">
        <v>6381535643</v>
      </c>
      <c r="M17" s="55" t="s">
        <v>1863</v>
      </c>
    </row>
    <row r="18" spans="1:13" x14ac:dyDescent="0.25">
      <c r="A18" s="53" t="s">
        <v>12</v>
      </c>
      <c r="B18" s="53" t="s">
        <v>13</v>
      </c>
      <c r="C18" s="53" t="s">
        <v>14</v>
      </c>
      <c r="D18" s="53" t="s">
        <v>48</v>
      </c>
      <c r="E18" s="53" t="s">
        <v>49</v>
      </c>
      <c r="F18" s="53" t="s">
        <v>50</v>
      </c>
      <c r="G18" s="53">
        <v>2000</v>
      </c>
      <c r="H18" s="62">
        <v>46057</v>
      </c>
      <c r="I18" s="53" t="s">
        <v>1519</v>
      </c>
      <c r="J18" s="53" t="s">
        <v>1520</v>
      </c>
      <c r="K18" s="53">
        <v>352506957</v>
      </c>
      <c r="L18" s="53">
        <v>8520078561</v>
      </c>
      <c r="M18" s="55" t="s">
        <v>1680</v>
      </c>
    </row>
    <row r="19" spans="1:13" x14ac:dyDescent="0.25">
      <c r="A19" s="53" t="s">
        <v>12</v>
      </c>
      <c r="B19" s="53" t="s">
        <v>13</v>
      </c>
      <c r="C19" s="53" t="s">
        <v>14</v>
      </c>
      <c r="D19" s="53" t="s">
        <v>435</v>
      </c>
      <c r="E19" s="53">
        <v>31095925572</v>
      </c>
      <c r="F19" s="60" t="s">
        <v>33</v>
      </c>
      <c r="G19" s="53">
        <v>5200</v>
      </c>
      <c r="H19" s="62">
        <v>46057</v>
      </c>
      <c r="I19" s="61" t="s">
        <v>1485</v>
      </c>
      <c r="J19" s="61" t="s">
        <v>1486</v>
      </c>
      <c r="K19" s="53">
        <v>352506958</v>
      </c>
      <c r="L19" s="60">
        <v>8084080392</v>
      </c>
      <c r="M19" s="55" t="s">
        <v>743</v>
      </c>
    </row>
    <row r="20" spans="1:13" x14ac:dyDescent="0.25">
      <c r="A20" s="53" t="s">
        <v>12</v>
      </c>
      <c r="B20" s="53" t="s">
        <v>13</v>
      </c>
      <c r="C20" s="53" t="s">
        <v>14</v>
      </c>
      <c r="D20" s="53" t="s">
        <v>343</v>
      </c>
      <c r="E20" s="54">
        <v>37223550583</v>
      </c>
      <c r="F20" s="53" t="s">
        <v>33</v>
      </c>
      <c r="G20" s="53">
        <v>7500</v>
      </c>
      <c r="H20" s="62">
        <v>46057</v>
      </c>
      <c r="I20" s="61" t="s">
        <v>895</v>
      </c>
      <c r="J20" s="61" t="s">
        <v>896</v>
      </c>
      <c r="K20" s="53">
        <v>352506954</v>
      </c>
      <c r="L20" s="53">
        <v>9031258705</v>
      </c>
      <c r="M20" s="55" t="s">
        <v>1681</v>
      </c>
    </row>
    <row r="21" spans="1:13" x14ac:dyDescent="0.25">
      <c r="A21" s="53" t="s">
        <v>12</v>
      </c>
      <c r="B21" s="53" t="s">
        <v>13</v>
      </c>
      <c r="C21" s="53" t="s">
        <v>14</v>
      </c>
      <c r="D21" s="53" t="s">
        <v>95</v>
      </c>
      <c r="E21" s="53" t="s">
        <v>96</v>
      </c>
      <c r="F21" s="53" t="s">
        <v>33</v>
      </c>
      <c r="G21" s="53">
        <v>1000</v>
      </c>
      <c r="H21" s="62">
        <v>46057</v>
      </c>
      <c r="I21" s="61" t="s">
        <v>1483</v>
      </c>
      <c r="J21" s="61" t="s">
        <v>1484</v>
      </c>
      <c r="K21" s="53">
        <v>352506965</v>
      </c>
      <c r="L21" s="53">
        <v>8159025834</v>
      </c>
      <c r="M21" s="55" t="s">
        <v>1682</v>
      </c>
    </row>
    <row r="22" spans="1:13" x14ac:dyDescent="0.25">
      <c r="A22" s="53" t="s">
        <v>12</v>
      </c>
      <c r="B22" s="53" t="s">
        <v>13</v>
      </c>
      <c r="C22" s="53" t="s">
        <v>14</v>
      </c>
      <c r="D22" s="53" t="s">
        <v>1406</v>
      </c>
      <c r="E22" s="69">
        <v>645602010014653</v>
      </c>
      <c r="F22" s="53" t="s">
        <v>1407</v>
      </c>
      <c r="G22" s="53">
        <f>3500+100</f>
        <v>3600</v>
      </c>
      <c r="H22" s="62">
        <v>46057</v>
      </c>
      <c r="I22" s="53" t="s">
        <v>903</v>
      </c>
      <c r="J22" s="53" t="s">
        <v>904</v>
      </c>
      <c r="K22" s="53">
        <v>352506883</v>
      </c>
      <c r="L22" s="53">
        <v>8084480157</v>
      </c>
      <c r="M22" s="55" t="s">
        <v>1684</v>
      </c>
    </row>
    <row r="23" spans="1:13" x14ac:dyDescent="0.25">
      <c r="A23" s="53" t="s">
        <v>12</v>
      </c>
      <c r="B23" s="53" t="s">
        <v>13</v>
      </c>
      <c r="C23" s="53" t="s">
        <v>14</v>
      </c>
      <c r="D23" s="53" t="s">
        <v>36</v>
      </c>
      <c r="E23" s="53" t="s">
        <v>37</v>
      </c>
      <c r="F23" s="53" t="s">
        <v>38</v>
      </c>
      <c r="G23" s="53">
        <f>3500+200</f>
        <v>3700</v>
      </c>
      <c r="H23" s="62">
        <v>46057</v>
      </c>
      <c r="I23" s="53" t="s">
        <v>902</v>
      </c>
      <c r="J23" s="53" t="s">
        <v>901</v>
      </c>
      <c r="K23" s="53">
        <v>352506882</v>
      </c>
      <c r="L23" s="53">
        <v>9358936441</v>
      </c>
      <c r="M23" s="55" t="s">
        <v>1683</v>
      </c>
    </row>
    <row r="24" spans="1:13" x14ac:dyDescent="0.25">
      <c r="A24" s="53" t="s">
        <v>12</v>
      </c>
      <c r="B24" s="53" t="s">
        <v>13</v>
      </c>
      <c r="C24" s="53" t="s">
        <v>14</v>
      </c>
      <c r="D24" s="53" t="s">
        <v>144</v>
      </c>
      <c r="E24" s="53">
        <v>44182579159</v>
      </c>
      <c r="F24" s="53" t="s">
        <v>145</v>
      </c>
      <c r="G24" s="53">
        <v>7500</v>
      </c>
      <c r="H24" s="62">
        <v>46057</v>
      </c>
      <c r="I24" s="53" t="s">
        <v>593</v>
      </c>
      <c r="J24" s="53" t="s">
        <v>76</v>
      </c>
      <c r="K24" s="53">
        <v>352506955</v>
      </c>
      <c r="L24" s="53">
        <v>7765824237</v>
      </c>
      <c r="M24" s="55" t="s">
        <v>1681</v>
      </c>
    </row>
    <row r="25" spans="1:13" x14ac:dyDescent="0.25">
      <c r="A25" s="53" t="s">
        <v>12</v>
      </c>
      <c r="B25" s="53" t="s">
        <v>13</v>
      </c>
      <c r="C25" s="53" t="s">
        <v>14</v>
      </c>
      <c r="D25" s="53" t="s">
        <v>1406</v>
      </c>
      <c r="E25" s="69">
        <v>645602010014653</v>
      </c>
      <c r="F25" s="53" t="s">
        <v>1407</v>
      </c>
      <c r="G25" s="53">
        <v>5000</v>
      </c>
      <c r="H25" s="62">
        <v>46058</v>
      </c>
      <c r="I25" s="53" t="s">
        <v>903</v>
      </c>
      <c r="J25" s="53" t="s">
        <v>904</v>
      </c>
      <c r="K25" s="53">
        <v>352506988</v>
      </c>
      <c r="L25" s="53">
        <v>8084480157</v>
      </c>
      <c r="M25" s="55" t="s">
        <v>1685</v>
      </c>
    </row>
    <row r="26" spans="1:13" x14ac:dyDescent="0.25">
      <c r="A26" s="53" t="s">
        <v>12</v>
      </c>
      <c r="B26" s="53" t="s">
        <v>13</v>
      </c>
      <c r="C26" s="53" t="s">
        <v>14</v>
      </c>
      <c r="D26" s="53" t="s">
        <v>435</v>
      </c>
      <c r="E26" s="53">
        <v>31095925572</v>
      </c>
      <c r="F26" s="60" t="s">
        <v>33</v>
      </c>
      <c r="G26" s="53">
        <v>3950</v>
      </c>
      <c r="H26" s="62">
        <v>46058</v>
      </c>
      <c r="I26" s="61" t="s">
        <v>1485</v>
      </c>
      <c r="J26" s="61" t="s">
        <v>1486</v>
      </c>
      <c r="K26" s="53">
        <v>352506987</v>
      </c>
      <c r="L26" s="60">
        <v>8084080392</v>
      </c>
      <c r="M26" s="55" t="s">
        <v>1686</v>
      </c>
    </row>
    <row r="27" spans="1:13" x14ac:dyDescent="0.25">
      <c r="A27" s="53" t="s">
        <v>12</v>
      </c>
      <c r="B27" s="53" t="s">
        <v>13</v>
      </c>
      <c r="C27" s="53" t="s">
        <v>14</v>
      </c>
      <c r="D27" s="53" t="s">
        <v>993</v>
      </c>
      <c r="E27" s="69">
        <v>50100683547664</v>
      </c>
      <c r="F27" s="60" t="s">
        <v>994</v>
      </c>
      <c r="G27" s="53">
        <v>5200</v>
      </c>
      <c r="H27" s="62">
        <v>46058</v>
      </c>
      <c r="I27" s="61" t="s">
        <v>1497</v>
      </c>
      <c r="J27" s="61" t="s">
        <v>1498</v>
      </c>
      <c r="K27" s="53">
        <v>352506956</v>
      </c>
      <c r="L27" s="60">
        <v>8093441726</v>
      </c>
      <c r="M27" s="55" t="s">
        <v>1687</v>
      </c>
    </row>
    <row r="28" spans="1:13" x14ac:dyDescent="0.25">
      <c r="A28" s="53" t="s">
        <v>12</v>
      </c>
      <c r="B28" s="53" t="s">
        <v>13</v>
      </c>
      <c r="C28" s="53" t="s">
        <v>14</v>
      </c>
      <c r="D28" s="53" t="s">
        <v>36</v>
      </c>
      <c r="E28" s="53" t="s">
        <v>37</v>
      </c>
      <c r="F28" s="53" t="s">
        <v>38</v>
      </c>
      <c r="G28" s="53">
        <v>4950</v>
      </c>
      <c r="H28" s="62">
        <v>46058</v>
      </c>
      <c r="I28" s="53" t="s">
        <v>902</v>
      </c>
      <c r="J28" s="53" t="s">
        <v>901</v>
      </c>
      <c r="K28" s="53">
        <v>352506989</v>
      </c>
      <c r="L28" s="53">
        <v>9358936441</v>
      </c>
      <c r="M28" s="55" t="s">
        <v>1688</v>
      </c>
    </row>
    <row r="29" spans="1:13" x14ac:dyDescent="0.25">
      <c r="A29" s="53" t="s">
        <v>12</v>
      </c>
      <c r="B29" s="53" t="s">
        <v>13</v>
      </c>
      <c r="C29" s="53" t="s">
        <v>14</v>
      </c>
      <c r="D29" s="53" t="s">
        <v>993</v>
      </c>
      <c r="E29" s="69">
        <v>50100683547664</v>
      </c>
      <c r="F29" s="60" t="s">
        <v>994</v>
      </c>
      <c r="G29" s="53">
        <v>1500</v>
      </c>
      <c r="H29" s="62">
        <v>46058</v>
      </c>
      <c r="I29" s="61" t="s">
        <v>1497</v>
      </c>
      <c r="J29" s="61" t="s">
        <v>1498</v>
      </c>
      <c r="K29" s="53">
        <v>352506996</v>
      </c>
      <c r="L29" s="60">
        <v>8093441726</v>
      </c>
      <c r="M29" s="55" t="s">
        <v>1689</v>
      </c>
    </row>
    <row r="30" spans="1:13" x14ac:dyDescent="0.25">
      <c r="A30" s="53" t="s">
        <v>12</v>
      </c>
      <c r="B30" s="53" t="s">
        <v>13</v>
      </c>
      <c r="C30" s="53" t="s">
        <v>14</v>
      </c>
      <c r="D30" s="53" t="s">
        <v>36</v>
      </c>
      <c r="E30" s="53" t="s">
        <v>37</v>
      </c>
      <c r="F30" s="53" t="s">
        <v>38</v>
      </c>
      <c r="G30" s="53">
        <v>1500</v>
      </c>
      <c r="H30" s="62">
        <v>46058</v>
      </c>
      <c r="I30" s="53" t="s">
        <v>902</v>
      </c>
      <c r="J30" s="53" t="s">
        <v>901</v>
      </c>
      <c r="K30" s="53">
        <v>352506997</v>
      </c>
      <c r="L30" s="53">
        <v>9358936441</v>
      </c>
      <c r="M30" s="55" t="s">
        <v>1689</v>
      </c>
    </row>
    <row r="31" spans="1:13" x14ac:dyDescent="0.25">
      <c r="A31" s="53" t="s">
        <v>12</v>
      </c>
      <c r="B31" s="53" t="s">
        <v>13</v>
      </c>
      <c r="C31" s="53" t="s">
        <v>14</v>
      </c>
      <c r="D31" s="53" t="s">
        <v>48</v>
      </c>
      <c r="E31" s="53" t="s">
        <v>49</v>
      </c>
      <c r="F31" s="53" t="s">
        <v>50</v>
      </c>
      <c r="G31" s="53">
        <v>1000</v>
      </c>
      <c r="H31" s="62">
        <v>46058</v>
      </c>
      <c r="I31" s="53" t="s">
        <v>1519</v>
      </c>
      <c r="J31" s="53" t="s">
        <v>1520</v>
      </c>
      <c r="K31" s="53">
        <v>352507003</v>
      </c>
      <c r="L31" s="53">
        <v>8520078561</v>
      </c>
      <c r="M31" s="55" t="s">
        <v>1690</v>
      </c>
    </row>
    <row r="32" spans="1:13" x14ac:dyDescent="0.25">
      <c r="A32" s="53" t="s">
        <v>12</v>
      </c>
      <c r="B32" s="53" t="s">
        <v>13</v>
      </c>
      <c r="C32" s="53" t="s">
        <v>14</v>
      </c>
      <c r="D32" s="53" t="s">
        <v>48</v>
      </c>
      <c r="E32" s="53" t="s">
        <v>49</v>
      </c>
      <c r="F32" s="53" t="s">
        <v>50</v>
      </c>
      <c r="G32" s="53">
        <v>1000</v>
      </c>
      <c r="H32" s="62">
        <v>46058</v>
      </c>
      <c r="I32" s="53" t="s">
        <v>1519</v>
      </c>
      <c r="J32" s="53" t="s">
        <v>1520</v>
      </c>
      <c r="K32" s="53">
        <v>352507004</v>
      </c>
      <c r="L32" s="53">
        <v>8520078561</v>
      </c>
      <c r="M32" s="55" t="s">
        <v>1691</v>
      </c>
    </row>
    <row r="33" spans="1:13" x14ac:dyDescent="0.25">
      <c r="A33" s="53" t="s">
        <v>12</v>
      </c>
      <c r="B33" s="53" t="s">
        <v>13</v>
      </c>
      <c r="C33" s="53" t="s">
        <v>14</v>
      </c>
      <c r="D33" s="53" t="s">
        <v>1610</v>
      </c>
      <c r="E33" s="53">
        <v>33067706253</v>
      </c>
      <c r="F33" s="53" t="s">
        <v>1611</v>
      </c>
      <c r="G33" s="53">
        <v>1000</v>
      </c>
      <c r="H33" s="62">
        <v>46058</v>
      </c>
      <c r="I33" s="53" t="s">
        <v>1513</v>
      </c>
      <c r="J33" s="53" t="s">
        <v>1495</v>
      </c>
      <c r="K33" s="53">
        <v>352506970</v>
      </c>
      <c r="L33" s="53">
        <v>6381535643</v>
      </c>
      <c r="M33" s="55" t="s">
        <v>1692</v>
      </c>
    </row>
    <row r="34" spans="1:13" x14ac:dyDescent="0.25">
      <c r="A34" s="53" t="s">
        <v>12</v>
      </c>
      <c r="B34" s="53" t="s">
        <v>13</v>
      </c>
      <c r="C34" s="53" t="s">
        <v>14</v>
      </c>
      <c r="D34" s="53" t="s">
        <v>48</v>
      </c>
      <c r="E34" s="53" t="s">
        <v>49</v>
      </c>
      <c r="F34" s="53" t="s">
        <v>50</v>
      </c>
      <c r="G34" s="53">
        <v>3500</v>
      </c>
      <c r="H34" s="62">
        <v>46058</v>
      </c>
      <c r="I34" s="53" t="s">
        <v>1519</v>
      </c>
      <c r="J34" s="53" t="s">
        <v>1520</v>
      </c>
      <c r="K34" s="53">
        <v>352507004</v>
      </c>
      <c r="L34" s="53">
        <v>8520078561</v>
      </c>
      <c r="M34" s="55" t="s">
        <v>1693</v>
      </c>
    </row>
    <row r="35" spans="1:13" x14ac:dyDescent="0.25">
      <c r="A35" s="53" t="s">
        <v>12</v>
      </c>
      <c r="B35" s="53" t="s">
        <v>13</v>
      </c>
      <c r="C35" s="53" t="s">
        <v>14</v>
      </c>
      <c r="D35" s="53" t="s">
        <v>95</v>
      </c>
      <c r="E35" s="53" t="s">
        <v>96</v>
      </c>
      <c r="F35" s="53" t="s">
        <v>33</v>
      </c>
      <c r="G35" s="53">
        <v>5300</v>
      </c>
      <c r="H35" s="62">
        <v>46058</v>
      </c>
      <c r="I35" s="61" t="s">
        <v>1483</v>
      </c>
      <c r="J35" s="61" t="s">
        <v>1484</v>
      </c>
      <c r="K35" s="53">
        <v>352506965</v>
      </c>
      <c r="L35" s="53">
        <v>8159025834</v>
      </c>
      <c r="M35" s="55" t="s">
        <v>1694</v>
      </c>
    </row>
    <row r="36" spans="1:13" x14ac:dyDescent="0.25">
      <c r="A36" s="53" t="s">
        <v>12</v>
      </c>
      <c r="B36" s="53" t="s">
        <v>13</v>
      </c>
      <c r="C36" s="53" t="s">
        <v>14</v>
      </c>
      <c r="D36" s="53" t="s">
        <v>152</v>
      </c>
      <c r="E36" s="53" t="s">
        <v>153</v>
      </c>
      <c r="F36" s="60" t="s">
        <v>154</v>
      </c>
      <c r="G36" s="53">
        <v>1160</v>
      </c>
      <c r="H36" s="62">
        <v>46059</v>
      </c>
      <c r="I36" s="61" t="s">
        <v>571</v>
      </c>
      <c r="J36" s="61" t="s">
        <v>59</v>
      </c>
      <c r="K36" s="53">
        <v>352507013</v>
      </c>
      <c r="L36" s="53">
        <v>7870570436</v>
      </c>
      <c r="M36" s="55" t="s">
        <v>1695</v>
      </c>
    </row>
    <row r="37" spans="1:13" x14ac:dyDescent="0.25">
      <c r="A37" s="53" t="s">
        <v>12</v>
      </c>
      <c r="B37" s="53" t="s">
        <v>13</v>
      </c>
      <c r="C37" s="53" t="s">
        <v>14</v>
      </c>
      <c r="D37" s="53" t="s">
        <v>152</v>
      </c>
      <c r="E37" s="53" t="s">
        <v>153</v>
      </c>
      <c r="F37" s="60" t="s">
        <v>154</v>
      </c>
      <c r="G37" s="53">
        <v>1000</v>
      </c>
      <c r="H37" s="62">
        <v>46059</v>
      </c>
      <c r="I37" s="61" t="s">
        <v>571</v>
      </c>
      <c r="J37" s="61" t="s">
        <v>59</v>
      </c>
      <c r="K37" s="53">
        <v>352507013</v>
      </c>
      <c r="L37" s="53">
        <v>7870570436</v>
      </c>
      <c r="M37" s="55" t="s">
        <v>1692</v>
      </c>
    </row>
    <row r="38" spans="1:13" x14ac:dyDescent="0.25">
      <c r="A38" s="53" t="s">
        <v>12</v>
      </c>
      <c r="B38" s="53" t="s">
        <v>13</v>
      </c>
      <c r="C38" s="53" t="s">
        <v>14</v>
      </c>
      <c r="D38" s="53" t="s">
        <v>343</v>
      </c>
      <c r="E38" s="54">
        <v>37223550583</v>
      </c>
      <c r="F38" s="53" t="s">
        <v>33</v>
      </c>
      <c r="G38" s="53">
        <v>1000</v>
      </c>
      <c r="H38" s="62">
        <v>46059</v>
      </c>
      <c r="I38" s="61" t="s">
        <v>895</v>
      </c>
      <c r="J38" s="61" t="s">
        <v>896</v>
      </c>
      <c r="K38" s="53">
        <v>352507012</v>
      </c>
      <c r="L38" s="53">
        <v>9031258705</v>
      </c>
      <c r="M38" s="55" t="s">
        <v>1692</v>
      </c>
    </row>
    <row r="39" spans="1:13" x14ac:dyDescent="0.25">
      <c r="A39" s="53" t="s">
        <v>12</v>
      </c>
      <c r="B39" s="53" t="s">
        <v>13</v>
      </c>
      <c r="C39" s="53" t="s">
        <v>14</v>
      </c>
      <c r="D39" s="53" t="s">
        <v>144</v>
      </c>
      <c r="E39" s="53">
        <v>44182579159</v>
      </c>
      <c r="F39" s="53" t="s">
        <v>145</v>
      </c>
      <c r="G39" s="53">
        <v>1000</v>
      </c>
      <c r="H39" s="62">
        <v>46059</v>
      </c>
      <c r="I39" s="53" t="s">
        <v>593</v>
      </c>
      <c r="J39" s="53" t="s">
        <v>76</v>
      </c>
      <c r="K39" s="53">
        <v>352507014</v>
      </c>
      <c r="L39" s="53">
        <v>7765824237</v>
      </c>
      <c r="M39" s="55" t="s">
        <v>1692</v>
      </c>
    </row>
    <row r="40" spans="1:13" x14ac:dyDescent="0.25">
      <c r="A40" s="53" t="s">
        <v>12</v>
      </c>
      <c r="B40" s="53" t="s">
        <v>13</v>
      </c>
      <c r="C40" s="53" t="s">
        <v>14</v>
      </c>
      <c r="D40" s="53" t="s">
        <v>144</v>
      </c>
      <c r="E40" s="53">
        <v>44182579159</v>
      </c>
      <c r="F40" s="53" t="s">
        <v>145</v>
      </c>
      <c r="G40" s="53">
        <v>1160</v>
      </c>
      <c r="H40" s="62">
        <v>46059</v>
      </c>
      <c r="I40" s="53" t="s">
        <v>593</v>
      </c>
      <c r="J40" s="53" t="s">
        <v>76</v>
      </c>
      <c r="K40" s="53">
        <v>352507014</v>
      </c>
      <c r="L40" s="53">
        <v>7765824237</v>
      </c>
      <c r="M40" s="55" t="s">
        <v>1696</v>
      </c>
    </row>
    <row r="41" spans="1:13" x14ac:dyDescent="0.25">
      <c r="A41" s="53" t="s">
        <v>12</v>
      </c>
      <c r="B41" s="53" t="s">
        <v>13</v>
      </c>
      <c r="C41" s="53" t="s">
        <v>14</v>
      </c>
      <c r="D41" s="53" t="s">
        <v>435</v>
      </c>
      <c r="E41" s="53">
        <v>31095925572</v>
      </c>
      <c r="F41" s="60" t="s">
        <v>33</v>
      </c>
      <c r="G41" s="53">
        <v>5200</v>
      </c>
      <c r="H41" s="62">
        <v>46059</v>
      </c>
      <c r="I41" s="61" t="s">
        <v>1485</v>
      </c>
      <c r="J41" s="61" t="s">
        <v>1486</v>
      </c>
      <c r="K41" s="53">
        <v>352507019</v>
      </c>
      <c r="L41" s="60">
        <v>8084080392</v>
      </c>
      <c r="M41" s="55" t="s">
        <v>1697</v>
      </c>
    </row>
    <row r="42" spans="1:13" x14ac:dyDescent="0.25">
      <c r="A42" s="53" t="s">
        <v>12</v>
      </c>
      <c r="B42" s="53" t="s">
        <v>13</v>
      </c>
      <c r="C42" s="53" t="s">
        <v>14</v>
      </c>
      <c r="D42" s="53" t="s">
        <v>48</v>
      </c>
      <c r="E42" s="53" t="s">
        <v>49</v>
      </c>
      <c r="F42" s="53" t="s">
        <v>50</v>
      </c>
      <c r="G42" s="53">
        <v>5000</v>
      </c>
      <c r="H42" s="62">
        <v>46059</v>
      </c>
      <c r="I42" s="53" t="s">
        <v>1519</v>
      </c>
      <c r="J42" s="53" t="s">
        <v>1520</v>
      </c>
      <c r="K42" s="53">
        <v>352507020</v>
      </c>
      <c r="L42" s="53">
        <v>8520078561</v>
      </c>
      <c r="M42" s="55" t="s">
        <v>1685</v>
      </c>
    </row>
    <row r="43" spans="1:13" x14ac:dyDescent="0.25">
      <c r="A43" s="53" t="s">
        <v>12</v>
      </c>
      <c r="B43" s="53" t="s">
        <v>13</v>
      </c>
      <c r="C43" s="53" t="s">
        <v>14</v>
      </c>
      <c r="D43" s="53" t="s">
        <v>48</v>
      </c>
      <c r="E43" s="53" t="s">
        <v>49</v>
      </c>
      <c r="F43" s="53" t="s">
        <v>50</v>
      </c>
      <c r="G43" s="53">
        <v>3500</v>
      </c>
      <c r="H43" s="62">
        <v>46060</v>
      </c>
      <c r="I43" s="53" t="s">
        <v>1519</v>
      </c>
      <c r="J43" s="53" t="s">
        <v>1520</v>
      </c>
      <c r="K43" s="53">
        <v>352507049</v>
      </c>
      <c r="L43" s="53">
        <v>8520078561</v>
      </c>
      <c r="M43" s="55" t="s">
        <v>1698</v>
      </c>
    </row>
    <row r="44" spans="1:13" x14ac:dyDescent="0.25">
      <c r="A44" s="53" t="s">
        <v>12</v>
      </c>
      <c r="B44" s="53" t="s">
        <v>13</v>
      </c>
      <c r="C44" s="53" t="s">
        <v>14</v>
      </c>
      <c r="D44" s="53" t="s">
        <v>95</v>
      </c>
      <c r="E44" s="53" t="s">
        <v>96</v>
      </c>
      <c r="F44" s="53" t="s">
        <v>33</v>
      </c>
      <c r="G44" s="53">
        <v>3500</v>
      </c>
      <c r="H44" s="62">
        <v>46060</v>
      </c>
      <c r="I44" s="61" t="s">
        <v>1483</v>
      </c>
      <c r="J44" s="61" t="s">
        <v>1484</v>
      </c>
      <c r="K44" s="53">
        <v>352507044</v>
      </c>
      <c r="L44" s="53">
        <v>8159025834</v>
      </c>
      <c r="M44" s="55" t="s">
        <v>1699</v>
      </c>
    </row>
    <row r="45" spans="1:13" x14ac:dyDescent="0.25">
      <c r="A45" s="53" t="s">
        <v>12</v>
      </c>
      <c r="B45" s="53" t="s">
        <v>13</v>
      </c>
      <c r="C45" s="53" t="s">
        <v>14</v>
      </c>
      <c r="D45" s="53" t="s">
        <v>1406</v>
      </c>
      <c r="E45" s="69">
        <v>645602010014653</v>
      </c>
      <c r="F45" s="53" t="s">
        <v>1407</v>
      </c>
      <c r="G45" s="53">
        <v>3500</v>
      </c>
      <c r="H45" s="62">
        <v>46060</v>
      </c>
      <c r="I45" s="53" t="s">
        <v>903</v>
      </c>
      <c r="J45" s="53" t="s">
        <v>904</v>
      </c>
      <c r="K45" s="53">
        <v>352507045</v>
      </c>
      <c r="L45" s="53">
        <v>8084480157</v>
      </c>
      <c r="M45" s="55" t="s">
        <v>1699</v>
      </c>
    </row>
    <row r="46" spans="1:13" x14ac:dyDescent="0.25">
      <c r="A46" s="53" t="s">
        <v>12</v>
      </c>
      <c r="B46" s="53" t="s">
        <v>13</v>
      </c>
      <c r="C46" s="53" t="s">
        <v>14</v>
      </c>
      <c r="D46" s="53" t="s">
        <v>144</v>
      </c>
      <c r="E46" s="53">
        <v>44182579159</v>
      </c>
      <c r="F46" s="53" t="s">
        <v>145</v>
      </c>
      <c r="G46" s="53">
        <v>7500</v>
      </c>
      <c r="H46" s="62">
        <v>46060</v>
      </c>
      <c r="I46" s="53" t="s">
        <v>593</v>
      </c>
      <c r="J46" s="53" t="s">
        <v>76</v>
      </c>
      <c r="K46" s="53">
        <v>352507014</v>
      </c>
      <c r="L46" s="53">
        <v>7765824237</v>
      </c>
      <c r="M46" s="55" t="s">
        <v>1700</v>
      </c>
    </row>
    <row r="47" spans="1:13" x14ac:dyDescent="0.25">
      <c r="A47" s="53" t="s">
        <v>12</v>
      </c>
      <c r="B47" s="53" t="s">
        <v>13</v>
      </c>
      <c r="C47" s="53" t="s">
        <v>14</v>
      </c>
      <c r="D47" s="53" t="s">
        <v>993</v>
      </c>
      <c r="E47" s="69">
        <v>50100683547664</v>
      </c>
      <c r="F47" s="60" t="s">
        <v>994</v>
      </c>
      <c r="G47" s="53">
        <v>5200</v>
      </c>
      <c r="H47" s="62">
        <v>46060</v>
      </c>
      <c r="I47" s="61" t="s">
        <v>1497</v>
      </c>
      <c r="J47" s="61" t="s">
        <v>1498</v>
      </c>
      <c r="K47" s="53">
        <v>352507017</v>
      </c>
      <c r="L47" s="60">
        <v>8093441726</v>
      </c>
      <c r="M47" s="55" t="s">
        <v>1701</v>
      </c>
    </row>
    <row r="48" spans="1:13" x14ac:dyDescent="0.25">
      <c r="A48" s="53" t="s">
        <v>12</v>
      </c>
      <c r="B48" s="53" t="s">
        <v>13</v>
      </c>
      <c r="C48" s="53" t="s">
        <v>14</v>
      </c>
      <c r="D48" s="53" t="s">
        <v>435</v>
      </c>
      <c r="E48" s="53">
        <v>31095925572</v>
      </c>
      <c r="F48" s="60" t="s">
        <v>33</v>
      </c>
      <c r="G48" s="53">
        <v>400</v>
      </c>
      <c r="H48" s="62">
        <v>46061</v>
      </c>
      <c r="I48" s="61" t="s">
        <v>1485</v>
      </c>
      <c r="J48" s="61" t="s">
        <v>1486</v>
      </c>
      <c r="K48" s="53">
        <v>352506958</v>
      </c>
      <c r="L48" s="60">
        <v>8084080392</v>
      </c>
      <c r="M48" s="55" t="s">
        <v>1702</v>
      </c>
    </row>
    <row r="49" spans="1:13" x14ac:dyDescent="0.25">
      <c r="A49" s="53" t="s">
        <v>12</v>
      </c>
      <c r="B49" s="53" t="s">
        <v>13</v>
      </c>
      <c r="C49" s="53" t="s">
        <v>14</v>
      </c>
      <c r="D49" s="53" t="s">
        <v>48</v>
      </c>
      <c r="E49" s="53" t="s">
        <v>49</v>
      </c>
      <c r="F49" s="53" t="s">
        <v>50</v>
      </c>
      <c r="G49" s="53">
        <v>2000</v>
      </c>
      <c r="H49" s="62">
        <v>46062</v>
      </c>
      <c r="I49" s="53" t="s">
        <v>1519</v>
      </c>
      <c r="J49" s="53" t="s">
        <v>1520</v>
      </c>
      <c r="K49" s="53">
        <v>352507049</v>
      </c>
      <c r="L49" s="53">
        <v>8520078561</v>
      </c>
      <c r="M49" s="55" t="s">
        <v>1703</v>
      </c>
    </row>
    <row r="50" spans="1:13" x14ac:dyDescent="0.25">
      <c r="A50" s="53" t="s">
        <v>12</v>
      </c>
      <c r="B50" s="53" t="s">
        <v>13</v>
      </c>
      <c r="C50" s="53" t="s">
        <v>14</v>
      </c>
      <c r="D50" s="53" t="s">
        <v>435</v>
      </c>
      <c r="E50" s="53">
        <v>31095925572</v>
      </c>
      <c r="F50" s="60" t="s">
        <v>33</v>
      </c>
      <c r="G50" s="53">
        <v>3950</v>
      </c>
      <c r="H50" s="62">
        <v>46062</v>
      </c>
      <c r="I50" s="61" t="s">
        <v>1485</v>
      </c>
      <c r="J50" s="61" t="s">
        <v>1486</v>
      </c>
      <c r="K50" s="53">
        <v>352507042</v>
      </c>
      <c r="L50" s="60">
        <v>8084080392</v>
      </c>
      <c r="M50" s="55" t="s">
        <v>1704</v>
      </c>
    </row>
    <row r="51" spans="1:13" x14ac:dyDescent="0.25">
      <c r="A51" s="53" t="s">
        <v>12</v>
      </c>
      <c r="B51" s="53" t="s">
        <v>13</v>
      </c>
      <c r="C51" s="53" t="s">
        <v>14</v>
      </c>
      <c r="D51" s="53" t="s">
        <v>95</v>
      </c>
      <c r="E51" s="53" t="s">
        <v>96</v>
      </c>
      <c r="F51" s="53" t="s">
        <v>33</v>
      </c>
      <c r="G51" s="53">
        <f>5450+200</f>
        <v>5650</v>
      </c>
      <c r="H51" s="62">
        <v>46062</v>
      </c>
      <c r="I51" s="61" t="s">
        <v>1483</v>
      </c>
      <c r="J51" s="61" t="s">
        <v>1484</v>
      </c>
      <c r="K51" s="53">
        <v>352507098</v>
      </c>
      <c r="L51" s="53">
        <v>8159025834</v>
      </c>
      <c r="M51" s="55" t="s">
        <v>1709</v>
      </c>
    </row>
    <row r="52" spans="1:13" x14ac:dyDescent="0.25">
      <c r="A52" s="53" t="s">
        <v>12</v>
      </c>
      <c r="B52" s="53" t="s">
        <v>13</v>
      </c>
      <c r="C52" s="53" t="s">
        <v>14</v>
      </c>
      <c r="D52" s="53" t="s">
        <v>1406</v>
      </c>
      <c r="E52" s="69">
        <v>645602010014653</v>
      </c>
      <c r="F52" s="53" t="s">
        <v>1407</v>
      </c>
      <c r="G52" s="53">
        <v>5450</v>
      </c>
      <c r="H52" s="62">
        <v>46062</v>
      </c>
      <c r="I52" s="53" t="s">
        <v>903</v>
      </c>
      <c r="J52" s="53" t="s">
        <v>904</v>
      </c>
      <c r="K52" s="53">
        <v>352507097</v>
      </c>
      <c r="L52" s="53">
        <v>8084480157</v>
      </c>
      <c r="M52" s="55" t="s">
        <v>1705</v>
      </c>
    </row>
    <row r="53" spans="1:13" x14ac:dyDescent="0.25">
      <c r="A53" s="53" t="s">
        <v>12</v>
      </c>
      <c r="B53" s="53" t="s">
        <v>13</v>
      </c>
      <c r="C53" s="53" t="s">
        <v>14</v>
      </c>
      <c r="D53" s="53" t="s">
        <v>36</v>
      </c>
      <c r="E53" s="53" t="s">
        <v>37</v>
      </c>
      <c r="F53" s="53" t="s">
        <v>38</v>
      </c>
      <c r="G53" s="53">
        <f>4950+200+200</f>
        <v>5350</v>
      </c>
      <c r="H53" s="62">
        <v>46062</v>
      </c>
      <c r="I53" s="53" t="s">
        <v>902</v>
      </c>
      <c r="J53" s="53" t="s">
        <v>901</v>
      </c>
      <c r="K53" s="53">
        <v>352507018</v>
      </c>
      <c r="L53" s="53">
        <v>9358936441</v>
      </c>
      <c r="M53" s="55" t="s">
        <v>1710</v>
      </c>
    </row>
    <row r="54" spans="1:13" x14ac:dyDescent="0.25">
      <c r="A54" s="53" t="s">
        <v>12</v>
      </c>
      <c r="B54" s="53" t="s">
        <v>13</v>
      </c>
      <c r="C54" s="53" t="s">
        <v>14</v>
      </c>
      <c r="D54" s="53" t="s">
        <v>993</v>
      </c>
      <c r="E54" s="69">
        <v>50100683547664</v>
      </c>
      <c r="F54" s="60" t="s">
        <v>994</v>
      </c>
      <c r="G54" s="53">
        <v>5200</v>
      </c>
      <c r="H54" s="62">
        <v>46062</v>
      </c>
      <c r="I54" s="61" t="s">
        <v>1497</v>
      </c>
      <c r="J54" s="61" t="s">
        <v>1498</v>
      </c>
      <c r="K54" s="53">
        <v>352507084</v>
      </c>
      <c r="L54" s="60">
        <v>8093441726</v>
      </c>
      <c r="M54" s="55" t="s">
        <v>1706</v>
      </c>
    </row>
    <row r="55" spans="1:13" x14ac:dyDescent="0.25">
      <c r="A55" s="53" t="s">
        <v>12</v>
      </c>
      <c r="B55" s="53" t="s">
        <v>13</v>
      </c>
      <c r="C55" s="53" t="s">
        <v>14</v>
      </c>
      <c r="D55" s="53" t="s">
        <v>1610</v>
      </c>
      <c r="E55" s="53">
        <v>33067706253</v>
      </c>
      <c r="F55" s="53" t="s">
        <v>1611</v>
      </c>
      <c r="G55" s="53">
        <v>1000</v>
      </c>
      <c r="H55" s="62">
        <v>46062</v>
      </c>
      <c r="I55" s="53" t="s">
        <v>1513</v>
      </c>
      <c r="J55" s="53" t="s">
        <v>1495</v>
      </c>
      <c r="K55" s="53">
        <v>352507094</v>
      </c>
      <c r="L55" s="53">
        <v>6381535643</v>
      </c>
      <c r="M55" s="55" t="s">
        <v>1707</v>
      </c>
    </row>
    <row r="56" spans="1:13" x14ac:dyDescent="0.25">
      <c r="A56" s="53" t="s">
        <v>12</v>
      </c>
      <c r="B56" s="53" t="s">
        <v>13</v>
      </c>
      <c r="C56" s="53" t="s">
        <v>14</v>
      </c>
      <c r="D56" s="53" t="s">
        <v>144</v>
      </c>
      <c r="E56" s="53">
        <v>44182579159</v>
      </c>
      <c r="F56" s="53" t="s">
        <v>145</v>
      </c>
      <c r="G56" s="53">
        <v>1000</v>
      </c>
      <c r="H56" s="62">
        <v>46062</v>
      </c>
      <c r="I56" s="53" t="s">
        <v>593</v>
      </c>
      <c r="J56" s="53" t="s">
        <v>76</v>
      </c>
      <c r="K56" s="53">
        <v>352507095</v>
      </c>
      <c r="L56" s="53">
        <v>7765824237</v>
      </c>
      <c r="M56" s="55" t="s">
        <v>1708</v>
      </c>
    </row>
    <row r="57" spans="1:13" x14ac:dyDescent="0.25">
      <c r="A57" s="53" t="s">
        <v>12</v>
      </c>
      <c r="B57" s="53" t="s">
        <v>13</v>
      </c>
      <c r="C57" s="53" t="s">
        <v>14</v>
      </c>
      <c r="D57" s="53" t="s">
        <v>95</v>
      </c>
      <c r="E57" s="53" t="s">
        <v>96</v>
      </c>
      <c r="F57" s="53" t="s">
        <v>33</v>
      </c>
      <c r="G57" s="53">
        <v>1500</v>
      </c>
      <c r="H57" s="62">
        <v>46063</v>
      </c>
      <c r="I57" s="61" t="s">
        <v>1483</v>
      </c>
      <c r="J57" s="61" t="s">
        <v>1484</v>
      </c>
      <c r="K57" s="53">
        <v>352507132</v>
      </c>
      <c r="L57" s="53">
        <v>8159025834</v>
      </c>
      <c r="M57" s="55" t="s">
        <v>1711</v>
      </c>
    </row>
    <row r="58" spans="1:13" x14ac:dyDescent="0.25">
      <c r="A58" s="53" t="s">
        <v>12</v>
      </c>
      <c r="B58" s="53" t="s">
        <v>13</v>
      </c>
      <c r="C58" s="53" t="s">
        <v>14</v>
      </c>
      <c r="D58" s="53" t="s">
        <v>1406</v>
      </c>
      <c r="E58" s="69">
        <v>645602010014653</v>
      </c>
      <c r="F58" s="53" t="s">
        <v>1407</v>
      </c>
      <c r="G58" s="53">
        <v>1900</v>
      </c>
      <c r="H58" s="62">
        <v>46063</v>
      </c>
      <c r="I58" s="53" t="s">
        <v>903</v>
      </c>
      <c r="J58" s="53" t="s">
        <v>904</v>
      </c>
      <c r="K58" s="53">
        <v>352507131</v>
      </c>
      <c r="L58" s="53">
        <v>8084480157</v>
      </c>
      <c r="M58" s="55" t="s">
        <v>1711</v>
      </c>
    </row>
    <row r="59" spans="1:13" x14ac:dyDescent="0.25">
      <c r="A59" s="53" t="s">
        <v>12</v>
      </c>
      <c r="B59" s="53" t="s">
        <v>13</v>
      </c>
      <c r="C59" s="53" t="s">
        <v>14</v>
      </c>
      <c r="D59" s="53" t="s">
        <v>343</v>
      </c>
      <c r="E59" s="54">
        <v>37223550583</v>
      </c>
      <c r="F59" s="53" t="s">
        <v>33</v>
      </c>
      <c r="G59" s="53">
        <v>5200</v>
      </c>
      <c r="H59" s="62">
        <v>46063</v>
      </c>
      <c r="I59" s="61" t="s">
        <v>895</v>
      </c>
      <c r="J59" s="61" t="s">
        <v>896</v>
      </c>
      <c r="K59" s="53">
        <v>352507083</v>
      </c>
      <c r="L59" s="53">
        <v>9031258705</v>
      </c>
      <c r="M59" s="55" t="s">
        <v>1712</v>
      </c>
    </row>
    <row r="60" spans="1:13" x14ac:dyDescent="0.25">
      <c r="A60" s="53" t="s">
        <v>12</v>
      </c>
      <c r="B60" s="53" t="s">
        <v>13</v>
      </c>
      <c r="C60" s="53" t="s">
        <v>14</v>
      </c>
      <c r="D60" s="53" t="s">
        <v>435</v>
      </c>
      <c r="E60" s="53">
        <v>31095925572</v>
      </c>
      <c r="F60" s="60" t="s">
        <v>33</v>
      </c>
      <c r="G60" s="53">
        <v>5450</v>
      </c>
      <c r="H60" s="62">
        <v>46063</v>
      </c>
      <c r="I60" s="61" t="s">
        <v>1485</v>
      </c>
      <c r="J60" s="61" t="s">
        <v>1486</v>
      </c>
      <c r="K60" s="53">
        <v>352507109</v>
      </c>
      <c r="L60" s="60">
        <v>8084080392</v>
      </c>
      <c r="M60" s="55" t="s">
        <v>1713</v>
      </c>
    </row>
    <row r="61" spans="1:13" x14ac:dyDescent="0.25">
      <c r="A61" s="53" t="s">
        <v>12</v>
      </c>
      <c r="B61" s="53" t="s">
        <v>13</v>
      </c>
      <c r="C61" s="53" t="s">
        <v>14</v>
      </c>
      <c r="D61" s="53" t="s">
        <v>36</v>
      </c>
      <c r="E61" s="53" t="s">
        <v>37</v>
      </c>
      <c r="F61" s="53" t="s">
        <v>38</v>
      </c>
      <c r="G61" s="53">
        <v>3950</v>
      </c>
      <c r="H61" s="62">
        <v>46063</v>
      </c>
      <c r="I61" s="53" t="s">
        <v>902</v>
      </c>
      <c r="J61" s="53" t="s">
        <v>901</v>
      </c>
      <c r="K61" s="53">
        <v>352507112</v>
      </c>
      <c r="L61" s="53">
        <v>9358936441</v>
      </c>
      <c r="M61" s="55" t="s">
        <v>1712</v>
      </c>
    </row>
    <row r="62" spans="1:13" x14ac:dyDescent="0.25">
      <c r="A62" s="53" t="s">
        <v>12</v>
      </c>
      <c r="B62" s="53" t="s">
        <v>13</v>
      </c>
      <c r="C62" s="53" t="s">
        <v>14</v>
      </c>
      <c r="D62" s="53" t="s">
        <v>95</v>
      </c>
      <c r="E62" s="53" t="s">
        <v>96</v>
      </c>
      <c r="F62" s="53" t="s">
        <v>33</v>
      </c>
      <c r="G62" s="53">
        <v>5450</v>
      </c>
      <c r="H62" s="62">
        <v>46063</v>
      </c>
      <c r="I62" s="61" t="s">
        <v>1483</v>
      </c>
      <c r="J62" s="61" t="s">
        <v>1484</v>
      </c>
      <c r="K62" s="53">
        <v>352507110</v>
      </c>
      <c r="L62" s="53">
        <v>8159025834</v>
      </c>
      <c r="M62" s="55" t="s">
        <v>1713</v>
      </c>
    </row>
    <row r="63" spans="1:13" x14ac:dyDescent="0.25">
      <c r="A63" s="53" t="s">
        <v>12</v>
      </c>
      <c r="B63" s="53" t="s">
        <v>13</v>
      </c>
      <c r="C63" s="53" t="s">
        <v>14</v>
      </c>
      <c r="D63" s="53" t="s">
        <v>144</v>
      </c>
      <c r="E63" s="53">
        <v>44182579159</v>
      </c>
      <c r="F63" s="53" t="s">
        <v>145</v>
      </c>
      <c r="G63" s="53">
        <v>5450</v>
      </c>
      <c r="H63" s="62">
        <v>46063</v>
      </c>
      <c r="I63" s="53" t="s">
        <v>593</v>
      </c>
      <c r="J63" s="53" t="s">
        <v>76</v>
      </c>
      <c r="K63" s="53">
        <v>352507095</v>
      </c>
      <c r="L63" s="53">
        <v>7765824237</v>
      </c>
      <c r="M63" s="55" t="s">
        <v>1713</v>
      </c>
    </row>
    <row r="64" spans="1:13" x14ac:dyDescent="0.25">
      <c r="A64" s="53" t="s">
        <v>12</v>
      </c>
      <c r="B64" s="53" t="s">
        <v>13</v>
      </c>
      <c r="C64" s="53" t="s">
        <v>14</v>
      </c>
      <c r="D64" s="53" t="s">
        <v>36</v>
      </c>
      <c r="E64" s="53" t="s">
        <v>37</v>
      </c>
      <c r="F64" s="53" t="s">
        <v>38</v>
      </c>
      <c r="G64" s="53">
        <v>1500</v>
      </c>
      <c r="H64" s="62">
        <v>46064</v>
      </c>
      <c r="I64" s="53" t="s">
        <v>902</v>
      </c>
      <c r="J64" s="53" t="s">
        <v>901</v>
      </c>
      <c r="K64" s="53">
        <v>352507158</v>
      </c>
      <c r="L64" s="53">
        <v>9358936441</v>
      </c>
      <c r="M64" s="55" t="s">
        <v>1714</v>
      </c>
    </row>
    <row r="65" spans="1:13" x14ac:dyDescent="0.25">
      <c r="A65" s="53" t="s">
        <v>12</v>
      </c>
      <c r="B65" s="53" t="s">
        <v>13</v>
      </c>
      <c r="C65" s="53" t="s">
        <v>14</v>
      </c>
      <c r="D65" s="53" t="s">
        <v>343</v>
      </c>
      <c r="E65" s="54">
        <v>37223550583</v>
      </c>
      <c r="F65" s="53" t="s">
        <v>33</v>
      </c>
      <c r="G65" s="53">
        <v>1900</v>
      </c>
      <c r="H65" s="62">
        <v>46064</v>
      </c>
      <c r="I65" s="61" t="s">
        <v>895</v>
      </c>
      <c r="J65" s="61" t="s">
        <v>896</v>
      </c>
      <c r="K65" s="53">
        <v>352507159</v>
      </c>
      <c r="L65" s="53">
        <v>9031258705</v>
      </c>
      <c r="M65" s="55" t="s">
        <v>1714</v>
      </c>
    </row>
    <row r="66" spans="1:13" x14ac:dyDescent="0.25">
      <c r="A66" s="53" t="s">
        <v>12</v>
      </c>
      <c r="B66" s="53" t="s">
        <v>13</v>
      </c>
      <c r="C66" s="53" t="s">
        <v>14</v>
      </c>
      <c r="D66" s="53" t="s">
        <v>36</v>
      </c>
      <c r="E66" s="53" t="s">
        <v>37</v>
      </c>
      <c r="F66" s="53" t="s">
        <v>38</v>
      </c>
      <c r="G66" s="53">
        <v>5200</v>
      </c>
      <c r="H66" s="62">
        <v>46064</v>
      </c>
      <c r="I66" s="53" t="s">
        <v>902</v>
      </c>
      <c r="J66" s="53" t="s">
        <v>901</v>
      </c>
      <c r="K66" s="53">
        <v>352507141</v>
      </c>
      <c r="L66" s="53">
        <v>9358936441</v>
      </c>
      <c r="M66" s="55" t="s">
        <v>1715</v>
      </c>
    </row>
    <row r="67" spans="1:13" x14ac:dyDescent="0.25">
      <c r="A67" s="53" t="s">
        <v>12</v>
      </c>
      <c r="B67" s="53" t="s">
        <v>13</v>
      </c>
      <c r="C67" s="53" t="s">
        <v>14</v>
      </c>
      <c r="D67" s="53" t="s">
        <v>48</v>
      </c>
      <c r="E67" s="53" t="s">
        <v>49</v>
      </c>
      <c r="F67" s="53" t="s">
        <v>50</v>
      </c>
      <c r="G67" s="53">
        <v>1000</v>
      </c>
      <c r="H67" s="62">
        <v>46064</v>
      </c>
      <c r="I67" s="53" t="s">
        <v>1519</v>
      </c>
      <c r="J67" s="53" t="s">
        <v>1520</v>
      </c>
      <c r="K67" s="53">
        <v>352507160</v>
      </c>
      <c r="L67" s="53">
        <v>8520078561</v>
      </c>
      <c r="M67" s="55" t="s">
        <v>1716</v>
      </c>
    </row>
    <row r="68" spans="1:13" x14ac:dyDescent="0.25">
      <c r="A68" s="53" t="s">
        <v>12</v>
      </c>
      <c r="B68" s="53" t="s">
        <v>13</v>
      </c>
      <c r="C68" s="53" t="s">
        <v>14</v>
      </c>
      <c r="D68" s="53" t="s">
        <v>48</v>
      </c>
      <c r="E68" s="53" t="s">
        <v>49</v>
      </c>
      <c r="F68" s="53" t="s">
        <v>50</v>
      </c>
      <c r="G68" s="53">
        <v>6100</v>
      </c>
      <c r="H68" s="62">
        <v>46064</v>
      </c>
      <c r="I68" s="53" t="s">
        <v>1519</v>
      </c>
      <c r="J68" s="53" t="s">
        <v>1520</v>
      </c>
      <c r="K68" s="53">
        <v>352507049</v>
      </c>
      <c r="L68" s="53">
        <v>8520078561</v>
      </c>
      <c r="M68" s="55" t="s">
        <v>1717</v>
      </c>
    </row>
    <row r="69" spans="1:13" x14ac:dyDescent="0.25">
      <c r="A69" s="53" t="s">
        <v>12</v>
      </c>
      <c r="B69" s="53" t="s">
        <v>13</v>
      </c>
      <c r="C69" s="53" t="s">
        <v>14</v>
      </c>
      <c r="D69" s="53" t="s">
        <v>1610</v>
      </c>
      <c r="E69" s="53">
        <v>33067706253</v>
      </c>
      <c r="F69" s="53" t="s">
        <v>1611</v>
      </c>
      <c r="G69" s="53">
        <v>1000</v>
      </c>
      <c r="H69" s="62">
        <v>46064</v>
      </c>
      <c r="I69" s="53" t="s">
        <v>1513</v>
      </c>
      <c r="J69" s="53" t="s">
        <v>1495</v>
      </c>
      <c r="K69" s="53">
        <v>352507135</v>
      </c>
      <c r="L69" s="53">
        <v>6381535643</v>
      </c>
      <c r="M69" s="55" t="s">
        <v>1718</v>
      </c>
    </row>
    <row r="70" spans="1:13" x14ac:dyDescent="0.25">
      <c r="A70" s="53" t="s">
        <v>12</v>
      </c>
      <c r="B70" s="53" t="s">
        <v>13</v>
      </c>
      <c r="C70" s="53" t="s">
        <v>14</v>
      </c>
      <c r="D70" s="53" t="s">
        <v>435</v>
      </c>
      <c r="E70" s="53">
        <v>31095925572</v>
      </c>
      <c r="F70" s="60" t="s">
        <v>33</v>
      </c>
      <c r="G70" s="53">
        <v>5450</v>
      </c>
      <c r="H70" s="62">
        <v>46065</v>
      </c>
      <c r="I70" s="61" t="s">
        <v>1485</v>
      </c>
      <c r="J70" s="61" t="s">
        <v>1486</v>
      </c>
      <c r="K70" s="53">
        <v>352507143</v>
      </c>
      <c r="L70" s="60">
        <v>8084080392</v>
      </c>
      <c r="M70" s="55" t="s">
        <v>1719</v>
      </c>
    </row>
    <row r="71" spans="1:13" x14ac:dyDescent="0.25">
      <c r="A71" s="53" t="s">
        <v>12</v>
      </c>
      <c r="B71" s="53" t="s">
        <v>13</v>
      </c>
      <c r="C71" s="53" t="s">
        <v>14</v>
      </c>
      <c r="D71" s="53" t="s">
        <v>1406</v>
      </c>
      <c r="E71" s="69">
        <v>645602010014653</v>
      </c>
      <c r="F71" s="53" t="s">
        <v>1407</v>
      </c>
      <c r="G71" s="53">
        <v>5200</v>
      </c>
      <c r="H71" s="62">
        <v>46065</v>
      </c>
      <c r="I71" s="53" t="s">
        <v>903</v>
      </c>
      <c r="J71" s="53" t="s">
        <v>904</v>
      </c>
      <c r="K71" s="53">
        <v>352507131</v>
      </c>
      <c r="L71" s="53">
        <v>8084480157</v>
      </c>
      <c r="M71" s="55" t="s">
        <v>1720</v>
      </c>
    </row>
    <row r="72" spans="1:13" x14ac:dyDescent="0.25">
      <c r="A72" s="53" t="s">
        <v>12</v>
      </c>
      <c r="B72" s="53" t="s">
        <v>13</v>
      </c>
      <c r="C72" s="53" t="s">
        <v>14</v>
      </c>
      <c r="D72" s="53" t="s">
        <v>95</v>
      </c>
      <c r="E72" s="53" t="s">
        <v>96</v>
      </c>
      <c r="F72" s="53" t="s">
        <v>33</v>
      </c>
      <c r="G72" s="53">
        <v>16600</v>
      </c>
      <c r="H72" s="62">
        <v>46065</v>
      </c>
      <c r="I72" s="61" t="s">
        <v>1483</v>
      </c>
      <c r="J72" s="61" t="s">
        <v>1484</v>
      </c>
      <c r="K72" s="53">
        <v>352507140</v>
      </c>
      <c r="L72" s="53">
        <v>8159025834</v>
      </c>
      <c r="M72" s="55" t="s">
        <v>1721</v>
      </c>
    </row>
    <row r="73" spans="1:13" x14ac:dyDescent="0.25">
      <c r="A73" s="53" t="s">
        <v>12</v>
      </c>
      <c r="B73" s="53" t="s">
        <v>13</v>
      </c>
      <c r="C73" s="53" t="s">
        <v>14</v>
      </c>
      <c r="D73" s="53" t="s">
        <v>48</v>
      </c>
      <c r="E73" s="53" t="s">
        <v>49</v>
      </c>
      <c r="F73" s="53" t="s">
        <v>50</v>
      </c>
      <c r="G73" s="53">
        <v>1000</v>
      </c>
      <c r="H73" s="62">
        <v>46066</v>
      </c>
      <c r="I73" s="53" t="s">
        <v>1519</v>
      </c>
      <c r="J73" s="53" t="s">
        <v>1520</v>
      </c>
      <c r="K73" s="53">
        <v>352507173</v>
      </c>
      <c r="L73" s="53">
        <v>8520078561</v>
      </c>
      <c r="M73" s="55" t="s">
        <v>1722</v>
      </c>
    </row>
    <row r="74" spans="1:13" x14ac:dyDescent="0.25">
      <c r="A74" s="53" t="s">
        <v>12</v>
      </c>
      <c r="B74" s="53" t="s">
        <v>13</v>
      </c>
      <c r="C74" s="53" t="s">
        <v>14</v>
      </c>
      <c r="D74" s="53" t="s">
        <v>144</v>
      </c>
      <c r="E74" s="53">
        <v>44182579159</v>
      </c>
      <c r="F74" s="53" t="s">
        <v>145</v>
      </c>
      <c r="G74" s="53">
        <v>5450</v>
      </c>
      <c r="H74" s="62">
        <v>46066</v>
      </c>
      <c r="I74" s="53" t="s">
        <v>593</v>
      </c>
      <c r="J74" s="53" t="s">
        <v>76</v>
      </c>
      <c r="K74" s="53">
        <v>352507139</v>
      </c>
      <c r="L74" s="53">
        <v>7765824237</v>
      </c>
      <c r="M74" s="55" t="s">
        <v>1723</v>
      </c>
    </row>
    <row r="75" spans="1:13" x14ac:dyDescent="0.25">
      <c r="A75" s="53" t="s">
        <v>12</v>
      </c>
      <c r="B75" s="53" t="s">
        <v>13</v>
      </c>
      <c r="C75" s="53" t="s">
        <v>14</v>
      </c>
      <c r="D75" s="53" t="s">
        <v>343</v>
      </c>
      <c r="E75" s="54">
        <v>37223550583</v>
      </c>
      <c r="F75" s="53" t="s">
        <v>33</v>
      </c>
      <c r="G75" s="53">
        <v>5450</v>
      </c>
      <c r="H75" s="62">
        <v>46067</v>
      </c>
      <c r="I75" s="61" t="s">
        <v>895</v>
      </c>
      <c r="J75" s="61" t="s">
        <v>896</v>
      </c>
      <c r="K75" s="53">
        <v>352507142</v>
      </c>
      <c r="L75" s="53">
        <v>9031258705</v>
      </c>
      <c r="M75" s="55" t="s">
        <v>1724</v>
      </c>
    </row>
    <row r="76" spans="1:13" x14ac:dyDescent="0.25">
      <c r="A76" s="53" t="s">
        <v>12</v>
      </c>
      <c r="B76" s="53" t="s">
        <v>13</v>
      </c>
      <c r="C76" s="53" t="s">
        <v>14</v>
      </c>
      <c r="D76" s="53" t="s">
        <v>435</v>
      </c>
      <c r="E76" s="53">
        <v>31095925572</v>
      </c>
      <c r="F76" s="60" t="s">
        <v>33</v>
      </c>
      <c r="G76" s="53">
        <v>5450</v>
      </c>
      <c r="H76" s="62">
        <v>46067</v>
      </c>
      <c r="I76" s="61" t="s">
        <v>1485</v>
      </c>
      <c r="J76" s="61" t="s">
        <v>1486</v>
      </c>
      <c r="K76" s="53">
        <v>352507207</v>
      </c>
      <c r="L76" s="60">
        <v>8084080392</v>
      </c>
      <c r="M76" s="55" t="s">
        <v>1724</v>
      </c>
    </row>
    <row r="77" spans="1:13" x14ac:dyDescent="0.25">
      <c r="A77" s="53" t="s">
        <v>12</v>
      </c>
      <c r="B77" s="53" t="s">
        <v>13</v>
      </c>
      <c r="C77" s="53" t="s">
        <v>14</v>
      </c>
      <c r="D77" s="53" t="s">
        <v>1610</v>
      </c>
      <c r="E77" s="53">
        <v>33067706253</v>
      </c>
      <c r="F77" s="53" t="s">
        <v>1611</v>
      </c>
      <c r="G77" s="53">
        <v>5200</v>
      </c>
      <c r="H77" s="62">
        <v>46067</v>
      </c>
      <c r="I77" s="53" t="s">
        <v>1513</v>
      </c>
      <c r="J77" s="53" t="s">
        <v>1495</v>
      </c>
      <c r="K77" s="53">
        <v>352507208</v>
      </c>
      <c r="L77" s="53">
        <v>6381535643</v>
      </c>
      <c r="M77" s="55" t="s">
        <v>1725</v>
      </c>
    </row>
    <row r="78" spans="1:13" x14ac:dyDescent="0.25">
      <c r="A78" s="53" t="s">
        <v>12</v>
      </c>
      <c r="B78" s="53" t="s">
        <v>13</v>
      </c>
      <c r="C78" s="53" t="s">
        <v>14</v>
      </c>
      <c r="D78" s="53" t="s">
        <v>1406</v>
      </c>
      <c r="E78" s="69">
        <v>645602010014653</v>
      </c>
      <c r="F78" s="53" t="s">
        <v>1407</v>
      </c>
      <c r="G78" s="53">
        <v>1000</v>
      </c>
      <c r="H78" s="62">
        <v>46067</v>
      </c>
      <c r="I78" s="53" t="s">
        <v>903</v>
      </c>
      <c r="J78" s="53" t="s">
        <v>904</v>
      </c>
      <c r="K78" s="53">
        <v>352507222</v>
      </c>
      <c r="L78" s="53">
        <v>8084480157</v>
      </c>
      <c r="M78" s="55" t="s">
        <v>1726</v>
      </c>
    </row>
    <row r="79" spans="1:13" x14ac:dyDescent="0.25">
      <c r="A79" s="53" t="s">
        <v>12</v>
      </c>
      <c r="B79" s="53" t="s">
        <v>13</v>
      </c>
      <c r="C79" s="53" t="s">
        <v>14</v>
      </c>
      <c r="D79" s="53" t="s">
        <v>1406</v>
      </c>
      <c r="E79" s="69">
        <v>645602010014653</v>
      </c>
      <c r="F79" s="53" t="s">
        <v>1407</v>
      </c>
      <c r="G79" s="53">
        <v>1000</v>
      </c>
      <c r="H79" s="62">
        <v>46068</v>
      </c>
      <c r="I79" s="53" t="s">
        <v>903</v>
      </c>
      <c r="J79" s="53" t="s">
        <v>904</v>
      </c>
      <c r="K79" s="53">
        <v>352507244</v>
      </c>
      <c r="L79" s="53">
        <v>8084480157</v>
      </c>
      <c r="M79" s="55" t="s">
        <v>1727</v>
      </c>
    </row>
    <row r="80" spans="1:13" x14ac:dyDescent="0.25">
      <c r="A80" s="53" t="s">
        <v>12</v>
      </c>
      <c r="B80" s="53" t="s">
        <v>13</v>
      </c>
      <c r="C80" s="53" t="s">
        <v>14</v>
      </c>
      <c r="D80" s="53" t="s">
        <v>1406</v>
      </c>
      <c r="E80" s="69">
        <v>645602010014653</v>
      </c>
      <c r="F80" s="53" t="s">
        <v>1407</v>
      </c>
      <c r="G80" s="53">
        <v>3950</v>
      </c>
      <c r="H80" s="62">
        <v>46068</v>
      </c>
      <c r="I80" s="53" t="s">
        <v>903</v>
      </c>
      <c r="J80" s="53" t="s">
        <v>904</v>
      </c>
      <c r="K80" s="53">
        <v>352507263</v>
      </c>
      <c r="L80" s="53">
        <v>8084480157</v>
      </c>
      <c r="M80" s="55" t="s">
        <v>1724</v>
      </c>
    </row>
    <row r="81" spans="1:13" x14ac:dyDescent="0.25">
      <c r="A81" s="53" t="s">
        <v>12</v>
      </c>
      <c r="B81" s="53" t="s">
        <v>13</v>
      </c>
      <c r="C81" s="53" t="s">
        <v>14</v>
      </c>
      <c r="D81" s="53" t="s">
        <v>48</v>
      </c>
      <c r="E81" s="53" t="s">
        <v>49</v>
      </c>
      <c r="F81" s="53" t="s">
        <v>50</v>
      </c>
      <c r="G81" s="53">
        <v>1000</v>
      </c>
      <c r="H81" s="62">
        <v>46068</v>
      </c>
      <c r="I81" s="53" t="s">
        <v>1519</v>
      </c>
      <c r="J81" s="53" t="s">
        <v>1520</v>
      </c>
      <c r="K81" s="53">
        <v>352507243</v>
      </c>
      <c r="L81" s="53">
        <v>8520078561</v>
      </c>
      <c r="M81" s="55" t="s">
        <v>1728</v>
      </c>
    </row>
    <row r="82" spans="1:13" x14ac:dyDescent="0.25">
      <c r="A82" s="53" t="s">
        <v>12</v>
      </c>
      <c r="B82" s="53" t="s">
        <v>13</v>
      </c>
      <c r="C82" s="53" t="s">
        <v>14</v>
      </c>
      <c r="D82" s="53" t="s">
        <v>95</v>
      </c>
      <c r="E82" s="53" t="s">
        <v>96</v>
      </c>
      <c r="F82" s="53" t="s">
        <v>33</v>
      </c>
      <c r="G82" s="53">
        <v>5000</v>
      </c>
      <c r="H82" s="62">
        <v>46070</v>
      </c>
      <c r="I82" s="61" t="s">
        <v>1483</v>
      </c>
      <c r="J82" s="61" t="s">
        <v>1484</v>
      </c>
      <c r="K82" s="53">
        <v>352507140</v>
      </c>
      <c r="L82" s="53">
        <v>8159025834</v>
      </c>
      <c r="M82" s="55" t="s">
        <v>1729</v>
      </c>
    </row>
    <row r="83" spans="1:13" x14ac:dyDescent="0.25">
      <c r="A83" s="53" t="s">
        <v>12</v>
      </c>
      <c r="B83" s="53" t="s">
        <v>13</v>
      </c>
      <c r="C83" s="53" t="s">
        <v>14</v>
      </c>
      <c r="D83" s="53" t="s">
        <v>993</v>
      </c>
      <c r="E83" s="69">
        <v>50100683547664</v>
      </c>
      <c r="F83" s="60" t="s">
        <v>994</v>
      </c>
      <c r="G83" s="53">
        <v>5200</v>
      </c>
      <c r="H83" s="62">
        <v>46070</v>
      </c>
      <c r="I83" s="61" t="s">
        <v>1497</v>
      </c>
      <c r="J83" s="61" t="s">
        <v>1498</v>
      </c>
      <c r="K83" s="53">
        <v>352507111</v>
      </c>
      <c r="L83" s="60">
        <v>8093441726</v>
      </c>
      <c r="M83" s="55" t="s">
        <v>1730</v>
      </c>
    </row>
    <row r="84" spans="1:13" x14ac:dyDescent="0.25">
      <c r="A84" s="53" t="s">
        <v>12</v>
      </c>
      <c r="B84" s="53" t="s">
        <v>13</v>
      </c>
      <c r="C84" s="53" t="s">
        <v>14</v>
      </c>
      <c r="D84" s="53" t="s">
        <v>48</v>
      </c>
      <c r="E84" s="53" t="s">
        <v>49</v>
      </c>
      <c r="F84" s="53" t="s">
        <v>50</v>
      </c>
      <c r="G84" s="53">
        <v>4950</v>
      </c>
      <c r="H84" s="62">
        <v>46070</v>
      </c>
      <c r="I84" s="53" t="s">
        <v>1519</v>
      </c>
      <c r="J84" s="53" t="s">
        <v>1520</v>
      </c>
      <c r="K84" s="53">
        <v>352507243</v>
      </c>
      <c r="L84" s="53">
        <v>8520078561</v>
      </c>
      <c r="M84" s="55" t="s">
        <v>1731</v>
      </c>
    </row>
    <row r="85" spans="1:13" x14ac:dyDescent="0.25">
      <c r="A85" s="53" t="s">
        <v>12</v>
      </c>
      <c r="B85" s="53" t="s">
        <v>13</v>
      </c>
      <c r="C85" s="53" t="s">
        <v>14</v>
      </c>
      <c r="D85" s="53" t="s">
        <v>144</v>
      </c>
      <c r="E85" s="53">
        <v>44182579159</v>
      </c>
      <c r="F85" s="53" t="s">
        <v>145</v>
      </c>
      <c r="G85" s="53">
        <f>1900+300</f>
        <v>2200</v>
      </c>
      <c r="H85" s="62">
        <v>46070</v>
      </c>
      <c r="I85" s="53" t="s">
        <v>593</v>
      </c>
      <c r="J85" s="53" t="s">
        <v>76</v>
      </c>
      <c r="K85" s="53">
        <v>352507312</v>
      </c>
      <c r="L85" s="53">
        <v>7765824237</v>
      </c>
      <c r="M85" s="55" t="s">
        <v>1732</v>
      </c>
    </row>
    <row r="86" spans="1:13" x14ac:dyDescent="0.25">
      <c r="A86" s="53" t="s">
        <v>12</v>
      </c>
      <c r="B86" s="53" t="s">
        <v>13</v>
      </c>
      <c r="C86" s="53" t="s">
        <v>14</v>
      </c>
      <c r="D86" s="53" t="s">
        <v>343</v>
      </c>
      <c r="E86" s="54">
        <v>37223550583</v>
      </c>
      <c r="F86" s="53" t="s">
        <v>33</v>
      </c>
      <c r="G86" s="53">
        <v>1900</v>
      </c>
      <c r="H86" s="62">
        <v>46070</v>
      </c>
      <c r="I86" s="61" t="s">
        <v>895</v>
      </c>
      <c r="J86" s="61" t="s">
        <v>896</v>
      </c>
      <c r="K86" s="53">
        <v>352507313</v>
      </c>
      <c r="L86" s="53">
        <v>9031258705</v>
      </c>
      <c r="M86" s="55" t="s">
        <v>1733</v>
      </c>
    </row>
    <row r="87" spans="1:13" x14ac:dyDescent="0.25">
      <c r="A87" s="53" t="s">
        <v>12</v>
      </c>
      <c r="B87" s="53" t="s">
        <v>13</v>
      </c>
      <c r="C87" s="53" t="s">
        <v>14</v>
      </c>
      <c r="D87" s="53" t="s">
        <v>144</v>
      </c>
      <c r="E87" s="53">
        <v>44182579159</v>
      </c>
      <c r="F87" s="53" t="s">
        <v>145</v>
      </c>
      <c r="G87" s="53">
        <v>5200</v>
      </c>
      <c r="H87" s="62">
        <v>46071</v>
      </c>
      <c r="I87" s="53" t="s">
        <v>593</v>
      </c>
      <c r="J87" s="53" t="s">
        <v>76</v>
      </c>
      <c r="K87" s="53">
        <v>352507260</v>
      </c>
      <c r="L87" s="53">
        <v>7765824237</v>
      </c>
      <c r="M87" s="55" t="s">
        <v>1734</v>
      </c>
    </row>
    <row r="88" spans="1:13" x14ac:dyDescent="0.25">
      <c r="A88" s="53" t="s">
        <v>12</v>
      </c>
      <c r="B88" s="53" t="s">
        <v>13</v>
      </c>
      <c r="C88" s="53" t="s">
        <v>14</v>
      </c>
      <c r="D88" s="53" t="s">
        <v>343</v>
      </c>
      <c r="E88" s="54">
        <v>37223550583</v>
      </c>
      <c r="F88" s="53" t="s">
        <v>33</v>
      </c>
      <c r="G88" s="53">
        <v>5000</v>
      </c>
      <c r="H88" s="62">
        <v>46071</v>
      </c>
      <c r="I88" s="61" t="s">
        <v>895</v>
      </c>
      <c r="J88" s="61" t="s">
        <v>896</v>
      </c>
      <c r="K88" s="53">
        <v>352507262</v>
      </c>
      <c r="L88" s="53">
        <v>9031258705</v>
      </c>
      <c r="M88" s="55" t="s">
        <v>1735</v>
      </c>
    </row>
    <row r="89" spans="1:13" x14ac:dyDescent="0.25">
      <c r="A89" s="53" t="s">
        <v>12</v>
      </c>
      <c r="B89" s="53" t="s">
        <v>13</v>
      </c>
      <c r="C89" s="53" t="s">
        <v>14</v>
      </c>
      <c r="D89" s="53" t="s">
        <v>1610</v>
      </c>
      <c r="E89" s="53">
        <v>33067706253</v>
      </c>
      <c r="F89" s="53" t="s">
        <v>1611</v>
      </c>
      <c r="G89" s="53">
        <v>5200</v>
      </c>
      <c r="H89" s="62">
        <v>46072</v>
      </c>
      <c r="I89" s="53" t="s">
        <v>1513</v>
      </c>
      <c r="J89" s="53" t="s">
        <v>1495</v>
      </c>
      <c r="K89" s="53">
        <v>352507259</v>
      </c>
      <c r="L89" s="53">
        <v>6381535643</v>
      </c>
      <c r="M89" s="55" t="s">
        <v>1738</v>
      </c>
    </row>
    <row r="90" spans="1:13" x14ac:dyDescent="0.25">
      <c r="A90" s="53" t="s">
        <v>12</v>
      </c>
      <c r="B90" s="53" t="s">
        <v>13</v>
      </c>
      <c r="C90" s="53" t="s">
        <v>14</v>
      </c>
      <c r="D90" s="53" t="s">
        <v>1406</v>
      </c>
      <c r="E90" s="69">
        <v>645602010014653</v>
      </c>
      <c r="F90" s="53" t="s">
        <v>1407</v>
      </c>
      <c r="G90" s="53">
        <v>7500</v>
      </c>
      <c r="H90" s="62">
        <v>46072</v>
      </c>
      <c r="I90" s="53" t="s">
        <v>903</v>
      </c>
      <c r="J90" s="53" t="s">
        <v>904</v>
      </c>
      <c r="K90" s="53">
        <v>352507263</v>
      </c>
      <c r="L90" s="53">
        <v>8084480157</v>
      </c>
      <c r="M90" s="55" t="s">
        <v>1736</v>
      </c>
    </row>
    <row r="91" spans="1:13" x14ac:dyDescent="0.25">
      <c r="A91" s="53" t="s">
        <v>12</v>
      </c>
      <c r="B91" s="53" t="s">
        <v>13</v>
      </c>
      <c r="C91" s="53" t="s">
        <v>14</v>
      </c>
      <c r="D91" s="53" t="s">
        <v>435</v>
      </c>
      <c r="E91" s="53">
        <v>31095925572</v>
      </c>
      <c r="F91" s="60" t="s">
        <v>33</v>
      </c>
      <c r="G91" s="53">
        <v>7500</v>
      </c>
      <c r="H91" s="62">
        <v>46072</v>
      </c>
      <c r="I91" s="61" t="s">
        <v>1485</v>
      </c>
      <c r="J91" s="61" t="s">
        <v>1486</v>
      </c>
      <c r="K91" s="53">
        <v>352507261</v>
      </c>
      <c r="L91" s="60">
        <v>8084080392</v>
      </c>
      <c r="M91" s="55" t="s">
        <v>1736</v>
      </c>
    </row>
    <row r="92" spans="1:13" x14ac:dyDescent="0.25">
      <c r="A92" s="53" t="s">
        <v>12</v>
      </c>
      <c r="B92" s="53" t="s">
        <v>13</v>
      </c>
      <c r="C92" s="53" t="s">
        <v>14</v>
      </c>
      <c r="D92" s="53" t="s">
        <v>993</v>
      </c>
      <c r="E92" s="69">
        <v>50100683547664</v>
      </c>
      <c r="F92" s="60" t="s">
        <v>994</v>
      </c>
      <c r="G92" s="53">
        <v>7500</v>
      </c>
      <c r="H92" s="62">
        <v>46072</v>
      </c>
      <c r="I92" s="61" t="s">
        <v>1497</v>
      </c>
      <c r="J92" s="61" t="s">
        <v>1498</v>
      </c>
      <c r="K92" s="53">
        <v>352507319</v>
      </c>
      <c r="L92" s="60">
        <v>8093441726</v>
      </c>
      <c r="M92" s="55" t="s">
        <v>1737</v>
      </c>
    </row>
    <row r="93" spans="1:13" x14ac:dyDescent="0.25">
      <c r="A93" s="53" t="s">
        <v>12</v>
      </c>
      <c r="B93" s="53" t="s">
        <v>13</v>
      </c>
      <c r="C93" s="53" t="s">
        <v>14</v>
      </c>
      <c r="D93" s="53" t="s">
        <v>95</v>
      </c>
      <c r="E93" s="53" t="s">
        <v>96</v>
      </c>
      <c r="F93" s="53" t="s">
        <v>33</v>
      </c>
      <c r="G93" s="53">
        <v>7500</v>
      </c>
      <c r="H93" s="62">
        <v>46072</v>
      </c>
      <c r="I93" s="61" t="s">
        <v>1483</v>
      </c>
      <c r="J93" s="61" t="s">
        <v>1484</v>
      </c>
      <c r="K93" s="53">
        <v>352507314</v>
      </c>
      <c r="L93" s="53">
        <v>8159025834</v>
      </c>
      <c r="M93" s="55" t="s">
        <v>1736</v>
      </c>
    </row>
    <row r="94" spans="1:13" x14ac:dyDescent="0.25">
      <c r="A94" s="53" t="s">
        <v>12</v>
      </c>
      <c r="B94" s="53" t="s">
        <v>13</v>
      </c>
      <c r="C94" s="53" t="s">
        <v>14</v>
      </c>
      <c r="D94" s="53" t="s">
        <v>993</v>
      </c>
      <c r="E94" s="69">
        <v>50100683547664</v>
      </c>
      <c r="F94" s="60" t="s">
        <v>994</v>
      </c>
      <c r="G94" s="53">
        <v>1000</v>
      </c>
      <c r="H94" s="62">
        <v>46073</v>
      </c>
      <c r="I94" s="61" t="s">
        <v>1497</v>
      </c>
      <c r="J94" s="61" t="s">
        <v>1498</v>
      </c>
      <c r="K94" s="53">
        <v>352507405</v>
      </c>
      <c r="L94" s="60">
        <v>8093441726</v>
      </c>
      <c r="M94" s="55" t="s">
        <v>1739</v>
      </c>
    </row>
    <row r="95" spans="1:13" x14ac:dyDescent="0.25">
      <c r="A95" s="53" t="s">
        <v>12</v>
      </c>
      <c r="B95" s="53" t="s">
        <v>13</v>
      </c>
      <c r="C95" s="53" t="s">
        <v>14</v>
      </c>
      <c r="D95" s="53" t="s">
        <v>95</v>
      </c>
      <c r="E95" s="53" t="s">
        <v>96</v>
      </c>
      <c r="F95" s="53" t="s">
        <v>33</v>
      </c>
      <c r="G95" s="53">
        <v>1000</v>
      </c>
      <c r="H95" s="62">
        <v>46073</v>
      </c>
      <c r="I95" s="61" t="s">
        <v>1483</v>
      </c>
      <c r="J95" s="61" t="s">
        <v>1484</v>
      </c>
      <c r="K95" s="53">
        <v>352507404</v>
      </c>
      <c r="L95" s="53">
        <v>8159025834</v>
      </c>
      <c r="M95" s="55" t="s">
        <v>1739</v>
      </c>
    </row>
    <row r="96" spans="1:13" x14ac:dyDescent="0.25">
      <c r="A96" s="53" t="s">
        <v>12</v>
      </c>
      <c r="B96" s="53" t="s">
        <v>13</v>
      </c>
      <c r="C96" s="53" t="s">
        <v>14</v>
      </c>
      <c r="D96" s="53" t="s">
        <v>1406</v>
      </c>
      <c r="E96" s="69">
        <v>645602010014653</v>
      </c>
      <c r="F96" s="53" t="s">
        <v>1407</v>
      </c>
      <c r="G96" s="53">
        <v>1000</v>
      </c>
      <c r="H96" s="62">
        <v>46073</v>
      </c>
      <c r="I96" s="53" t="s">
        <v>903</v>
      </c>
      <c r="J96" s="53" t="s">
        <v>904</v>
      </c>
      <c r="K96" s="53">
        <v>352507409</v>
      </c>
      <c r="L96" s="53">
        <v>8084480157</v>
      </c>
      <c r="M96" s="55" t="s">
        <v>1739</v>
      </c>
    </row>
    <row r="97" spans="1:13" x14ac:dyDescent="0.25">
      <c r="A97" s="53" t="s">
        <v>12</v>
      </c>
      <c r="B97" s="53" t="s">
        <v>13</v>
      </c>
      <c r="C97" s="53" t="s">
        <v>14</v>
      </c>
      <c r="D97" s="53" t="s">
        <v>993</v>
      </c>
      <c r="E97" s="69">
        <v>50100683547664</v>
      </c>
      <c r="F97" s="60" t="s">
        <v>994</v>
      </c>
      <c r="G97" s="53">
        <v>2000</v>
      </c>
      <c r="H97" s="62">
        <v>46073</v>
      </c>
      <c r="I97" s="61" t="s">
        <v>1497</v>
      </c>
      <c r="J97" s="61" t="s">
        <v>1498</v>
      </c>
      <c r="K97" s="53">
        <v>352507414</v>
      </c>
      <c r="L97" s="60">
        <v>8093441726</v>
      </c>
      <c r="M97" s="55" t="s">
        <v>1740</v>
      </c>
    </row>
    <row r="98" spans="1:13" x14ac:dyDescent="0.25">
      <c r="A98" s="53" t="s">
        <v>12</v>
      </c>
      <c r="B98" s="53" t="s">
        <v>13</v>
      </c>
      <c r="C98" s="53" t="s">
        <v>14</v>
      </c>
      <c r="D98" s="53" t="s">
        <v>343</v>
      </c>
      <c r="E98" s="54">
        <v>37223550583</v>
      </c>
      <c r="F98" s="53" t="s">
        <v>33</v>
      </c>
      <c r="G98" s="53">
        <v>800</v>
      </c>
      <c r="H98" s="62">
        <v>46073</v>
      </c>
      <c r="I98" s="61" t="s">
        <v>895</v>
      </c>
      <c r="J98" s="61" t="s">
        <v>896</v>
      </c>
      <c r="K98" s="53">
        <v>352507413</v>
      </c>
      <c r="L98" s="53">
        <v>9031258705</v>
      </c>
      <c r="M98" s="55" t="s">
        <v>1741</v>
      </c>
    </row>
    <row r="99" spans="1:13" x14ac:dyDescent="0.25">
      <c r="A99" s="53" t="s">
        <v>12</v>
      </c>
      <c r="B99" s="53" t="s">
        <v>13</v>
      </c>
      <c r="C99" s="53" t="s">
        <v>14</v>
      </c>
      <c r="D99" s="53" t="s">
        <v>144</v>
      </c>
      <c r="E99" s="53">
        <v>44182579159</v>
      </c>
      <c r="F99" s="53" t="s">
        <v>145</v>
      </c>
      <c r="G99" s="53">
        <v>5200</v>
      </c>
      <c r="H99" s="62">
        <v>46073</v>
      </c>
      <c r="I99" s="53" t="s">
        <v>593</v>
      </c>
      <c r="J99" s="53" t="s">
        <v>76</v>
      </c>
      <c r="K99" s="53">
        <v>352507375</v>
      </c>
      <c r="L99" s="53">
        <v>7765824237</v>
      </c>
      <c r="M99" s="55" t="s">
        <v>1742</v>
      </c>
    </row>
    <row r="100" spans="1:13" x14ac:dyDescent="0.25">
      <c r="A100" s="53" t="s">
        <v>12</v>
      </c>
      <c r="B100" s="53" t="s">
        <v>13</v>
      </c>
      <c r="C100" s="53" t="s">
        <v>14</v>
      </c>
      <c r="D100" s="53" t="s">
        <v>343</v>
      </c>
      <c r="E100" s="54">
        <v>37223550583</v>
      </c>
      <c r="F100" s="53" t="s">
        <v>33</v>
      </c>
      <c r="G100" s="53">
        <v>1900</v>
      </c>
      <c r="H100" s="62">
        <v>46073</v>
      </c>
      <c r="I100" s="61" t="s">
        <v>895</v>
      </c>
      <c r="J100" s="61" t="s">
        <v>896</v>
      </c>
      <c r="K100" s="53">
        <v>352507413</v>
      </c>
      <c r="L100" s="53">
        <v>9031258705</v>
      </c>
      <c r="M100" s="55" t="s">
        <v>1743</v>
      </c>
    </row>
    <row r="101" spans="1:13" x14ac:dyDescent="0.25">
      <c r="A101" s="53" t="s">
        <v>12</v>
      </c>
      <c r="B101" s="53" t="s">
        <v>13</v>
      </c>
      <c r="C101" s="53" t="s">
        <v>14</v>
      </c>
      <c r="D101" s="53" t="s">
        <v>343</v>
      </c>
      <c r="E101" s="54">
        <v>37223550583</v>
      </c>
      <c r="F101" s="53" t="s">
        <v>33</v>
      </c>
      <c r="G101" s="53">
        <v>5200</v>
      </c>
      <c r="H101" s="62">
        <v>46073</v>
      </c>
      <c r="I101" s="61" t="s">
        <v>895</v>
      </c>
      <c r="J101" s="61" t="s">
        <v>896</v>
      </c>
      <c r="K101" s="53">
        <v>352507413</v>
      </c>
      <c r="L101" s="53">
        <v>9031258705</v>
      </c>
      <c r="M101" s="55" t="s">
        <v>1744</v>
      </c>
    </row>
    <row r="102" spans="1:13" x14ac:dyDescent="0.25">
      <c r="A102" s="53" t="s">
        <v>12</v>
      </c>
      <c r="B102" s="53" t="s">
        <v>13</v>
      </c>
      <c r="C102" s="53" t="s">
        <v>14</v>
      </c>
      <c r="D102" s="53" t="s">
        <v>993</v>
      </c>
      <c r="E102" s="69">
        <v>50100683547664</v>
      </c>
      <c r="F102" s="60" t="s">
        <v>994</v>
      </c>
      <c r="G102" s="53">
        <v>1900</v>
      </c>
      <c r="H102" s="62">
        <v>46073</v>
      </c>
      <c r="I102" s="61" t="s">
        <v>1497</v>
      </c>
      <c r="J102" s="61" t="s">
        <v>1498</v>
      </c>
      <c r="K102" s="53">
        <v>352507414</v>
      </c>
      <c r="L102" s="60">
        <v>8093441726</v>
      </c>
      <c r="M102" s="55" t="s">
        <v>1743</v>
      </c>
    </row>
    <row r="103" spans="1:13" x14ac:dyDescent="0.25">
      <c r="A103" s="53" t="s">
        <v>12</v>
      </c>
      <c r="B103" s="53" t="s">
        <v>13</v>
      </c>
      <c r="C103" s="53" t="s">
        <v>14</v>
      </c>
      <c r="D103" s="53" t="s">
        <v>993</v>
      </c>
      <c r="E103" s="69">
        <v>50100683547664</v>
      </c>
      <c r="F103" s="60" t="s">
        <v>994</v>
      </c>
      <c r="G103" s="53">
        <v>4950</v>
      </c>
      <c r="H103" s="62">
        <v>46073</v>
      </c>
      <c r="I103" s="61" t="s">
        <v>1497</v>
      </c>
      <c r="J103" s="61" t="s">
        <v>1498</v>
      </c>
      <c r="K103" s="53">
        <v>352507414</v>
      </c>
      <c r="L103" s="60">
        <v>8093441726</v>
      </c>
      <c r="M103" s="55" t="s">
        <v>1745</v>
      </c>
    </row>
    <row r="104" spans="1:13" x14ac:dyDescent="0.25">
      <c r="A104" s="53" t="s">
        <v>12</v>
      </c>
      <c r="B104" s="53" t="s">
        <v>13</v>
      </c>
      <c r="C104" s="53" t="s">
        <v>14</v>
      </c>
      <c r="D104" s="53" t="s">
        <v>36</v>
      </c>
      <c r="E104" s="53" t="s">
        <v>37</v>
      </c>
      <c r="F104" s="53" t="s">
        <v>38</v>
      </c>
      <c r="G104" s="53">
        <v>1000</v>
      </c>
      <c r="H104" s="62">
        <v>46073</v>
      </c>
      <c r="I104" s="53" t="s">
        <v>902</v>
      </c>
      <c r="J104" s="53" t="s">
        <v>901</v>
      </c>
      <c r="K104" s="53">
        <v>352507359</v>
      </c>
      <c r="L104" s="53">
        <v>9358936441</v>
      </c>
      <c r="M104" s="77" t="s">
        <v>1813</v>
      </c>
    </row>
    <row r="105" spans="1:13" x14ac:dyDescent="0.25">
      <c r="A105" s="53" t="s">
        <v>12</v>
      </c>
      <c r="B105" s="53" t="s">
        <v>13</v>
      </c>
      <c r="C105" s="53" t="s">
        <v>14</v>
      </c>
      <c r="D105" s="53" t="s">
        <v>435</v>
      </c>
      <c r="E105" s="53">
        <v>31095925572</v>
      </c>
      <c r="F105" s="60" t="s">
        <v>33</v>
      </c>
      <c r="G105" s="53">
        <v>1000</v>
      </c>
      <c r="H105" s="62">
        <v>46074</v>
      </c>
      <c r="I105" s="61" t="s">
        <v>1485</v>
      </c>
      <c r="J105" s="61" t="s">
        <v>1486</v>
      </c>
      <c r="K105" s="53">
        <v>352507449</v>
      </c>
      <c r="L105" s="60">
        <v>8084080392</v>
      </c>
      <c r="M105" s="55" t="s">
        <v>1746</v>
      </c>
    </row>
    <row r="106" spans="1:13" x14ac:dyDescent="0.25">
      <c r="A106" s="53" t="s">
        <v>12</v>
      </c>
      <c r="B106" s="53" t="s">
        <v>13</v>
      </c>
      <c r="C106" s="53" t="s">
        <v>14</v>
      </c>
      <c r="D106" s="53" t="s">
        <v>95</v>
      </c>
      <c r="E106" s="53" t="s">
        <v>96</v>
      </c>
      <c r="F106" s="53" t="s">
        <v>33</v>
      </c>
      <c r="G106" s="53">
        <v>4950</v>
      </c>
      <c r="H106" s="62">
        <v>46074</v>
      </c>
      <c r="I106" s="61" t="s">
        <v>1483</v>
      </c>
      <c r="J106" s="61" t="s">
        <v>1484</v>
      </c>
      <c r="K106" s="53">
        <v>352507404</v>
      </c>
      <c r="L106" s="53">
        <v>8159025834</v>
      </c>
      <c r="M106" s="55" t="s">
        <v>1751</v>
      </c>
    </row>
    <row r="107" spans="1:13" x14ac:dyDescent="0.25">
      <c r="A107" s="53" t="s">
        <v>12</v>
      </c>
      <c r="B107" s="53" t="s">
        <v>13</v>
      </c>
      <c r="C107" s="53" t="s">
        <v>14</v>
      </c>
      <c r="D107" s="53" t="s">
        <v>343</v>
      </c>
      <c r="E107" s="54">
        <v>37223550583</v>
      </c>
      <c r="F107" s="53" t="s">
        <v>33</v>
      </c>
      <c r="G107" s="53">
        <v>5200</v>
      </c>
      <c r="H107" s="62">
        <v>46074</v>
      </c>
      <c r="I107" s="61" t="s">
        <v>895</v>
      </c>
      <c r="J107" s="61" t="s">
        <v>896</v>
      </c>
      <c r="K107" s="53">
        <v>352507456</v>
      </c>
      <c r="L107" s="53">
        <v>9031258705</v>
      </c>
      <c r="M107" s="55" t="s">
        <v>1747</v>
      </c>
    </row>
    <row r="108" spans="1:13" x14ac:dyDescent="0.25">
      <c r="A108" s="53" t="s">
        <v>12</v>
      </c>
      <c r="B108" s="53" t="s">
        <v>13</v>
      </c>
      <c r="C108" s="53" t="s">
        <v>14</v>
      </c>
      <c r="D108" s="53" t="s">
        <v>36</v>
      </c>
      <c r="E108" s="53" t="s">
        <v>37</v>
      </c>
      <c r="F108" s="53" t="s">
        <v>38</v>
      </c>
      <c r="G108" s="53">
        <v>1000</v>
      </c>
      <c r="H108" s="62">
        <v>46074</v>
      </c>
      <c r="I108" s="53" t="s">
        <v>902</v>
      </c>
      <c r="J108" s="53" t="s">
        <v>901</v>
      </c>
      <c r="K108" s="53">
        <v>352507469</v>
      </c>
      <c r="L108" s="53">
        <v>9358936441</v>
      </c>
      <c r="M108" s="55" t="s">
        <v>1750</v>
      </c>
    </row>
    <row r="109" spans="1:13" x14ac:dyDescent="0.25">
      <c r="A109" s="53" t="s">
        <v>12</v>
      </c>
      <c r="B109" s="53" t="s">
        <v>13</v>
      </c>
      <c r="C109" s="53" t="s">
        <v>14</v>
      </c>
      <c r="D109" s="53" t="s">
        <v>36</v>
      </c>
      <c r="E109" s="53" t="s">
        <v>37</v>
      </c>
      <c r="F109" s="53" t="s">
        <v>38</v>
      </c>
      <c r="G109" s="53">
        <v>700</v>
      </c>
      <c r="H109" s="62">
        <v>46074</v>
      </c>
      <c r="I109" s="53" t="s">
        <v>902</v>
      </c>
      <c r="J109" s="53" t="s">
        <v>901</v>
      </c>
      <c r="K109" s="53">
        <v>352507470</v>
      </c>
      <c r="L109" s="53">
        <v>9358936441</v>
      </c>
      <c r="M109" s="55" t="s">
        <v>1750</v>
      </c>
    </row>
    <row r="110" spans="1:13" x14ac:dyDescent="0.25">
      <c r="A110" s="53" t="s">
        <v>12</v>
      </c>
      <c r="B110" s="53" t="s">
        <v>13</v>
      </c>
      <c r="C110" s="53" t="s">
        <v>14</v>
      </c>
      <c r="D110" s="53" t="s">
        <v>36</v>
      </c>
      <c r="E110" s="53" t="s">
        <v>37</v>
      </c>
      <c r="F110" s="53" t="s">
        <v>38</v>
      </c>
      <c r="G110" s="53">
        <v>700</v>
      </c>
      <c r="H110" s="62">
        <v>46074</v>
      </c>
      <c r="I110" s="53" t="s">
        <v>902</v>
      </c>
      <c r="J110" s="53" t="s">
        <v>901</v>
      </c>
      <c r="K110" s="53">
        <v>352507471</v>
      </c>
      <c r="L110" s="53">
        <v>9358936441</v>
      </c>
      <c r="M110" s="55" t="s">
        <v>1750</v>
      </c>
    </row>
    <row r="111" spans="1:13" x14ac:dyDescent="0.25">
      <c r="A111" s="53" t="s">
        <v>12</v>
      </c>
      <c r="B111" s="53" t="s">
        <v>13</v>
      </c>
      <c r="C111" s="53" t="s">
        <v>14</v>
      </c>
      <c r="D111" s="53" t="s">
        <v>36</v>
      </c>
      <c r="E111" s="53" t="s">
        <v>37</v>
      </c>
      <c r="F111" s="53" t="s">
        <v>38</v>
      </c>
      <c r="G111" s="53">
        <v>3500</v>
      </c>
      <c r="H111" s="62">
        <v>46074</v>
      </c>
      <c r="I111" s="53" t="s">
        <v>902</v>
      </c>
      <c r="J111" s="53" t="s">
        <v>901</v>
      </c>
      <c r="K111" s="53">
        <v>352507471</v>
      </c>
      <c r="L111" s="53">
        <v>9358936441</v>
      </c>
      <c r="M111" s="55" t="s">
        <v>1748</v>
      </c>
    </row>
    <row r="112" spans="1:13" x14ac:dyDescent="0.25">
      <c r="A112" s="53" t="s">
        <v>12</v>
      </c>
      <c r="B112" s="53" t="s">
        <v>13</v>
      </c>
      <c r="C112" s="53" t="s">
        <v>14</v>
      </c>
      <c r="D112" s="53" t="s">
        <v>1406</v>
      </c>
      <c r="E112" s="69">
        <v>645602010014653</v>
      </c>
      <c r="F112" s="53" t="s">
        <v>1407</v>
      </c>
      <c r="G112" s="53">
        <v>5450</v>
      </c>
      <c r="H112" s="62">
        <v>46074</v>
      </c>
      <c r="I112" s="53" t="s">
        <v>903</v>
      </c>
      <c r="J112" s="53" t="s">
        <v>904</v>
      </c>
      <c r="K112" s="53">
        <v>352507409</v>
      </c>
      <c r="L112" s="53">
        <v>8084480157</v>
      </c>
      <c r="M112" s="55" t="s">
        <v>1749</v>
      </c>
    </row>
    <row r="113" spans="1:13" x14ac:dyDescent="0.25">
      <c r="A113" s="53" t="s">
        <v>12</v>
      </c>
      <c r="B113" s="53" t="s">
        <v>13</v>
      </c>
      <c r="C113" s="53" t="s">
        <v>14</v>
      </c>
      <c r="D113" s="53" t="s">
        <v>48</v>
      </c>
      <c r="E113" s="53" t="s">
        <v>49</v>
      </c>
      <c r="F113" s="53" t="s">
        <v>50</v>
      </c>
      <c r="G113" s="53">
        <v>1000</v>
      </c>
      <c r="H113" s="62">
        <v>46076</v>
      </c>
      <c r="I113" s="53" t="s">
        <v>1519</v>
      </c>
      <c r="J113" s="53" t="s">
        <v>1520</v>
      </c>
      <c r="K113" s="53">
        <v>352507318</v>
      </c>
      <c r="L113" s="53">
        <v>8520078561</v>
      </c>
      <c r="M113" s="55" t="s">
        <v>1754</v>
      </c>
    </row>
    <row r="114" spans="1:13" x14ac:dyDescent="0.25">
      <c r="A114" s="53" t="s">
        <v>12</v>
      </c>
      <c r="B114" s="53" t="s">
        <v>13</v>
      </c>
      <c r="C114" s="53" t="s">
        <v>14</v>
      </c>
      <c r="D114" s="53" t="s">
        <v>48</v>
      </c>
      <c r="E114" s="53" t="s">
        <v>49</v>
      </c>
      <c r="F114" s="53" t="s">
        <v>50</v>
      </c>
      <c r="G114" s="53">
        <v>5450</v>
      </c>
      <c r="H114" s="62">
        <v>46076</v>
      </c>
      <c r="I114" s="53" t="s">
        <v>1519</v>
      </c>
      <c r="J114" s="53" t="s">
        <v>1520</v>
      </c>
      <c r="K114" s="53">
        <v>352507318</v>
      </c>
      <c r="L114" s="53">
        <v>8520078561</v>
      </c>
      <c r="M114" s="55" t="s">
        <v>1752</v>
      </c>
    </row>
    <row r="115" spans="1:13" x14ac:dyDescent="0.25">
      <c r="A115" s="53" t="s">
        <v>12</v>
      </c>
      <c r="B115" s="53" t="s">
        <v>13</v>
      </c>
      <c r="C115" s="53" t="s">
        <v>14</v>
      </c>
      <c r="D115" s="53" t="s">
        <v>144</v>
      </c>
      <c r="E115" s="53">
        <v>44182579159</v>
      </c>
      <c r="F115" s="53" t="s">
        <v>145</v>
      </c>
      <c r="G115" s="53">
        <v>5450</v>
      </c>
      <c r="H115" s="62">
        <v>46076</v>
      </c>
      <c r="I115" s="53" t="s">
        <v>593</v>
      </c>
      <c r="J115" s="53" t="s">
        <v>76</v>
      </c>
      <c r="K115" s="53">
        <v>352507455</v>
      </c>
      <c r="L115" s="53">
        <v>7765824237</v>
      </c>
      <c r="M115" s="55" t="s">
        <v>1752</v>
      </c>
    </row>
    <row r="116" spans="1:13" x14ac:dyDescent="0.25">
      <c r="A116" s="53" t="s">
        <v>12</v>
      </c>
      <c r="B116" s="53" t="s">
        <v>13</v>
      </c>
      <c r="C116" s="53" t="s">
        <v>14</v>
      </c>
      <c r="D116" s="53" t="s">
        <v>993</v>
      </c>
      <c r="E116" s="69">
        <v>50100683547664</v>
      </c>
      <c r="F116" s="60" t="s">
        <v>994</v>
      </c>
      <c r="G116" s="53">
        <v>3950</v>
      </c>
      <c r="H116" s="62">
        <v>46076</v>
      </c>
      <c r="I116" s="61" t="s">
        <v>1497</v>
      </c>
      <c r="J116" s="61" t="s">
        <v>1498</v>
      </c>
      <c r="K116" s="53">
        <v>352507458</v>
      </c>
      <c r="L116" s="60">
        <v>8093441726</v>
      </c>
      <c r="M116" s="55" t="s">
        <v>1756</v>
      </c>
    </row>
    <row r="117" spans="1:13" x14ac:dyDescent="0.25">
      <c r="A117" s="53" t="s">
        <v>12</v>
      </c>
      <c r="B117" s="53" t="s">
        <v>13</v>
      </c>
      <c r="C117" s="53" t="s">
        <v>14</v>
      </c>
      <c r="D117" s="53" t="s">
        <v>1610</v>
      </c>
      <c r="E117" s="53">
        <v>33067706253</v>
      </c>
      <c r="F117" s="53" t="s">
        <v>1611</v>
      </c>
      <c r="G117" s="53">
        <v>1000</v>
      </c>
      <c r="H117" s="62">
        <v>46076</v>
      </c>
      <c r="I117" s="53" t="s">
        <v>1513</v>
      </c>
      <c r="J117" s="53" t="s">
        <v>1495</v>
      </c>
      <c r="K117" s="53">
        <v>352507497</v>
      </c>
      <c r="L117" s="53">
        <v>6381535643</v>
      </c>
      <c r="M117" s="55" t="s">
        <v>1755</v>
      </c>
    </row>
    <row r="118" spans="1:13" x14ac:dyDescent="0.25">
      <c r="A118" s="53" t="s">
        <v>12</v>
      </c>
      <c r="B118" s="53" t="s">
        <v>13</v>
      </c>
      <c r="C118" s="53" t="s">
        <v>14</v>
      </c>
      <c r="D118" s="53" t="s">
        <v>1610</v>
      </c>
      <c r="E118" s="53">
        <v>33067706253</v>
      </c>
      <c r="F118" s="53" t="s">
        <v>1611</v>
      </c>
      <c r="G118" s="53">
        <v>5200</v>
      </c>
      <c r="H118" s="62">
        <v>46076</v>
      </c>
      <c r="I118" s="53" t="s">
        <v>1513</v>
      </c>
      <c r="J118" s="53" t="s">
        <v>1495</v>
      </c>
      <c r="K118" s="53">
        <v>352507497</v>
      </c>
      <c r="L118" s="53">
        <v>6381535643</v>
      </c>
      <c r="M118" s="55" t="s">
        <v>1753</v>
      </c>
    </row>
    <row r="119" spans="1:13" x14ac:dyDescent="0.25">
      <c r="A119" s="53" t="s">
        <v>12</v>
      </c>
      <c r="B119" s="53" t="s">
        <v>13</v>
      </c>
      <c r="C119" s="53" t="s">
        <v>14</v>
      </c>
      <c r="D119" s="53" t="s">
        <v>36</v>
      </c>
      <c r="E119" s="53" t="s">
        <v>37</v>
      </c>
      <c r="F119" s="53" t="s">
        <v>38</v>
      </c>
      <c r="G119" s="53">
        <v>5450</v>
      </c>
      <c r="H119" s="62">
        <v>46077</v>
      </c>
      <c r="I119" s="53" t="s">
        <v>902</v>
      </c>
      <c r="J119" s="53" t="s">
        <v>901</v>
      </c>
      <c r="K119" s="53">
        <v>352507488</v>
      </c>
      <c r="L119" s="53">
        <v>9358936441</v>
      </c>
      <c r="M119" s="55" t="s">
        <v>1757</v>
      </c>
    </row>
    <row r="120" spans="1:13" x14ac:dyDescent="0.25">
      <c r="A120" s="53" t="s">
        <v>12</v>
      </c>
      <c r="B120" s="53" t="s">
        <v>13</v>
      </c>
      <c r="C120" s="53" t="s">
        <v>14</v>
      </c>
      <c r="D120" s="53" t="s">
        <v>1406</v>
      </c>
      <c r="E120" s="69">
        <v>645602010014653</v>
      </c>
      <c r="F120" s="53" t="s">
        <v>1407</v>
      </c>
      <c r="G120" s="53">
        <v>5450</v>
      </c>
      <c r="H120" s="62">
        <v>46077</v>
      </c>
      <c r="I120" s="53" t="s">
        <v>903</v>
      </c>
      <c r="J120" s="53" t="s">
        <v>904</v>
      </c>
      <c r="K120" s="53">
        <v>352507487</v>
      </c>
      <c r="L120" s="53">
        <v>8084480157</v>
      </c>
      <c r="M120" s="55" t="s">
        <v>1757</v>
      </c>
    </row>
    <row r="121" spans="1:13" x14ac:dyDescent="0.25">
      <c r="A121" s="53" t="s">
        <v>12</v>
      </c>
      <c r="B121" s="53" t="s">
        <v>13</v>
      </c>
      <c r="C121" s="53" t="s">
        <v>14</v>
      </c>
      <c r="D121" s="53" t="s">
        <v>48</v>
      </c>
      <c r="E121" s="53" t="s">
        <v>49</v>
      </c>
      <c r="F121" s="53" t="s">
        <v>50</v>
      </c>
      <c r="G121" s="53">
        <v>1500</v>
      </c>
      <c r="H121" s="62">
        <v>46077</v>
      </c>
      <c r="I121" s="53" t="s">
        <v>1519</v>
      </c>
      <c r="J121" s="53" t="s">
        <v>1520</v>
      </c>
      <c r="K121" s="53">
        <v>352507542</v>
      </c>
      <c r="L121" s="53">
        <v>8520078561</v>
      </c>
      <c r="M121" s="55" t="s">
        <v>1758</v>
      </c>
    </row>
    <row r="122" spans="1:13" x14ac:dyDescent="0.25">
      <c r="A122" s="53" t="s">
        <v>12</v>
      </c>
      <c r="B122" s="53" t="s">
        <v>13</v>
      </c>
      <c r="C122" s="53" t="s">
        <v>14</v>
      </c>
      <c r="D122" s="53" t="s">
        <v>993</v>
      </c>
      <c r="E122" s="69">
        <v>50100683547664</v>
      </c>
      <c r="F122" s="60" t="s">
        <v>994</v>
      </c>
      <c r="G122" s="53">
        <v>1500</v>
      </c>
      <c r="H122" s="62">
        <v>46077</v>
      </c>
      <c r="I122" s="61" t="s">
        <v>1497</v>
      </c>
      <c r="J122" s="61" t="s">
        <v>1498</v>
      </c>
      <c r="K122" s="53">
        <v>352507541</v>
      </c>
      <c r="L122" s="60">
        <v>8093441726</v>
      </c>
      <c r="M122" s="55" t="s">
        <v>1758</v>
      </c>
    </row>
    <row r="123" spans="1:13" x14ac:dyDescent="0.25">
      <c r="A123" s="53" t="s">
        <v>12</v>
      </c>
      <c r="B123" s="53" t="s">
        <v>13</v>
      </c>
      <c r="C123" s="53" t="s">
        <v>14</v>
      </c>
      <c r="D123" s="53" t="s">
        <v>435</v>
      </c>
      <c r="E123" s="53">
        <v>31095925572</v>
      </c>
      <c r="F123" s="60" t="s">
        <v>33</v>
      </c>
      <c r="G123" s="53">
        <v>5450</v>
      </c>
      <c r="H123" s="62">
        <v>46077</v>
      </c>
      <c r="I123" s="61" t="s">
        <v>1485</v>
      </c>
      <c r="J123" s="61" t="s">
        <v>1486</v>
      </c>
      <c r="K123" s="53">
        <v>352507486</v>
      </c>
      <c r="L123" s="60">
        <v>8084080392</v>
      </c>
      <c r="M123" s="55" t="s">
        <v>1757</v>
      </c>
    </row>
    <row r="124" spans="1:13" x14ac:dyDescent="0.25">
      <c r="A124" s="53" t="s">
        <v>12</v>
      </c>
      <c r="B124" s="53" t="s">
        <v>13</v>
      </c>
      <c r="C124" s="53" t="s">
        <v>14</v>
      </c>
      <c r="D124" s="53" t="s">
        <v>343</v>
      </c>
      <c r="E124" s="54">
        <v>37223550583</v>
      </c>
      <c r="F124" s="53" t="s">
        <v>33</v>
      </c>
      <c r="G124" s="53">
        <v>3950</v>
      </c>
      <c r="H124" s="62">
        <v>46077</v>
      </c>
      <c r="I124" s="61" t="s">
        <v>895</v>
      </c>
      <c r="J124" s="61" t="s">
        <v>896</v>
      </c>
      <c r="K124" s="53">
        <v>352507482</v>
      </c>
      <c r="L124" s="53">
        <v>9031258705</v>
      </c>
      <c r="M124" s="55" t="s">
        <v>1757</v>
      </c>
    </row>
    <row r="125" spans="1:13" x14ac:dyDescent="0.25">
      <c r="A125" s="53" t="s">
        <v>12</v>
      </c>
      <c r="B125" s="53" t="s">
        <v>13</v>
      </c>
      <c r="C125" s="53" t="s">
        <v>14</v>
      </c>
      <c r="D125" s="53" t="s">
        <v>95</v>
      </c>
      <c r="E125" s="53" t="s">
        <v>96</v>
      </c>
      <c r="F125" s="53" t="s">
        <v>33</v>
      </c>
      <c r="G125" s="53">
        <v>5200</v>
      </c>
      <c r="H125" s="62">
        <v>46077</v>
      </c>
      <c r="I125" s="61" t="s">
        <v>1483</v>
      </c>
      <c r="J125" s="61" t="s">
        <v>1484</v>
      </c>
      <c r="K125" s="53">
        <v>352507480</v>
      </c>
      <c r="L125" s="53">
        <v>8159025834</v>
      </c>
      <c r="M125" s="55" t="s">
        <v>1759</v>
      </c>
    </row>
    <row r="126" spans="1:13" x14ac:dyDescent="0.25">
      <c r="A126" s="53" t="s">
        <v>12</v>
      </c>
      <c r="B126" s="53" t="s">
        <v>13</v>
      </c>
      <c r="C126" s="53" t="s">
        <v>14</v>
      </c>
      <c r="D126" s="53" t="s">
        <v>48</v>
      </c>
      <c r="E126" s="53" t="s">
        <v>49</v>
      </c>
      <c r="F126" s="53" t="s">
        <v>50</v>
      </c>
      <c r="G126" s="53">
        <v>7500</v>
      </c>
      <c r="H126" s="62">
        <v>46077</v>
      </c>
      <c r="I126" s="53" t="s">
        <v>1519</v>
      </c>
      <c r="J126" s="53" t="s">
        <v>1520</v>
      </c>
      <c r="K126" s="53">
        <v>352507532</v>
      </c>
      <c r="L126" s="53">
        <v>8520078561</v>
      </c>
      <c r="M126" s="55" t="s">
        <v>1760</v>
      </c>
    </row>
    <row r="127" spans="1:13" x14ac:dyDescent="0.25">
      <c r="A127" s="53" t="s">
        <v>12</v>
      </c>
      <c r="B127" s="53" t="s">
        <v>13</v>
      </c>
      <c r="C127" s="53" t="s">
        <v>14</v>
      </c>
      <c r="D127" s="53" t="s">
        <v>144</v>
      </c>
      <c r="E127" s="53">
        <v>44182579159</v>
      </c>
      <c r="F127" s="53" t="s">
        <v>145</v>
      </c>
      <c r="G127" s="53">
        <v>7500</v>
      </c>
      <c r="H127" s="62">
        <v>46077</v>
      </c>
      <c r="I127" s="53" t="s">
        <v>593</v>
      </c>
      <c r="J127" s="53" t="s">
        <v>76</v>
      </c>
      <c r="K127" s="53">
        <v>352507531</v>
      </c>
      <c r="L127" s="53">
        <v>7765824237</v>
      </c>
      <c r="M127" s="55" t="s">
        <v>1760</v>
      </c>
    </row>
    <row r="128" spans="1:13" x14ac:dyDescent="0.25">
      <c r="A128" s="53" t="s">
        <v>12</v>
      </c>
      <c r="B128" s="53" t="s">
        <v>13</v>
      </c>
      <c r="C128" s="53" t="s">
        <v>14</v>
      </c>
      <c r="D128" s="53" t="s">
        <v>1610</v>
      </c>
      <c r="E128" s="53">
        <v>33067706253</v>
      </c>
      <c r="F128" s="53" t="s">
        <v>1611</v>
      </c>
      <c r="G128" s="53">
        <v>7500</v>
      </c>
      <c r="H128" s="62">
        <v>46077</v>
      </c>
      <c r="I128" s="53" t="s">
        <v>1513</v>
      </c>
      <c r="J128" s="53" t="s">
        <v>1495</v>
      </c>
      <c r="K128" s="53">
        <v>352507525</v>
      </c>
      <c r="L128" s="53">
        <v>6381535643</v>
      </c>
      <c r="M128" s="55" t="s">
        <v>1761</v>
      </c>
    </row>
    <row r="129" spans="1:13" x14ac:dyDescent="0.25">
      <c r="A129" s="53" t="s">
        <v>12</v>
      </c>
      <c r="B129" s="53" t="s">
        <v>13</v>
      </c>
      <c r="C129" s="53" t="s">
        <v>14</v>
      </c>
      <c r="D129" s="53" t="s">
        <v>993</v>
      </c>
      <c r="E129" s="69">
        <v>50100683547664</v>
      </c>
      <c r="F129" s="60" t="s">
        <v>994</v>
      </c>
      <c r="G129" s="53">
        <v>7500</v>
      </c>
      <c r="H129" s="62">
        <v>46077</v>
      </c>
      <c r="I129" s="61" t="s">
        <v>1497</v>
      </c>
      <c r="J129" s="61" t="s">
        <v>1498</v>
      </c>
      <c r="K129" s="53">
        <v>352507533</v>
      </c>
      <c r="L129" s="60">
        <v>8093441726</v>
      </c>
      <c r="M129" s="55" t="s">
        <v>1760</v>
      </c>
    </row>
    <row r="130" spans="1:13" x14ac:dyDescent="0.25">
      <c r="A130" s="53" t="s">
        <v>12</v>
      </c>
      <c r="B130" s="53" t="s">
        <v>13</v>
      </c>
      <c r="C130" s="53" t="s">
        <v>14</v>
      </c>
      <c r="D130" s="53" t="s">
        <v>36</v>
      </c>
      <c r="E130" s="53" t="s">
        <v>37</v>
      </c>
      <c r="F130" s="53" t="s">
        <v>38</v>
      </c>
      <c r="G130" s="53">
        <v>1500</v>
      </c>
      <c r="H130" s="62">
        <v>46078</v>
      </c>
      <c r="I130" s="53" t="s">
        <v>902</v>
      </c>
      <c r="J130" s="53" t="s">
        <v>901</v>
      </c>
      <c r="K130" s="53">
        <v>352507571</v>
      </c>
      <c r="L130" s="53">
        <v>9358936441</v>
      </c>
      <c r="M130" s="55" t="s">
        <v>1762</v>
      </c>
    </row>
    <row r="131" spans="1:13" x14ac:dyDescent="0.25">
      <c r="A131" s="53" t="s">
        <v>12</v>
      </c>
      <c r="B131" s="53" t="s">
        <v>13</v>
      </c>
      <c r="C131" s="53" t="s">
        <v>14</v>
      </c>
      <c r="D131" s="53" t="s">
        <v>1406</v>
      </c>
      <c r="E131" s="69">
        <v>645602010014653</v>
      </c>
      <c r="F131" s="53" t="s">
        <v>1407</v>
      </c>
      <c r="G131" s="53">
        <v>1500</v>
      </c>
      <c r="H131" s="62">
        <v>46078</v>
      </c>
      <c r="I131" s="53" t="s">
        <v>903</v>
      </c>
      <c r="J131" s="53" t="s">
        <v>904</v>
      </c>
      <c r="K131" s="53">
        <v>352507572</v>
      </c>
      <c r="L131" s="53">
        <v>8084480157</v>
      </c>
      <c r="M131" s="55" t="s">
        <v>1762</v>
      </c>
    </row>
    <row r="132" spans="1:13" x14ac:dyDescent="0.25">
      <c r="A132" s="53" t="s">
        <v>12</v>
      </c>
      <c r="B132" s="53" t="s">
        <v>13</v>
      </c>
      <c r="C132" s="53" t="s">
        <v>14</v>
      </c>
      <c r="D132" s="53" t="s">
        <v>36</v>
      </c>
      <c r="E132" s="53" t="s">
        <v>37</v>
      </c>
      <c r="F132" s="53" t="s">
        <v>38</v>
      </c>
      <c r="G132" s="53">
        <v>5450</v>
      </c>
      <c r="H132" s="62">
        <v>46078</v>
      </c>
      <c r="I132" s="53" t="s">
        <v>902</v>
      </c>
      <c r="J132" s="53" t="s">
        <v>901</v>
      </c>
      <c r="K132" s="53">
        <v>352507556</v>
      </c>
      <c r="L132" s="53">
        <v>9358936441</v>
      </c>
      <c r="M132" s="55" t="s">
        <v>1763</v>
      </c>
    </row>
    <row r="133" spans="1:13" x14ac:dyDescent="0.25">
      <c r="A133" s="53" t="s">
        <v>12</v>
      </c>
      <c r="B133" s="53" t="s">
        <v>13</v>
      </c>
      <c r="C133" s="53" t="s">
        <v>14</v>
      </c>
      <c r="D133" s="53" t="s">
        <v>1406</v>
      </c>
      <c r="E133" s="69">
        <v>645602010014653</v>
      </c>
      <c r="F133" s="53" t="s">
        <v>1407</v>
      </c>
      <c r="G133" s="53">
        <v>5450</v>
      </c>
      <c r="H133" s="62">
        <v>46078</v>
      </c>
      <c r="I133" s="53" t="s">
        <v>903</v>
      </c>
      <c r="J133" s="53" t="s">
        <v>904</v>
      </c>
      <c r="K133" s="53">
        <v>352507555</v>
      </c>
      <c r="L133" s="53">
        <v>8084480157</v>
      </c>
      <c r="M133" s="55" t="s">
        <v>1763</v>
      </c>
    </row>
    <row r="134" spans="1:13" x14ac:dyDescent="0.25">
      <c r="A134" s="53" t="s">
        <v>12</v>
      </c>
      <c r="B134" s="53" t="s">
        <v>13</v>
      </c>
      <c r="C134" s="53" t="s">
        <v>14</v>
      </c>
      <c r="D134" s="53" t="s">
        <v>435</v>
      </c>
      <c r="E134" s="53">
        <v>31095925572</v>
      </c>
      <c r="F134" s="60" t="s">
        <v>33</v>
      </c>
      <c r="G134" s="53">
        <v>5450</v>
      </c>
      <c r="H134" s="62">
        <v>46078</v>
      </c>
      <c r="I134" s="61" t="s">
        <v>1485</v>
      </c>
      <c r="J134" s="61" t="s">
        <v>1486</v>
      </c>
      <c r="K134" s="53">
        <v>352507553</v>
      </c>
      <c r="L134" s="60">
        <v>8084080392</v>
      </c>
      <c r="M134" s="55" t="s">
        <v>1763</v>
      </c>
    </row>
    <row r="135" spans="1:13" x14ac:dyDescent="0.25">
      <c r="A135" s="53" t="s">
        <v>12</v>
      </c>
      <c r="B135" s="53" t="s">
        <v>13</v>
      </c>
      <c r="C135" s="53" t="s">
        <v>14</v>
      </c>
      <c r="D135" s="53" t="s">
        <v>343</v>
      </c>
      <c r="E135" s="54">
        <v>37223550583</v>
      </c>
      <c r="F135" s="53" t="s">
        <v>33</v>
      </c>
      <c r="G135" s="53">
        <v>5450</v>
      </c>
      <c r="H135" s="62">
        <v>46078</v>
      </c>
      <c r="I135" s="61" t="s">
        <v>895</v>
      </c>
      <c r="J135" s="61" t="s">
        <v>896</v>
      </c>
      <c r="K135" s="53">
        <v>352507554</v>
      </c>
      <c r="L135" s="53">
        <v>9031258705</v>
      </c>
      <c r="M135" s="55" t="s">
        <v>1763</v>
      </c>
    </row>
    <row r="136" spans="1:13" x14ac:dyDescent="0.25">
      <c r="A136" s="53" t="s">
        <v>12</v>
      </c>
      <c r="B136" s="53" t="s">
        <v>13</v>
      </c>
      <c r="C136" s="53" t="s">
        <v>14</v>
      </c>
      <c r="D136" s="53" t="s">
        <v>95</v>
      </c>
      <c r="E136" s="53" t="s">
        <v>96</v>
      </c>
      <c r="F136" s="53" t="s">
        <v>33</v>
      </c>
      <c r="G136" s="53">
        <v>5450</v>
      </c>
      <c r="H136" s="62">
        <v>46079</v>
      </c>
      <c r="I136" s="61" t="s">
        <v>1483</v>
      </c>
      <c r="J136" s="61" t="s">
        <v>1484</v>
      </c>
      <c r="K136" s="53">
        <v>352507581</v>
      </c>
      <c r="L136" s="53">
        <v>8159025834</v>
      </c>
      <c r="M136" s="55" t="s">
        <v>1764</v>
      </c>
    </row>
    <row r="137" spans="1:13" x14ac:dyDescent="0.25">
      <c r="A137" s="53" t="s">
        <v>12</v>
      </c>
      <c r="B137" s="53" t="s">
        <v>13</v>
      </c>
      <c r="C137" s="53" t="s">
        <v>14</v>
      </c>
      <c r="D137" s="53" t="s">
        <v>435</v>
      </c>
      <c r="E137" s="53">
        <v>31095925572</v>
      </c>
      <c r="F137" s="60" t="s">
        <v>33</v>
      </c>
      <c r="G137" s="53">
        <v>5450</v>
      </c>
      <c r="H137" s="62">
        <v>46079</v>
      </c>
      <c r="I137" s="61" t="s">
        <v>1485</v>
      </c>
      <c r="J137" s="61" t="s">
        <v>1486</v>
      </c>
      <c r="K137" s="53">
        <v>352507553</v>
      </c>
      <c r="L137" s="60">
        <v>8084080392</v>
      </c>
      <c r="M137" s="55" t="s">
        <v>1764</v>
      </c>
    </row>
    <row r="138" spans="1:13" x14ac:dyDescent="0.25">
      <c r="A138" s="53" t="s">
        <v>12</v>
      </c>
      <c r="B138" s="53" t="s">
        <v>13</v>
      </c>
      <c r="C138" s="53" t="s">
        <v>14</v>
      </c>
      <c r="D138" s="53" t="s">
        <v>36</v>
      </c>
      <c r="E138" s="53" t="s">
        <v>37</v>
      </c>
      <c r="F138" s="53" t="s">
        <v>38</v>
      </c>
      <c r="G138" s="53">
        <v>5450</v>
      </c>
      <c r="H138" s="62">
        <v>46079</v>
      </c>
      <c r="I138" s="53" t="s">
        <v>902</v>
      </c>
      <c r="J138" s="53" t="s">
        <v>901</v>
      </c>
      <c r="K138" s="53">
        <v>352507571</v>
      </c>
      <c r="L138" s="53">
        <v>9358936441</v>
      </c>
      <c r="M138" s="55" t="s">
        <v>1764</v>
      </c>
    </row>
    <row r="139" spans="1:13" x14ac:dyDescent="0.25">
      <c r="A139" s="53" t="s">
        <v>12</v>
      </c>
      <c r="B139" s="53" t="s">
        <v>13</v>
      </c>
      <c r="C139" s="53" t="s">
        <v>14</v>
      </c>
      <c r="D139" s="53" t="s">
        <v>343</v>
      </c>
      <c r="E139" s="54">
        <v>37223550583</v>
      </c>
      <c r="F139" s="53" t="s">
        <v>33</v>
      </c>
      <c r="G139" s="53">
        <v>2000</v>
      </c>
      <c r="H139" s="62">
        <v>46079</v>
      </c>
      <c r="I139" s="61" t="s">
        <v>895</v>
      </c>
      <c r="J139" s="61" t="s">
        <v>896</v>
      </c>
      <c r="K139" s="53">
        <v>352507554</v>
      </c>
      <c r="L139" s="53">
        <v>9031258705</v>
      </c>
      <c r="M139" s="55" t="s">
        <v>1765</v>
      </c>
    </row>
    <row r="140" spans="1:13" x14ac:dyDescent="0.25">
      <c r="A140" s="53" t="s">
        <v>12</v>
      </c>
      <c r="B140" s="53" t="s">
        <v>13</v>
      </c>
      <c r="C140" s="53" t="s">
        <v>14</v>
      </c>
      <c r="D140" s="53" t="s">
        <v>1406</v>
      </c>
      <c r="E140" s="69">
        <v>645602010014653</v>
      </c>
      <c r="F140" s="53" t="s">
        <v>1407</v>
      </c>
      <c r="G140" s="53">
        <v>5200</v>
      </c>
      <c r="H140" s="62">
        <v>46079</v>
      </c>
      <c r="I140" s="53" t="s">
        <v>903</v>
      </c>
      <c r="J140" s="53" t="s">
        <v>904</v>
      </c>
      <c r="K140" s="53">
        <v>352507572</v>
      </c>
      <c r="L140" s="53">
        <v>8084480157</v>
      </c>
      <c r="M140" s="55" t="s">
        <v>1766</v>
      </c>
    </row>
    <row r="141" spans="1:13" x14ac:dyDescent="0.25">
      <c r="A141" s="53" t="s">
        <v>12</v>
      </c>
      <c r="B141" s="53" t="s">
        <v>13</v>
      </c>
      <c r="C141" s="53" t="s">
        <v>14</v>
      </c>
      <c r="D141" s="53" t="s">
        <v>48</v>
      </c>
      <c r="E141" s="53" t="s">
        <v>49</v>
      </c>
      <c r="F141" s="53" t="s">
        <v>50</v>
      </c>
      <c r="G141" s="53">
        <v>5450</v>
      </c>
      <c r="H141" s="62">
        <v>46079</v>
      </c>
      <c r="I141" s="53" t="s">
        <v>1519</v>
      </c>
      <c r="J141" s="53" t="s">
        <v>1520</v>
      </c>
      <c r="K141" s="53">
        <v>352507583</v>
      </c>
      <c r="L141" s="53">
        <v>8520078561</v>
      </c>
      <c r="M141" s="55" t="s">
        <v>1764</v>
      </c>
    </row>
    <row r="142" spans="1:13" x14ac:dyDescent="0.25">
      <c r="A142" s="53" t="s">
        <v>12</v>
      </c>
      <c r="B142" s="53" t="s">
        <v>13</v>
      </c>
      <c r="C142" s="53" t="s">
        <v>14</v>
      </c>
      <c r="D142" s="53" t="s">
        <v>48</v>
      </c>
      <c r="E142" s="53" t="s">
        <v>49</v>
      </c>
      <c r="F142" s="53" t="s">
        <v>50</v>
      </c>
      <c r="G142" s="53">
        <v>1000</v>
      </c>
      <c r="H142" s="62">
        <v>46079</v>
      </c>
      <c r="I142" s="53" t="s">
        <v>1519</v>
      </c>
      <c r="J142" s="53" t="s">
        <v>1520</v>
      </c>
      <c r="K142" s="53">
        <v>352507583</v>
      </c>
      <c r="L142" s="53">
        <v>8520078561</v>
      </c>
      <c r="M142" s="55" t="s">
        <v>1767</v>
      </c>
    </row>
    <row r="143" spans="1:13" x14ac:dyDescent="0.25">
      <c r="A143" s="53" t="s">
        <v>12</v>
      </c>
      <c r="B143" s="53" t="s">
        <v>13</v>
      </c>
      <c r="C143" s="53" t="s">
        <v>14</v>
      </c>
      <c r="D143" s="53" t="s">
        <v>144</v>
      </c>
      <c r="E143" s="53">
        <v>44182579159</v>
      </c>
      <c r="F143" s="53" t="s">
        <v>145</v>
      </c>
      <c r="G143" s="53">
        <v>1000</v>
      </c>
      <c r="H143" s="62">
        <v>46079</v>
      </c>
      <c r="I143" s="53" t="s">
        <v>593</v>
      </c>
      <c r="J143" s="53" t="s">
        <v>76</v>
      </c>
      <c r="K143" s="53">
        <v>352507580</v>
      </c>
      <c r="L143" s="53">
        <v>7765824237</v>
      </c>
      <c r="M143" s="55" t="s">
        <v>1767</v>
      </c>
    </row>
    <row r="144" spans="1:13" x14ac:dyDescent="0.25">
      <c r="A144" s="53" t="s">
        <v>12</v>
      </c>
      <c r="B144" s="53" t="s">
        <v>13</v>
      </c>
      <c r="C144" s="53" t="s">
        <v>14</v>
      </c>
      <c r="D144" s="53" t="s">
        <v>993</v>
      </c>
      <c r="E144" s="69">
        <v>50100683547664</v>
      </c>
      <c r="F144" s="60" t="s">
        <v>994</v>
      </c>
      <c r="G144" s="53">
        <v>1000</v>
      </c>
      <c r="H144" s="62">
        <v>46079</v>
      </c>
      <c r="I144" s="61" t="s">
        <v>1497</v>
      </c>
      <c r="J144" s="61" t="s">
        <v>1498</v>
      </c>
      <c r="K144" s="53">
        <v>352507582</v>
      </c>
      <c r="L144" s="60">
        <v>8093441726</v>
      </c>
      <c r="M144" s="55" t="s">
        <v>1767</v>
      </c>
    </row>
    <row r="145" spans="1:13" x14ac:dyDescent="0.25">
      <c r="A145" s="53" t="s">
        <v>12</v>
      </c>
      <c r="B145" s="53" t="s">
        <v>13</v>
      </c>
      <c r="C145" s="53" t="s">
        <v>14</v>
      </c>
      <c r="D145" s="53" t="s">
        <v>1610</v>
      </c>
      <c r="E145" s="53">
        <v>33067706253</v>
      </c>
      <c r="F145" s="53" t="s">
        <v>1611</v>
      </c>
      <c r="G145" s="53">
        <v>1000</v>
      </c>
      <c r="H145" s="62">
        <v>46079</v>
      </c>
      <c r="I145" s="53" t="s">
        <v>1513</v>
      </c>
      <c r="J145" s="53" t="s">
        <v>1495</v>
      </c>
      <c r="K145" s="53">
        <v>352507579</v>
      </c>
      <c r="L145" s="53">
        <v>6381535643</v>
      </c>
      <c r="M145" s="55" t="s">
        <v>1767</v>
      </c>
    </row>
    <row r="146" spans="1:13" x14ac:dyDescent="0.25">
      <c r="A146" s="53" t="s">
        <v>12</v>
      </c>
      <c r="B146" s="53" t="s">
        <v>13</v>
      </c>
      <c r="C146" s="53" t="s">
        <v>14</v>
      </c>
      <c r="D146" s="53" t="s">
        <v>144</v>
      </c>
      <c r="E146" s="53">
        <v>44182579159</v>
      </c>
      <c r="F146" s="53" t="s">
        <v>145</v>
      </c>
      <c r="G146" s="53">
        <v>6400</v>
      </c>
      <c r="H146" s="62">
        <v>46079</v>
      </c>
      <c r="I146" s="53" t="s">
        <v>593</v>
      </c>
      <c r="J146" s="53" t="s">
        <v>76</v>
      </c>
      <c r="K146" s="53">
        <v>352507580</v>
      </c>
      <c r="L146" s="53">
        <v>7765824237</v>
      </c>
      <c r="M146" s="55" t="s">
        <v>1768</v>
      </c>
    </row>
    <row r="147" spans="1:13" x14ac:dyDescent="0.25">
      <c r="A147" s="53" t="s">
        <v>12</v>
      </c>
      <c r="B147" s="53" t="s">
        <v>13</v>
      </c>
      <c r="C147" s="53" t="s">
        <v>14</v>
      </c>
      <c r="D147" s="53" t="s">
        <v>993</v>
      </c>
      <c r="E147" s="69">
        <v>50100683547664</v>
      </c>
      <c r="F147" s="60" t="s">
        <v>994</v>
      </c>
      <c r="G147" s="53">
        <v>6400</v>
      </c>
      <c r="H147" s="62">
        <v>46079</v>
      </c>
      <c r="I147" s="61" t="s">
        <v>1497</v>
      </c>
      <c r="J147" s="61" t="s">
        <v>1498</v>
      </c>
      <c r="K147" s="53">
        <v>352507582</v>
      </c>
      <c r="L147" s="60">
        <v>8093441726</v>
      </c>
      <c r="M147" s="55" t="s">
        <v>1768</v>
      </c>
    </row>
    <row r="148" spans="1:13" x14ac:dyDescent="0.25">
      <c r="A148" s="61" t="s">
        <v>12</v>
      </c>
      <c r="B148" s="61" t="s">
        <v>13</v>
      </c>
      <c r="C148" s="61" t="s">
        <v>14</v>
      </c>
      <c r="D148" s="61" t="s">
        <v>31</v>
      </c>
      <c r="E148" s="61" t="s">
        <v>32</v>
      </c>
      <c r="F148" s="61" t="s">
        <v>33</v>
      </c>
      <c r="G148" s="53">
        <v>4950</v>
      </c>
      <c r="H148" s="62">
        <v>46081</v>
      </c>
      <c r="I148" s="61" t="s">
        <v>571</v>
      </c>
      <c r="J148" s="61" t="s">
        <v>59</v>
      </c>
      <c r="K148" s="53">
        <v>352507013</v>
      </c>
      <c r="L148" s="61">
        <v>9347726061</v>
      </c>
      <c r="M148" s="55" t="s">
        <v>1776</v>
      </c>
    </row>
    <row r="149" spans="1:13" x14ac:dyDescent="0.25">
      <c r="A149" s="53" t="s">
        <v>12</v>
      </c>
      <c r="B149" s="53" t="s">
        <v>13</v>
      </c>
      <c r="C149" s="53" t="s">
        <v>14</v>
      </c>
      <c r="D149" s="53" t="s">
        <v>343</v>
      </c>
      <c r="E149" s="54">
        <v>37223550583</v>
      </c>
      <c r="F149" s="53" t="s">
        <v>33</v>
      </c>
      <c r="G149" s="53">
        <v>1000</v>
      </c>
      <c r="H149" s="62">
        <v>46081</v>
      </c>
      <c r="I149" s="61" t="s">
        <v>895</v>
      </c>
      <c r="J149" s="61" t="s">
        <v>896</v>
      </c>
      <c r="K149" s="53">
        <v>352507661</v>
      </c>
      <c r="L149" s="53">
        <v>9031258705</v>
      </c>
      <c r="M149" s="55" t="s">
        <v>1772</v>
      </c>
    </row>
    <row r="150" spans="1:13" x14ac:dyDescent="0.25">
      <c r="A150" s="53" t="s">
        <v>12</v>
      </c>
      <c r="B150" s="53" t="s">
        <v>13</v>
      </c>
      <c r="C150" s="53" t="s">
        <v>14</v>
      </c>
      <c r="D150" s="53" t="s">
        <v>343</v>
      </c>
      <c r="E150" s="54">
        <v>37223550583</v>
      </c>
      <c r="F150" s="53" t="s">
        <v>33</v>
      </c>
      <c r="G150" s="53">
        <v>700</v>
      </c>
      <c r="H150" s="62">
        <v>46081</v>
      </c>
      <c r="I150" s="61" t="s">
        <v>895</v>
      </c>
      <c r="J150" s="61" t="s">
        <v>896</v>
      </c>
      <c r="K150" s="53">
        <v>352507662</v>
      </c>
      <c r="L150" s="53">
        <v>9031258705</v>
      </c>
      <c r="M150" s="55" t="s">
        <v>1772</v>
      </c>
    </row>
    <row r="151" spans="1:13" x14ac:dyDescent="0.25">
      <c r="A151" s="53" t="s">
        <v>12</v>
      </c>
      <c r="B151" s="53" t="s">
        <v>13</v>
      </c>
      <c r="C151" s="53" t="s">
        <v>14</v>
      </c>
      <c r="D151" s="53" t="s">
        <v>343</v>
      </c>
      <c r="E151" s="54">
        <v>37223550583</v>
      </c>
      <c r="F151" s="53" t="s">
        <v>33</v>
      </c>
      <c r="G151" s="53">
        <v>3500</v>
      </c>
      <c r="H151" s="62">
        <v>46081</v>
      </c>
      <c r="I151" s="61" t="s">
        <v>895</v>
      </c>
      <c r="J151" s="61" t="s">
        <v>896</v>
      </c>
      <c r="K151" s="53">
        <v>352507662</v>
      </c>
      <c r="L151" s="53">
        <v>9031258705</v>
      </c>
      <c r="M151" s="55" t="s">
        <v>1773</v>
      </c>
    </row>
    <row r="152" spans="1:13" x14ac:dyDescent="0.25">
      <c r="A152" s="53" t="s">
        <v>12</v>
      </c>
      <c r="B152" s="53" t="s">
        <v>13</v>
      </c>
      <c r="C152" s="53" t="s">
        <v>14</v>
      </c>
      <c r="D152" s="53" t="s">
        <v>435</v>
      </c>
      <c r="E152" s="53">
        <v>31095925572</v>
      </c>
      <c r="F152" s="60" t="s">
        <v>33</v>
      </c>
      <c r="G152" s="53">
        <v>5450</v>
      </c>
      <c r="H152" s="62">
        <v>46081</v>
      </c>
      <c r="I152" s="61" t="s">
        <v>1485</v>
      </c>
      <c r="J152" s="61" t="s">
        <v>1486</v>
      </c>
      <c r="K152" s="53">
        <v>352507616</v>
      </c>
      <c r="L152" s="60">
        <v>8084080392</v>
      </c>
      <c r="M152" s="55" t="s">
        <v>1774</v>
      </c>
    </row>
    <row r="153" spans="1:13" x14ac:dyDescent="0.25">
      <c r="A153" s="53" t="s">
        <v>12</v>
      </c>
      <c r="B153" s="53" t="s">
        <v>13</v>
      </c>
      <c r="C153" s="53" t="s">
        <v>14</v>
      </c>
      <c r="D153" s="53" t="s">
        <v>48</v>
      </c>
      <c r="E153" s="53" t="s">
        <v>49</v>
      </c>
      <c r="F153" s="53" t="s">
        <v>50</v>
      </c>
      <c r="G153" s="53">
        <v>5450</v>
      </c>
      <c r="H153" s="62">
        <v>46081</v>
      </c>
      <c r="I153" s="53" t="s">
        <v>1519</v>
      </c>
      <c r="J153" s="53" t="s">
        <v>1520</v>
      </c>
      <c r="K153" s="53">
        <v>352507615</v>
      </c>
      <c r="L153" s="53">
        <v>8520078561</v>
      </c>
      <c r="M153" s="55" t="s">
        <v>1774</v>
      </c>
    </row>
    <row r="154" spans="1:13" x14ac:dyDescent="0.25">
      <c r="A154" s="53" t="s">
        <v>12</v>
      </c>
      <c r="B154" s="53" t="s">
        <v>13</v>
      </c>
      <c r="C154" s="53" t="s">
        <v>14</v>
      </c>
      <c r="D154" s="53" t="s">
        <v>993</v>
      </c>
      <c r="E154" s="69">
        <v>50100683547664</v>
      </c>
      <c r="F154" s="60" t="s">
        <v>994</v>
      </c>
      <c r="G154" s="53">
        <v>3400</v>
      </c>
      <c r="H154" s="62">
        <v>46081</v>
      </c>
      <c r="I154" s="61" t="s">
        <v>1497</v>
      </c>
      <c r="J154" s="61" t="s">
        <v>1498</v>
      </c>
      <c r="K154" s="53">
        <v>352507582</v>
      </c>
      <c r="L154" s="60">
        <v>8093441726</v>
      </c>
      <c r="M154" s="55" t="s">
        <v>1773</v>
      </c>
    </row>
    <row r="155" spans="1:13" x14ac:dyDescent="0.25">
      <c r="A155" s="53" t="s">
        <v>12</v>
      </c>
      <c r="B155" s="53" t="s">
        <v>13</v>
      </c>
      <c r="C155" s="53" t="s">
        <v>14</v>
      </c>
      <c r="D155" s="53" t="s">
        <v>144</v>
      </c>
      <c r="E155" s="53">
        <v>44182579159</v>
      </c>
      <c r="F155" s="53" t="s">
        <v>145</v>
      </c>
      <c r="G155" s="53">
        <v>1700</v>
      </c>
      <c r="H155" s="62">
        <v>46081</v>
      </c>
      <c r="I155" s="53" t="s">
        <v>593</v>
      </c>
      <c r="J155" s="53" t="s">
        <v>76</v>
      </c>
      <c r="K155" s="53">
        <v>352507580</v>
      </c>
      <c r="L155" s="53">
        <v>7765824237</v>
      </c>
      <c r="M155" s="55" t="s">
        <v>1773</v>
      </c>
    </row>
    <row r="156" spans="1:13" x14ac:dyDescent="0.25">
      <c r="A156" s="53" t="s">
        <v>12</v>
      </c>
      <c r="B156" s="53" t="s">
        <v>13</v>
      </c>
      <c r="C156" s="53" t="s">
        <v>14</v>
      </c>
      <c r="D156" s="53" t="s">
        <v>36</v>
      </c>
      <c r="E156" s="53" t="s">
        <v>37</v>
      </c>
      <c r="F156" s="53" t="s">
        <v>38</v>
      </c>
      <c r="G156" s="53">
        <v>5450</v>
      </c>
      <c r="H156" s="62">
        <v>46081</v>
      </c>
      <c r="I156" s="53" t="s">
        <v>902</v>
      </c>
      <c r="J156" s="53" t="s">
        <v>901</v>
      </c>
      <c r="K156" s="53">
        <v>352507613</v>
      </c>
      <c r="L156" s="53">
        <v>9358936441</v>
      </c>
      <c r="M156" s="55" t="s">
        <v>1774</v>
      </c>
    </row>
    <row r="157" spans="1:13" x14ac:dyDescent="0.25">
      <c r="A157" s="53" t="s">
        <v>12</v>
      </c>
      <c r="B157" s="53" t="s">
        <v>13</v>
      </c>
      <c r="C157" s="53" t="s">
        <v>14</v>
      </c>
      <c r="D157" s="53" t="s">
        <v>1406</v>
      </c>
      <c r="E157" s="69">
        <v>645602010014653</v>
      </c>
      <c r="F157" s="53" t="s">
        <v>1407</v>
      </c>
      <c r="G157" s="53">
        <v>3950</v>
      </c>
      <c r="H157" s="62">
        <v>46081</v>
      </c>
      <c r="I157" s="53" t="s">
        <v>903</v>
      </c>
      <c r="J157" s="53" t="s">
        <v>904</v>
      </c>
      <c r="K157" s="53">
        <v>352507643</v>
      </c>
      <c r="L157" s="53">
        <v>8084480157</v>
      </c>
      <c r="M157" s="55" t="s">
        <v>1775</v>
      </c>
    </row>
    <row r="158" spans="1:13" x14ac:dyDescent="0.25">
      <c r="A158" s="53" t="s">
        <v>12</v>
      </c>
      <c r="B158" s="53" t="s">
        <v>13</v>
      </c>
      <c r="C158" s="53" t="s">
        <v>14</v>
      </c>
      <c r="D158" s="53" t="s">
        <v>95</v>
      </c>
      <c r="E158" s="53" t="s">
        <v>96</v>
      </c>
      <c r="F158" s="53" t="s">
        <v>33</v>
      </c>
      <c r="G158" s="53">
        <v>1900</v>
      </c>
      <c r="H158" s="62">
        <v>46081</v>
      </c>
      <c r="I158" s="61" t="s">
        <v>1483</v>
      </c>
      <c r="J158" s="61" t="s">
        <v>1484</v>
      </c>
      <c r="K158" s="53">
        <v>352507644</v>
      </c>
      <c r="L158" s="53">
        <v>8159025834</v>
      </c>
      <c r="M158" s="55" t="s">
        <v>1769</v>
      </c>
    </row>
    <row r="159" spans="1:13" x14ac:dyDescent="0.25">
      <c r="A159" s="53" t="s">
        <v>12</v>
      </c>
      <c r="B159" s="53" t="s">
        <v>13</v>
      </c>
      <c r="C159" s="53" t="s">
        <v>14</v>
      </c>
      <c r="D159" s="53" t="s">
        <v>343</v>
      </c>
      <c r="E159" s="54">
        <v>37223550583</v>
      </c>
      <c r="F159" s="53" t="s">
        <v>33</v>
      </c>
      <c r="G159" s="53">
        <v>1000</v>
      </c>
      <c r="H159" s="62">
        <v>46081</v>
      </c>
      <c r="I159" s="61" t="s">
        <v>895</v>
      </c>
      <c r="J159" s="61" t="s">
        <v>896</v>
      </c>
      <c r="K159" s="53">
        <v>352507617</v>
      </c>
      <c r="L159" s="53">
        <v>9031258705</v>
      </c>
      <c r="M159" s="55" t="s">
        <v>1770</v>
      </c>
    </row>
    <row r="160" spans="1:13" x14ac:dyDescent="0.25">
      <c r="A160" s="53" t="s">
        <v>12</v>
      </c>
      <c r="B160" s="53" t="s">
        <v>13</v>
      </c>
      <c r="C160" s="53" t="s">
        <v>14</v>
      </c>
      <c r="D160" s="53" t="s">
        <v>343</v>
      </c>
      <c r="E160" s="54">
        <v>37223550583</v>
      </c>
      <c r="F160" s="53" t="s">
        <v>33</v>
      </c>
      <c r="G160" s="53">
        <v>700</v>
      </c>
      <c r="H160" s="62">
        <v>46081</v>
      </c>
      <c r="I160" s="61" t="s">
        <v>895</v>
      </c>
      <c r="J160" s="61" t="s">
        <v>896</v>
      </c>
      <c r="K160" s="53">
        <v>352507618</v>
      </c>
      <c r="L160" s="53">
        <v>9031258705</v>
      </c>
      <c r="M160" s="55" t="s">
        <v>1770</v>
      </c>
    </row>
    <row r="161" spans="1:13" x14ac:dyDescent="0.25">
      <c r="A161" s="53" t="s">
        <v>12</v>
      </c>
      <c r="B161" s="53" t="s">
        <v>13</v>
      </c>
      <c r="C161" s="53" t="s">
        <v>14</v>
      </c>
      <c r="D161" s="53" t="s">
        <v>343</v>
      </c>
      <c r="E161" s="54">
        <v>37223550583</v>
      </c>
      <c r="F161" s="53" t="s">
        <v>33</v>
      </c>
      <c r="G161" s="53">
        <v>700</v>
      </c>
      <c r="H161" s="62">
        <v>46081</v>
      </c>
      <c r="I161" s="61" t="s">
        <v>895</v>
      </c>
      <c r="J161" s="61" t="s">
        <v>896</v>
      </c>
      <c r="K161" s="53">
        <v>352507619</v>
      </c>
      <c r="L161" s="53">
        <v>9031258705</v>
      </c>
      <c r="M161" s="55" t="s">
        <v>1770</v>
      </c>
    </row>
    <row r="162" spans="1:13" x14ac:dyDescent="0.25">
      <c r="A162" s="53" t="s">
        <v>12</v>
      </c>
      <c r="B162" s="53" t="s">
        <v>13</v>
      </c>
      <c r="C162" s="53" t="s">
        <v>14</v>
      </c>
      <c r="D162" s="53" t="s">
        <v>343</v>
      </c>
      <c r="E162" s="54">
        <v>37223550583</v>
      </c>
      <c r="F162" s="53" t="s">
        <v>33</v>
      </c>
      <c r="G162" s="53">
        <v>700</v>
      </c>
      <c r="H162" s="62">
        <v>46081</v>
      </c>
      <c r="I162" s="61" t="s">
        <v>895</v>
      </c>
      <c r="J162" s="61" t="s">
        <v>896</v>
      </c>
      <c r="K162" s="53">
        <v>352507620</v>
      </c>
      <c r="L162" s="53">
        <v>9031258705</v>
      </c>
      <c r="M162" s="55" t="s">
        <v>1770</v>
      </c>
    </row>
    <row r="163" spans="1:13" x14ac:dyDescent="0.25">
      <c r="A163" s="53" t="s">
        <v>12</v>
      </c>
      <c r="B163" s="53" t="s">
        <v>13</v>
      </c>
      <c r="C163" s="53" t="s">
        <v>14</v>
      </c>
      <c r="D163" s="53" t="s">
        <v>95</v>
      </c>
      <c r="E163" s="53" t="s">
        <v>96</v>
      </c>
      <c r="F163" s="53" t="s">
        <v>33</v>
      </c>
      <c r="G163" s="53">
        <v>7500</v>
      </c>
      <c r="H163" s="62">
        <v>46081</v>
      </c>
      <c r="I163" s="61" t="s">
        <v>1483</v>
      </c>
      <c r="J163" s="61" t="s">
        <v>1484</v>
      </c>
      <c r="K163" s="53">
        <v>352507644</v>
      </c>
      <c r="L163" s="53">
        <v>8159025834</v>
      </c>
      <c r="M163" s="55" t="s">
        <v>1779</v>
      </c>
    </row>
    <row r="164" spans="1:13" x14ac:dyDescent="0.25">
      <c r="A164" s="53" t="s">
        <v>12</v>
      </c>
      <c r="B164" s="53" t="s">
        <v>13</v>
      </c>
      <c r="C164" s="53" t="s">
        <v>14</v>
      </c>
      <c r="D164" s="53" t="s">
        <v>108</v>
      </c>
      <c r="E164" s="53" t="s">
        <v>109</v>
      </c>
      <c r="F164" s="53" t="s">
        <v>110</v>
      </c>
      <c r="G164" s="53">
        <v>5200</v>
      </c>
      <c r="H164" s="62">
        <v>46081</v>
      </c>
      <c r="I164" s="61" t="s">
        <v>1777</v>
      </c>
      <c r="J164" s="61" t="s">
        <v>1778</v>
      </c>
      <c r="K164" s="53"/>
      <c r="L164" s="53">
        <v>7870570436</v>
      </c>
      <c r="M164" s="55" t="s">
        <v>1771</v>
      </c>
    </row>
  </sheetData>
  <autoFilter ref="A1:M1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4"/>
  <sheetViews>
    <sheetView topLeftCell="B1" zoomScaleNormal="100" workbookViewId="0">
      <pane ySplit="1" topLeftCell="A2" activePane="bottomLeft" state="frozen"/>
      <selection pane="bottomLeft" activeCell="G4" sqref="G4"/>
    </sheetView>
  </sheetViews>
  <sheetFormatPr defaultRowHeight="12" x14ac:dyDescent="0.25"/>
  <cols>
    <col min="1" max="1" width="18.33203125" style="59" customWidth="1"/>
    <col min="2" max="2" width="11.5546875" style="59" customWidth="1"/>
    <col min="3" max="3" width="11" style="59" customWidth="1"/>
    <col min="4" max="4" width="14" style="59" bestFit="1" customWidth="1"/>
    <col min="5" max="5" width="15.33203125" style="59" bestFit="1" customWidth="1"/>
    <col min="6" max="6" width="12.44140625" style="59" bestFit="1" customWidth="1"/>
    <col min="7" max="7" width="9" style="59" customWidth="1"/>
    <col min="8" max="8" width="11.109375" style="59" bestFit="1" customWidth="1"/>
    <col min="9" max="9" width="15" style="59" bestFit="1" customWidth="1"/>
    <col min="10" max="10" width="8.5546875" style="59" bestFit="1" customWidth="1"/>
    <col min="11" max="11" width="9" style="59" customWidth="1"/>
    <col min="12" max="12" width="11.21875" style="59" customWidth="1"/>
    <col min="13" max="13" width="70.44140625" style="59" bestFit="1" customWidth="1"/>
    <col min="14" max="16384" width="8.88671875" style="59"/>
  </cols>
  <sheetData>
    <row r="1" spans="1:13" ht="24" x14ac:dyDescent="0.25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7" t="s">
        <v>7</v>
      </c>
      <c r="I1" s="56" t="s">
        <v>8</v>
      </c>
      <c r="J1" s="56" t="s">
        <v>9</v>
      </c>
      <c r="K1" s="56" t="s">
        <v>10</v>
      </c>
      <c r="L1" s="56" t="s">
        <v>949</v>
      </c>
      <c r="M1" s="58" t="s">
        <v>11</v>
      </c>
    </row>
    <row r="2" spans="1:13" x14ac:dyDescent="0.25">
      <c r="A2" s="53" t="s">
        <v>12</v>
      </c>
      <c r="B2" s="53" t="s">
        <v>13</v>
      </c>
      <c r="C2" s="53" t="s">
        <v>14</v>
      </c>
      <c r="D2" s="53" t="s">
        <v>343</v>
      </c>
      <c r="E2" s="54">
        <v>37223550583</v>
      </c>
      <c r="F2" s="53" t="s">
        <v>33</v>
      </c>
      <c r="G2" s="53">
        <v>1000</v>
      </c>
      <c r="H2" s="62">
        <v>46083</v>
      </c>
      <c r="I2" s="61" t="s">
        <v>895</v>
      </c>
      <c r="J2" s="61" t="s">
        <v>896</v>
      </c>
      <c r="K2" s="53">
        <v>352507727</v>
      </c>
      <c r="L2" s="53">
        <v>9031258705</v>
      </c>
      <c r="M2" s="55" t="s">
        <v>1780</v>
      </c>
    </row>
    <row r="3" spans="1:13" x14ac:dyDescent="0.25">
      <c r="A3" s="53" t="s">
        <v>12</v>
      </c>
      <c r="B3" s="53" t="s">
        <v>13</v>
      </c>
      <c r="C3" s="53" t="s">
        <v>14</v>
      </c>
      <c r="D3" s="53" t="s">
        <v>343</v>
      </c>
      <c r="E3" s="54">
        <v>37223550583</v>
      </c>
      <c r="F3" s="53" t="s">
        <v>33</v>
      </c>
      <c r="G3" s="53">
        <v>700</v>
      </c>
      <c r="H3" s="62">
        <v>46083</v>
      </c>
      <c r="I3" s="61" t="s">
        <v>895</v>
      </c>
      <c r="J3" s="61" t="s">
        <v>896</v>
      </c>
      <c r="K3" s="53">
        <v>352507728</v>
      </c>
      <c r="L3" s="53">
        <v>9031258705</v>
      </c>
      <c r="M3" s="55" t="s">
        <v>1780</v>
      </c>
    </row>
    <row r="4" spans="1:13" x14ac:dyDescent="0.25">
      <c r="A4" s="53" t="s">
        <v>12</v>
      </c>
      <c r="B4" s="53" t="s">
        <v>13</v>
      </c>
      <c r="C4" s="53" t="s">
        <v>14</v>
      </c>
      <c r="D4" s="53" t="s">
        <v>435</v>
      </c>
      <c r="E4" s="53">
        <v>31095925572</v>
      </c>
      <c r="F4" s="60" t="s">
        <v>33</v>
      </c>
      <c r="G4" s="53">
        <v>5450</v>
      </c>
      <c r="H4" s="62">
        <v>46083</v>
      </c>
      <c r="I4" s="61" t="s">
        <v>1485</v>
      </c>
      <c r="J4" s="61" t="s">
        <v>1486</v>
      </c>
      <c r="K4" s="53">
        <v>352507726</v>
      </c>
      <c r="L4" s="60">
        <v>8084080392</v>
      </c>
      <c r="M4" s="55" t="s">
        <v>1781</v>
      </c>
    </row>
    <row r="5" spans="1:13" x14ac:dyDescent="0.25">
      <c r="A5" s="53" t="s">
        <v>12</v>
      </c>
      <c r="B5" s="53" t="s">
        <v>13</v>
      </c>
      <c r="C5" s="53" t="s">
        <v>14</v>
      </c>
      <c r="D5" s="53" t="s">
        <v>993</v>
      </c>
      <c r="E5" s="69">
        <v>50100683547664</v>
      </c>
      <c r="F5" s="60" t="s">
        <v>994</v>
      </c>
      <c r="G5" s="53">
        <v>5450</v>
      </c>
      <c r="H5" s="62">
        <v>46083</v>
      </c>
      <c r="I5" s="61" t="s">
        <v>1497</v>
      </c>
      <c r="J5" s="61" t="s">
        <v>1498</v>
      </c>
      <c r="K5" s="53">
        <v>352507723</v>
      </c>
      <c r="L5" s="60">
        <v>8093441726</v>
      </c>
      <c r="M5" s="55" t="s">
        <v>1781</v>
      </c>
    </row>
    <row r="6" spans="1:13" x14ac:dyDescent="0.25">
      <c r="A6" s="53" t="s">
        <v>12</v>
      </c>
      <c r="B6" s="53" t="s">
        <v>13</v>
      </c>
      <c r="C6" s="53" t="s">
        <v>14</v>
      </c>
      <c r="D6" s="53" t="s">
        <v>95</v>
      </c>
      <c r="E6" s="53" t="s">
        <v>96</v>
      </c>
      <c r="F6" s="53" t="s">
        <v>33</v>
      </c>
      <c r="G6" s="53">
        <v>5300</v>
      </c>
      <c r="H6" s="62">
        <v>46083</v>
      </c>
      <c r="I6" s="61" t="s">
        <v>1483</v>
      </c>
      <c r="J6" s="61" t="s">
        <v>1484</v>
      </c>
      <c r="K6" s="53">
        <v>352507681</v>
      </c>
      <c r="L6" s="53">
        <v>8159025834</v>
      </c>
      <c r="M6" s="55" t="s">
        <v>1782</v>
      </c>
    </row>
    <row r="7" spans="1:13" x14ac:dyDescent="0.25">
      <c r="A7" s="53" t="s">
        <v>12</v>
      </c>
      <c r="B7" s="53" t="s">
        <v>13</v>
      </c>
      <c r="C7" s="53" t="s">
        <v>14</v>
      </c>
      <c r="D7" s="53" t="s">
        <v>144</v>
      </c>
      <c r="E7" s="53">
        <v>44182579159</v>
      </c>
      <c r="F7" s="53" t="s">
        <v>145</v>
      </c>
      <c r="G7" s="53">
        <v>1500</v>
      </c>
      <c r="H7" s="62">
        <v>46083</v>
      </c>
      <c r="I7" s="53" t="s">
        <v>593</v>
      </c>
      <c r="J7" s="53" t="s">
        <v>76</v>
      </c>
      <c r="K7" s="53">
        <v>352507743</v>
      </c>
      <c r="L7" s="53">
        <v>7765824237</v>
      </c>
      <c r="M7" s="55" t="s">
        <v>1783</v>
      </c>
    </row>
    <row r="8" spans="1:13" x14ac:dyDescent="0.25">
      <c r="A8" s="53" t="s">
        <v>12</v>
      </c>
      <c r="B8" s="53" t="s">
        <v>13</v>
      </c>
      <c r="C8" s="53" t="s">
        <v>14</v>
      </c>
      <c r="D8" s="53" t="s">
        <v>343</v>
      </c>
      <c r="E8" s="54">
        <v>37223550583</v>
      </c>
      <c r="F8" s="53" t="s">
        <v>33</v>
      </c>
      <c r="G8" s="53">
        <v>1900</v>
      </c>
      <c r="H8" s="62">
        <v>46083</v>
      </c>
      <c r="I8" s="61" t="s">
        <v>895</v>
      </c>
      <c r="J8" s="61" t="s">
        <v>896</v>
      </c>
      <c r="K8" s="53">
        <v>352507744</v>
      </c>
      <c r="L8" s="53">
        <v>9031258705</v>
      </c>
      <c r="M8" s="55" t="s">
        <v>1783</v>
      </c>
    </row>
    <row r="9" spans="1:13" x14ac:dyDescent="0.25">
      <c r="A9" s="53" t="s">
        <v>12</v>
      </c>
      <c r="B9" s="53" t="s">
        <v>13</v>
      </c>
      <c r="C9" s="53" t="s">
        <v>14</v>
      </c>
      <c r="D9" s="53" t="s">
        <v>144</v>
      </c>
      <c r="E9" s="53">
        <v>44182579159</v>
      </c>
      <c r="F9" s="53" t="s">
        <v>145</v>
      </c>
      <c r="G9" s="53">
        <v>5200</v>
      </c>
      <c r="H9" s="62">
        <v>46083</v>
      </c>
      <c r="I9" s="53" t="s">
        <v>593</v>
      </c>
      <c r="J9" s="53" t="s">
        <v>76</v>
      </c>
      <c r="K9" s="53">
        <v>352507722</v>
      </c>
      <c r="L9" s="53">
        <v>7765824237</v>
      </c>
      <c r="M9" s="55" t="s">
        <v>1784</v>
      </c>
    </row>
    <row r="10" spans="1:13" x14ac:dyDescent="0.25">
      <c r="A10" s="61" t="s">
        <v>12</v>
      </c>
      <c r="B10" s="61" t="s">
        <v>13</v>
      </c>
      <c r="C10" s="61" t="s">
        <v>14</v>
      </c>
      <c r="D10" s="61" t="s">
        <v>31</v>
      </c>
      <c r="E10" s="61" t="s">
        <v>32</v>
      </c>
      <c r="F10" s="61" t="s">
        <v>33</v>
      </c>
      <c r="G10" s="53">
        <v>1500</v>
      </c>
      <c r="H10" s="62">
        <v>46084</v>
      </c>
      <c r="I10" s="61" t="s">
        <v>571</v>
      </c>
      <c r="J10" s="61" t="s">
        <v>59</v>
      </c>
      <c r="K10" s="53">
        <v>352507714</v>
      </c>
      <c r="L10" s="61">
        <v>9347726061</v>
      </c>
      <c r="M10" s="55" t="s">
        <v>1785</v>
      </c>
    </row>
    <row r="11" spans="1:13" x14ac:dyDescent="0.25">
      <c r="A11" s="53" t="s">
        <v>12</v>
      </c>
      <c r="B11" s="53" t="s">
        <v>13</v>
      </c>
      <c r="C11" s="53" t="s">
        <v>14</v>
      </c>
      <c r="D11" s="53" t="s">
        <v>343</v>
      </c>
      <c r="E11" s="54">
        <v>37223550583</v>
      </c>
      <c r="F11" s="53" t="s">
        <v>33</v>
      </c>
      <c r="G11" s="53">
        <v>4950</v>
      </c>
      <c r="H11" s="62">
        <v>46084</v>
      </c>
      <c r="I11" s="61" t="s">
        <v>895</v>
      </c>
      <c r="J11" s="61" t="s">
        <v>896</v>
      </c>
      <c r="K11" s="53">
        <v>352507744</v>
      </c>
      <c r="L11" s="53">
        <v>9031258705</v>
      </c>
      <c r="M11" s="55" t="s">
        <v>1786</v>
      </c>
    </row>
    <row r="12" spans="1:13" x14ac:dyDescent="0.25">
      <c r="A12" s="53" t="s">
        <v>12</v>
      </c>
      <c r="B12" s="53" t="s">
        <v>13</v>
      </c>
      <c r="C12" s="53" t="s">
        <v>14</v>
      </c>
      <c r="D12" s="53" t="s">
        <v>1610</v>
      </c>
      <c r="E12" s="53">
        <v>33067706253</v>
      </c>
      <c r="F12" s="53" t="s">
        <v>1611</v>
      </c>
      <c r="G12" s="53">
        <v>5200</v>
      </c>
      <c r="H12" s="62">
        <v>46084</v>
      </c>
      <c r="I12" s="53" t="s">
        <v>1513</v>
      </c>
      <c r="J12" s="53" t="s">
        <v>1495</v>
      </c>
      <c r="K12" s="53">
        <v>352507680</v>
      </c>
      <c r="L12" s="53">
        <v>6381535643</v>
      </c>
      <c r="M12" s="55" t="s">
        <v>1787</v>
      </c>
    </row>
    <row r="13" spans="1:13" x14ac:dyDescent="0.25">
      <c r="A13" s="53" t="s">
        <v>12</v>
      </c>
      <c r="B13" s="53" t="s">
        <v>13</v>
      </c>
      <c r="C13" s="53" t="s">
        <v>14</v>
      </c>
      <c r="D13" s="53" t="s">
        <v>48</v>
      </c>
      <c r="E13" s="53" t="s">
        <v>49</v>
      </c>
      <c r="F13" s="53" t="s">
        <v>50</v>
      </c>
      <c r="G13" s="53">
        <v>7500</v>
      </c>
      <c r="H13" s="62">
        <v>46084</v>
      </c>
      <c r="I13" s="53" t="s">
        <v>1519</v>
      </c>
      <c r="J13" s="53" t="s">
        <v>1520</v>
      </c>
      <c r="K13" s="53">
        <v>352507725</v>
      </c>
      <c r="L13" s="53">
        <v>8520078561</v>
      </c>
      <c r="M13" s="55" t="s">
        <v>1788</v>
      </c>
    </row>
    <row r="14" spans="1:13" x14ac:dyDescent="0.25">
      <c r="A14" s="53" t="s">
        <v>12</v>
      </c>
      <c r="B14" s="53" t="s">
        <v>13</v>
      </c>
      <c r="C14" s="53" t="s">
        <v>14</v>
      </c>
      <c r="D14" s="53" t="s">
        <v>108</v>
      </c>
      <c r="E14" s="53" t="s">
        <v>109</v>
      </c>
      <c r="F14" s="53" t="s">
        <v>110</v>
      </c>
      <c r="G14" s="53">
        <v>7500</v>
      </c>
      <c r="H14" s="62">
        <v>46084</v>
      </c>
      <c r="I14" s="61" t="s">
        <v>1777</v>
      </c>
      <c r="J14" s="61" t="s">
        <v>1778</v>
      </c>
      <c r="K14" s="53">
        <v>352507715</v>
      </c>
      <c r="L14" s="53">
        <v>7870570436</v>
      </c>
      <c r="M14" s="55" t="s">
        <v>1789</v>
      </c>
    </row>
    <row r="15" spans="1:13" x14ac:dyDescent="0.25">
      <c r="A15" s="53" t="s">
        <v>12</v>
      </c>
      <c r="B15" s="53" t="s">
        <v>13</v>
      </c>
      <c r="C15" s="53" t="s">
        <v>14</v>
      </c>
      <c r="D15" s="53" t="s">
        <v>36</v>
      </c>
      <c r="E15" s="53" t="s">
        <v>37</v>
      </c>
      <c r="F15" s="53" t="s">
        <v>38</v>
      </c>
      <c r="G15" s="53">
        <v>5450</v>
      </c>
      <c r="H15" s="62">
        <v>46084</v>
      </c>
      <c r="I15" s="53" t="s">
        <v>902</v>
      </c>
      <c r="J15" s="53" t="s">
        <v>901</v>
      </c>
      <c r="K15" s="53">
        <v>352507724</v>
      </c>
      <c r="L15" s="53">
        <v>9358936441</v>
      </c>
      <c r="M15" s="55" t="s">
        <v>1790</v>
      </c>
    </row>
    <row r="16" spans="1:13" x14ac:dyDescent="0.25">
      <c r="A16" s="53" t="s">
        <v>12</v>
      </c>
      <c r="B16" s="53" t="s">
        <v>13</v>
      </c>
      <c r="C16" s="53" t="s">
        <v>14</v>
      </c>
      <c r="D16" s="53" t="s">
        <v>435</v>
      </c>
      <c r="E16" s="53">
        <v>31095925572</v>
      </c>
      <c r="F16" s="60" t="s">
        <v>33</v>
      </c>
      <c r="G16" s="53">
        <v>5450</v>
      </c>
      <c r="H16" s="62">
        <v>46084</v>
      </c>
      <c r="I16" s="61" t="s">
        <v>1485</v>
      </c>
      <c r="J16" s="61" t="s">
        <v>1486</v>
      </c>
      <c r="K16" s="53">
        <v>352507751</v>
      </c>
      <c r="L16" s="60">
        <v>8084080392</v>
      </c>
      <c r="M16" s="55" t="s">
        <v>1790</v>
      </c>
    </row>
    <row r="17" spans="1:13" x14ac:dyDescent="0.25">
      <c r="A17" s="53" t="s">
        <v>12</v>
      </c>
      <c r="B17" s="53" t="s">
        <v>13</v>
      </c>
      <c r="C17" s="53" t="s">
        <v>14</v>
      </c>
      <c r="D17" s="53" t="s">
        <v>993</v>
      </c>
      <c r="E17" s="69">
        <v>50100683547664</v>
      </c>
      <c r="F17" s="60" t="s">
        <v>994</v>
      </c>
      <c r="G17" s="53">
        <v>2000</v>
      </c>
      <c r="H17" s="62">
        <v>46084</v>
      </c>
      <c r="I17" s="61" t="s">
        <v>1497</v>
      </c>
      <c r="J17" s="61" t="s">
        <v>1498</v>
      </c>
      <c r="K17" s="53">
        <v>352507723</v>
      </c>
      <c r="L17" s="60">
        <v>8093441726</v>
      </c>
      <c r="M17" s="55" t="s">
        <v>1791</v>
      </c>
    </row>
    <row r="18" spans="1:13" x14ac:dyDescent="0.25">
      <c r="A18" s="53" t="s">
        <v>12</v>
      </c>
      <c r="B18" s="53" t="s">
        <v>13</v>
      </c>
      <c r="C18" s="53" t="s">
        <v>14</v>
      </c>
      <c r="D18" s="53" t="s">
        <v>993</v>
      </c>
      <c r="E18" s="69">
        <v>50100683547664</v>
      </c>
      <c r="F18" s="60" t="s">
        <v>994</v>
      </c>
      <c r="G18" s="53">
        <v>5450</v>
      </c>
      <c r="H18" s="62">
        <v>46084</v>
      </c>
      <c r="I18" s="61" t="s">
        <v>1497</v>
      </c>
      <c r="J18" s="61" t="s">
        <v>1498</v>
      </c>
      <c r="K18" s="53">
        <v>352507773</v>
      </c>
      <c r="L18" s="60">
        <v>8093441726</v>
      </c>
      <c r="M18" s="55" t="s">
        <v>1790</v>
      </c>
    </row>
    <row r="19" spans="1:13" x14ac:dyDescent="0.25">
      <c r="A19" s="53" t="s">
        <v>12</v>
      </c>
      <c r="B19" s="53" t="s">
        <v>13</v>
      </c>
      <c r="C19" s="53" t="s">
        <v>14</v>
      </c>
      <c r="D19" s="53" t="s">
        <v>95</v>
      </c>
      <c r="E19" s="53" t="s">
        <v>96</v>
      </c>
      <c r="F19" s="53" t="s">
        <v>33</v>
      </c>
      <c r="G19" s="53">
        <v>5450</v>
      </c>
      <c r="H19" s="62">
        <v>46084</v>
      </c>
      <c r="I19" s="61" t="s">
        <v>1483</v>
      </c>
      <c r="J19" s="61" t="s">
        <v>1484</v>
      </c>
      <c r="K19" s="53">
        <v>352507775</v>
      </c>
      <c r="L19" s="53">
        <v>8159025834</v>
      </c>
      <c r="M19" s="55" t="s">
        <v>1790</v>
      </c>
    </row>
    <row r="20" spans="1:13" x14ac:dyDescent="0.25">
      <c r="A20" s="53" t="s">
        <v>12</v>
      </c>
      <c r="B20" s="53" t="s">
        <v>13</v>
      </c>
      <c r="C20" s="53" t="s">
        <v>14</v>
      </c>
      <c r="D20" s="53" t="s">
        <v>108</v>
      </c>
      <c r="E20" s="53" t="s">
        <v>109</v>
      </c>
      <c r="F20" s="53" t="s">
        <v>110</v>
      </c>
      <c r="G20" s="53">
        <v>1000</v>
      </c>
      <c r="H20" s="62">
        <v>46085</v>
      </c>
      <c r="I20" s="61" t="s">
        <v>1777</v>
      </c>
      <c r="J20" s="61" t="s">
        <v>1778</v>
      </c>
      <c r="K20" s="53">
        <v>352507797</v>
      </c>
      <c r="L20" s="53">
        <v>7870570436</v>
      </c>
      <c r="M20" s="55" t="s">
        <v>1792</v>
      </c>
    </row>
    <row r="21" spans="1:13" x14ac:dyDescent="0.25">
      <c r="A21" s="53" t="s">
        <v>12</v>
      </c>
      <c r="B21" s="53" t="s">
        <v>13</v>
      </c>
      <c r="C21" s="53" t="s">
        <v>14</v>
      </c>
      <c r="D21" s="53" t="s">
        <v>48</v>
      </c>
      <c r="E21" s="53" t="s">
        <v>49</v>
      </c>
      <c r="F21" s="53" t="s">
        <v>50</v>
      </c>
      <c r="G21" s="53">
        <v>1000</v>
      </c>
      <c r="H21" s="62">
        <v>46085</v>
      </c>
      <c r="I21" s="53" t="s">
        <v>1519</v>
      </c>
      <c r="J21" s="53" t="s">
        <v>1520</v>
      </c>
      <c r="K21" s="53">
        <v>352507790</v>
      </c>
      <c r="L21" s="53">
        <v>8520078561</v>
      </c>
      <c r="M21" s="55" t="s">
        <v>1792</v>
      </c>
    </row>
    <row r="22" spans="1:13" x14ac:dyDescent="0.25">
      <c r="A22" s="53" t="s">
        <v>12</v>
      </c>
      <c r="B22" s="53" t="s">
        <v>13</v>
      </c>
      <c r="C22" s="53" t="s">
        <v>14</v>
      </c>
      <c r="D22" s="53" t="s">
        <v>1610</v>
      </c>
      <c r="E22" s="53">
        <v>33067706253</v>
      </c>
      <c r="F22" s="53" t="s">
        <v>1611</v>
      </c>
      <c r="G22" s="53">
        <v>7500</v>
      </c>
      <c r="H22" s="62">
        <v>46085</v>
      </c>
      <c r="I22" s="53" t="s">
        <v>1513</v>
      </c>
      <c r="J22" s="53" t="s">
        <v>1495</v>
      </c>
      <c r="K22" s="53">
        <v>352507781</v>
      </c>
      <c r="L22" s="53">
        <v>6381535643</v>
      </c>
      <c r="M22" s="55" t="s">
        <v>1793</v>
      </c>
    </row>
    <row r="23" spans="1:13" x14ac:dyDescent="0.25">
      <c r="A23" s="53" t="s">
        <v>12</v>
      </c>
      <c r="B23" s="53" t="s">
        <v>13</v>
      </c>
      <c r="C23" s="53" t="s">
        <v>14</v>
      </c>
      <c r="D23" s="53" t="s">
        <v>993</v>
      </c>
      <c r="E23" s="69">
        <v>50100683547664</v>
      </c>
      <c r="F23" s="60" t="s">
        <v>994</v>
      </c>
      <c r="G23" s="53">
        <v>1900</v>
      </c>
      <c r="H23" s="62">
        <v>46085</v>
      </c>
      <c r="I23" s="61" t="s">
        <v>1497</v>
      </c>
      <c r="J23" s="61" t="s">
        <v>1498</v>
      </c>
      <c r="K23" s="53">
        <v>352507800</v>
      </c>
      <c r="L23" s="60">
        <v>8093441726</v>
      </c>
      <c r="M23" s="55" t="s">
        <v>1794</v>
      </c>
    </row>
    <row r="24" spans="1:13" x14ac:dyDescent="0.25">
      <c r="A24" s="53" t="s">
        <v>12</v>
      </c>
      <c r="B24" s="53" t="s">
        <v>13</v>
      </c>
      <c r="C24" s="53" t="s">
        <v>14</v>
      </c>
      <c r="D24" s="53" t="s">
        <v>343</v>
      </c>
      <c r="E24" s="54">
        <v>37223550583</v>
      </c>
      <c r="F24" s="53" t="s">
        <v>33</v>
      </c>
      <c r="G24" s="53">
        <v>3950</v>
      </c>
      <c r="H24" s="62">
        <v>46085</v>
      </c>
      <c r="I24" s="61" t="s">
        <v>895</v>
      </c>
      <c r="J24" s="61" t="s">
        <v>896</v>
      </c>
      <c r="K24" s="53">
        <v>352507774</v>
      </c>
      <c r="L24" s="53">
        <v>9031258705</v>
      </c>
      <c r="M24" s="55" t="s">
        <v>1795</v>
      </c>
    </row>
    <row r="25" spans="1:13" x14ac:dyDescent="0.25">
      <c r="A25" s="53" t="s">
        <v>12</v>
      </c>
      <c r="B25" s="53" t="s">
        <v>13</v>
      </c>
      <c r="C25" s="53" t="s">
        <v>14</v>
      </c>
      <c r="D25" s="53" t="s">
        <v>1406</v>
      </c>
      <c r="E25" s="69">
        <v>645602010014653</v>
      </c>
      <c r="F25" s="53" t="s">
        <v>1407</v>
      </c>
      <c r="G25" s="53">
        <v>5450</v>
      </c>
      <c r="H25" s="62">
        <v>46085</v>
      </c>
      <c r="I25" s="53" t="s">
        <v>903</v>
      </c>
      <c r="J25" s="53" t="s">
        <v>904</v>
      </c>
      <c r="K25" s="53">
        <v>352507785</v>
      </c>
      <c r="L25" s="53">
        <v>8084480157</v>
      </c>
      <c r="M25" s="55" t="s">
        <v>1796</v>
      </c>
    </row>
    <row r="26" spans="1:13" x14ac:dyDescent="0.25">
      <c r="A26" s="61" t="s">
        <v>12</v>
      </c>
      <c r="B26" s="61" t="s">
        <v>13</v>
      </c>
      <c r="C26" s="61" t="s">
        <v>14</v>
      </c>
      <c r="D26" s="61" t="s">
        <v>31</v>
      </c>
      <c r="E26" s="61" t="s">
        <v>32</v>
      </c>
      <c r="F26" s="61" t="s">
        <v>33</v>
      </c>
      <c r="G26" s="53">
        <v>1000</v>
      </c>
      <c r="H26" s="62">
        <v>46086</v>
      </c>
      <c r="I26" s="61" t="s">
        <v>571</v>
      </c>
      <c r="J26" s="61" t="s">
        <v>59</v>
      </c>
      <c r="K26" s="53">
        <v>352507808</v>
      </c>
      <c r="L26" s="61">
        <v>9347726061</v>
      </c>
      <c r="M26" s="55" t="s">
        <v>1797</v>
      </c>
    </row>
    <row r="27" spans="1:13" x14ac:dyDescent="0.25">
      <c r="A27" s="61" t="s">
        <v>12</v>
      </c>
      <c r="B27" s="61" t="s">
        <v>13</v>
      </c>
      <c r="C27" s="61" t="s">
        <v>14</v>
      </c>
      <c r="D27" s="61" t="s">
        <v>31</v>
      </c>
      <c r="E27" s="61" t="s">
        <v>32</v>
      </c>
      <c r="F27" s="61" t="s">
        <v>33</v>
      </c>
      <c r="G27" s="53">
        <v>1000</v>
      </c>
      <c r="H27" s="62">
        <v>46086</v>
      </c>
      <c r="I27" s="61" t="s">
        <v>571</v>
      </c>
      <c r="J27" s="61" t="s">
        <v>59</v>
      </c>
      <c r="K27" s="53">
        <v>352507809</v>
      </c>
      <c r="L27" s="61">
        <v>9347726061</v>
      </c>
      <c r="M27" s="55" t="s">
        <v>1798</v>
      </c>
    </row>
    <row r="28" spans="1:13" x14ac:dyDescent="0.25">
      <c r="A28" s="53" t="s">
        <v>12</v>
      </c>
      <c r="B28" s="53" t="s">
        <v>13</v>
      </c>
      <c r="C28" s="53" t="s">
        <v>14</v>
      </c>
      <c r="D28" s="53" t="s">
        <v>144</v>
      </c>
      <c r="E28" s="53">
        <v>44182579159</v>
      </c>
      <c r="F28" s="53" t="s">
        <v>145</v>
      </c>
      <c r="G28" s="53">
        <v>3950</v>
      </c>
      <c r="H28" s="62">
        <v>46086</v>
      </c>
      <c r="I28" s="53" t="s">
        <v>593</v>
      </c>
      <c r="J28" s="53" t="s">
        <v>76</v>
      </c>
      <c r="K28" s="53">
        <v>352507749</v>
      </c>
      <c r="L28" s="53">
        <v>7765824237</v>
      </c>
      <c r="M28" s="55" t="s">
        <v>1801</v>
      </c>
    </row>
    <row r="29" spans="1:13" x14ac:dyDescent="0.25">
      <c r="A29" s="53" t="s">
        <v>12</v>
      </c>
      <c r="B29" s="53" t="s">
        <v>13</v>
      </c>
      <c r="C29" s="53" t="s">
        <v>14</v>
      </c>
      <c r="D29" s="53" t="s">
        <v>435</v>
      </c>
      <c r="E29" s="53">
        <v>31095925572</v>
      </c>
      <c r="F29" s="60" t="s">
        <v>33</v>
      </c>
      <c r="G29" s="53">
        <v>5450</v>
      </c>
      <c r="H29" s="62">
        <v>46086</v>
      </c>
      <c r="I29" s="61" t="s">
        <v>1485</v>
      </c>
      <c r="J29" s="61" t="s">
        <v>1486</v>
      </c>
      <c r="K29" s="53">
        <v>352507786</v>
      </c>
      <c r="L29" s="60">
        <v>8084080392</v>
      </c>
      <c r="M29" s="55" t="s">
        <v>1799</v>
      </c>
    </row>
    <row r="30" spans="1:13" x14ac:dyDescent="0.25">
      <c r="A30" s="53" t="s">
        <v>12</v>
      </c>
      <c r="B30" s="53" t="s">
        <v>13</v>
      </c>
      <c r="C30" s="53" t="s">
        <v>14</v>
      </c>
      <c r="D30" s="53" t="s">
        <v>36</v>
      </c>
      <c r="E30" s="53" t="s">
        <v>37</v>
      </c>
      <c r="F30" s="53" t="s">
        <v>38</v>
      </c>
      <c r="G30" s="53">
        <v>16600</v>
      </c>
      <c r="H30" s="62">
        <v>46086</v>
      </c>
      <c r="I30" s="53" t="s">
        <v>902</v>
      </c>
      <c r="J30" s="53" t="s">
        <v>901</v>
      </c>
      <c r="K30" s="53">
        <v>352507784</v>
      </c>
      <c r="L30" s="53">
        <v>9358936441</v>
      </c>
      <c r="M30" s="55" t="s">
        <v>1800</v>
      </c>
    </row>
    <row r="31" spans="1:13" x14ac:dyDescent="0.25">
      <c r="A31" s="53" t="s">
        <v>12</v>
      </c>
      <c r="B31" s="53" t="s">
        <v>13</v>
      </c>
      <c r="C31" s="53" t="s">
        <v>14</v>
      </c>
      <c r="D31" s="53" t="s">
        <v>48</v>
      </c>
      <c r="E31" s="53" t="s">
        <v>49</v>
      </c>
      <c r="F31" s="53" t="s">
        <v>50</v>
      </c>
      <c r="G31" s="53">
        <v>200</v>
      </c>
      <c r="H31" s="62">
        <v>46086</v>
      </c>
      <c r="I31" s="53" t="s">
        <v>1519</v>
      </c>
      <c r="J31" s="53" t="s">
        <v>1520</v>
      </c>
      <c r="K31" s="53">
        <v>352507790</v>
      </c>
      <c r="L31" s="53">
        <v>8520078561</v>
      </c>
      <c r="M31" s="55" t="s">
        <v>1802</v>
      </c>
    </row>
    <row r="32" spans="1:13" x14ac:dyDescent="0.25">
      <c r="A32" s="53" t="s">
        <v>12</v>
      </c>
      <c r="B32" s="53" t="s">
        <v>13</v>
      </c>
      <c r="C32" s="53" t="s">
        <v>14</v>
      </c>
      <c r="D32" s="53" t="s">
        <v>108</v>
      </c>
      <c r="E32" s="53" t="s">
        <v>109</v>
      </c>
      <c r="F32" s="53" t="s">
        <v>110</v>
      </c>
      <c r="G32" s="53">
        <v>200</v>
      </c>
      <c r="H32" s="62">
        <v>46086</v>
      </c>
      <c r="I32" s="61" t="s">
        <v>1777</v>
      </c>
      <c r="J32" s="61" t="s">
        <v>1778</v>
      </c>
      <c r="K32" s="53">
        <v>352507797</v>
      </c>
      <c r="L32" s="53">
        <v>7870570436</v>
      </c>
      <c r="M32" s="55" t="s">
        <v>1802</v>
      </c>
    </row>
    <row r="33" spans="1:13" x14ac:dyDescent="0.25">
      <c r="A33" s="61" t="s">
        <v>12</v>
      </c>
      <c r="B33" s="61" t="s">
        <v>13</v>
      </c>
      <c r="C33" s="61" t="s">
        <v>14</v>
      </c>
      <c r="D33" s="61" t="s">
        <v>31</v>
      </c>
      <c r="E33" s="61" t="s">
        <v>32</v>
      </c>
      <c r="F33" s="61" t="s">
        <v>33</v>
      </c>
      <c r="G33" s="53">
        <v>1000</v>
      </c>
      <c r="H33" s="62">
        <v>46087</v>
      </c>
      <c r="I33" s="61" t="s">
        <v>571</v>
      </c>
      <c r="J33" s="61" t="s">
        <v>59</v>
      </c>
      <c r="K33" s="53">
        <v>352507836</v>
      </c>
      <c r="L33" s="61">
        <v>9347726061</v>
      </c>
      <c r="M33" s="55" t="s">
        <v>1803</v>
      </c>
    </row>
    <row r="34" spans="1:13" x14ac:dyDescent="0.25">
      <c r="A34" s="53" t="s">
        <v>12</v>
      </c>
      <c r="B34" s="53" t="s">
        <v>13</v>
      </c>
      <c r="C34" s="53" t="s">
        <v>14</v>
      </c>
      <c r="D34" s="53" t="s">
        <v>993</v>
      </c>
      <c r="E34" s="69">
        <v>50100683547664</v>
      </c>
      <c r="F34" s="60" t="s">
        <v>994</v>
      </c>
      <c r="G34" s="53">
        <v>7500</v>
      </c>
      <c r="H34" s="62">
        <v>46087</v>
      </c>
      <c r="I34" s="61" t="s">
        <v>1497</v>
      </c>
      <c r="J34" s="61" t="s">
        <v>1498</v>
      </c>
      <c r="K34" s="53">
        <v>352507800</v>
      </c>
      <c r="L34" s="60">
        <v>8093441726</v>
      </c>
      <c r="M34" s="55" t="s">
        <v>1804</v>
      </c>
    </row>
    <row r="35" spans="1:13" x14ac:dyDescent="0.25">
      <c r="A35" s="53" t="s">
        <v>12</v>
      </c>
      <c r="B35" s="53" t="s">
        <v>13</v>
      </c>
      <c r="C35" s="53" t="s">
        <v>14</v>
      </c>
      <c r="D35" s="53" t="s">
        <v>48</v>
      </c>
      <c r="E35" s="53" t="s">
        <v>49</v>
      </c>
      <c r="F35" s="53" t="s">
        <v>50</v>
      </c>
      <c r="G35" s="53">
        <v>1900</v>
      </c>
      <c r="H35" s="62">
        <v>46087</v>
      </c>
      <c r="I35" s="53" t="s">
        <v>1519</v>
      </c>
      <c r="J35" s="53" t="s">
        <v>1520</v>
      </c>
      <c r="K35" s="53">
        <v>352507856</v>
      </c>
      <c r="L35" s="53">
        <v>8520078561</v>
      </c>
      <c r="M35" s="55" t="s">
        <v>1805</v>
      </c>
    </row>
    <row r="36" spans="1:13" x14ac:dyDescent="0.25">
      <c r="A36" s="53" t="s">
        <v>12</v>
      </c>
      <c r="B36" s="53" t="s">
        <v>13</v>
      </c>
      <c r="C36" s="53" t="s">
        <v>14</v>
      </c>
      <c r="D36" s="53" t="s">
        <v>95</v>
      </c>
      <c r="E36" s="53" t="s">
        <v>96</v>
      </c>
      <c r="F36" s="53" t="s">
        <v>33</v>
      </c>
      <c r="G36" s="53">
        <v>1500</v>
      </c>
      <c r="H36" s="62">
        <v>46087</v>
      </c>
      <c r="I36" s="61" t="s">
        <v>1483</v>
      </c>
      <c r="J36" s="61" t="s">
        <v>1484</v>
      </c>
      <c r="K36" s="53">
        <v>352507857</v>
      </c>
      <c r="L36" s="53">
        <v>8159025834</v>
      </c>
      <c r="M36" s="55" t="s">
        <v>1805</v>
      </c>
    </row>
    <row r="37" spans="1:13" x14ac:dyDescent="0.25">
      <c r="A37" s="53" t="s">
        <v>12</v>
      </c>
      <c r="B37" s="53" t="s">
        <v>13</v>
      </c>
      <c r="C37" s="53" t="s">
        <v>14</v>
      </c>
      <c r="D37" s="53" t="s">
        <v>95</v>
      </c>
      <c r="E37" s="53" t="s">
        <v>96</v>
      </c>
      <c r="F37" s="53" t="s">
        <v>33</v>
      </c>
      <c r="G37" s="53">
        <v>5200</v>
      </c>
      <c r="H37" s="62">
        <v>46087</v>
      </c>
      <c r="I37" s="61" t="s">
        <v>1483</v>
      </c>
      <c r="J37" s="61" t="s">
        <v>1484</v>
      </c>
      <c r="K37" s="53">
        <v>352507782</v>
      </c>
      <c r="L37" s="53">
        <v>8159025834</v>
      </c>
      <c r="M37" s="55" t="s">
        <v>1806</v>
      </c>
    </row>
    <row r="38" spans="1:13" x14ac:dyDescent="0.25">
      <c r="A38" s="53" t="s">
        <v>12</v>
      </c>
      <c r="B38" s="53" t="s">
        <v>13</v>
      </c>
      <c r="C38" s="53" t="s">
        <v>14</v>
      </c>
      <c r="D38" s="53" t="s">
        <v>144</v>
      </c>
      <c r="E38" s="53">
        <v>44182579159</v>
      </c>
      <c r="F38" s="53" t="s">
        <v>145</v>
      </c>
      <c r="G38" s="53">
        <v>5450</v>
      </c>
      <c r="H38" s="62">
        <v>46087</v>
      </c>
      <c r="I38" s="53" t="s">
        <v>593</v>
      </c>
      <c r="J38" s="53" t="s">
        <v>76</v>
      </c>
      <c r="K38" s="53">
        <v>352507830</v>
      </c>
      <c r="L38" s="53">
        <v>7765824237</v>
      </c>
      <c r="M38" s="55" t="s">
        <v>1807</v>
      </c>
    </row>
    <row r="39" spans="1:13" x14ac:dyDescent="0.25">
      <c r="A39" s="53" t="s">
        <v>12</v>
      </c>
      <c r="B39" s="53" t="s">
        <v>13</v>
      </c>
      <c r="C39" s="53" t="s">
        <v>14</v>
      </c>
      <c r="D39" s="53" t="s">
        <v>343</v>
      </c>
      <c r="E39" s="54">
        <v>37223550583</v>
      </c>
      <c r="F39" s="53" t="s">
        <v>33</v>
      </c>
      <c r="G39" s="53">
        <v>5450</v>
      </c>
      <c r="H39" s="62">
        <v>46087</v>
      </c>
      <c r="I39" s="61" t="s">
        <v>895</v>
      </c>
      <c r="J39" s="61" t="s">
        <v>896</v>
      </c>
      <c r="K39" s="53">
        <v>352507823</v>
      </c>
      <c r="L39" s="53">
        <v>9031258705</v>
      </c>
      <c r="M39" s="55" t="s">
        <v>1807</v>
      </c>
    </row>
    <row r="40" spans="1:13" x14ac:dyDescent="0.25">
      <c r="A40" s="53" t="s">
        <v>12</v>
      </c>
      <c r="B40" s="53" t="s">
        <v>13</v>
      </c>
      <c r="C40" s="53" t="s">
        <v>14</v>
      </c>
      <c r="D40" s="53" t="s">
        <v>1406</v>
      </c>
      <c r="E40" s="69">
        <v>645602010014653</v>
      </c>
      <c r="F40" s="53" t="s">
        <v>1407</v>
      </c>
      <c r="G40" s="53">
        <v>5450</v>
      </c>
      <c r="H40" s="62">
        <v>46087</v>
      </c>
      <c r="I40" s="53" t="s">
        <v>903</v>
      </c>
      <c r="J40" s="53" t="s">
        <v>904</v>
      </c>
      <c r="K40" s="53">
        <v>352507822</v>
      </c>
      <c r="L40" s="53">
        <v>8084480157</v>
      </c>
      <c r="M40" s="55" t="s">
        <v>1807</v>
      </c>
    </row>
    <row r="41" spans="1:13" x14ac:dyDescent="0.25">
      <c r="A41" s="53" t="s">
        <v>12</v>
      </c>
      <c r="B41" s="53" t="s">
        <v>13</v>
      </c>
      <c r="C41" s="53" t="s">
        <v>14</v>
      </c>
      <c r="D41" s="53" t="s">
        <v>48</v>
      </c>
      <c r="E41" s="53" t="s">
        <v>49</v>
      </c>
      <c r="F41" s="53" t="s">
        <v>50</v>
      </c>
      <c r="G41" s="53">
        <v>200</v>
      </c>
      <c r="H41" s="62">
        <v>46087</v>
      </c>
      <c r="I41" s="53" t="s">
        <v>1519</v>
      </c>
      <c r="J41" s="53" t="s">
        <v>1520</v>
      </c>
      <c r="K41" s="53">
        <v>352507790</v>
      </c>
      <c r="L41" s="53">
        <v>8520078561</v>
      </c>
      <c r="M41" s="55" t="s">
        <v>1808</v>
      </c>
    </row>
    <row r="42" spans="1:13" x14ac:dyDescent="0.25">
      <c r="A42" s="53" t="s">
        <v>12</v>
      </c>
      <c r="B42" s="53" t="s">
        <v>13</v>
      </c>
      <c r="C42" s="53" t="s">
        <v>14</v>
      </c>
      <c r="D42" s="53" t="s">
        <v>108</v>
      </c>
      <c r="E42" s="53" t="s">
        <v>109</v>
      </c>
      <c r="F42" s="53" t="s">
        <v>110</v>
      </c>
      <c r="G42" s="53">
        <v>200</v>
      </c>
      <c r="H42" s="62">
        <v>46087</v>
      </c>
      <c r="I42" s="61" t="s">
        <v>1777</v>
      </c>
      <c r="J42" s="61" t="s">
        <v>1778</v>
      </c>
      <c r="K42" s="53">
        <v>352507797</v>
      </c>
      <c r="L42" s="53">
        <v>7870570436</v>
      </c>
      <c r="M42" s="55" t="s">
        <v>1808</v>
      </c>
    </row>
    <row r="43" spans="1:13" x14ac:dyDescent="0.25">
      <c r="A43" s="53" t="s">
        <v>12</v>
      </c>
      <c r="B43" s="53" t="s">
        <v>13</v>
      </c>
      <c r="C43" s="53" t="s">
        <v>14</v>
      </c>
      <c r="D43" s="53" t="s">
        <v>1610</v>
      </c>
      <c r="E43" s="53">
        <v>33067706253</v>
      </c>
      <c r="F43" s="53" t="s">
        <v>1611</v>
      </c>
      <c r="G43" s="53">
        <v>1000</v>
      </c>
      <c r="H43" s="62">
        <v>46088</v>
      </c>
      <c r="I43" s="53" t="s">
        <v>1513</v>
      </c>
      <c r="J43" s="53" t="s">
        <v>1495</v>
      </c>
      <c r="K43" s="53">
        <v>352507851</v>
      </c>
      <c r="L43" s="53">
        <v>6381535643</v>
      </c>
      <c r="M43" s="55" t="s">
        <v>1810</v>
      </c>
    </row>
    <row r="44" spans="1:13" x14ac:dyDescent="0.25">
      <c r="A44" s="53" t="s">
        <v>12</v>
      </c>
      <c r="B44" s="53" t="s">
        <v>13</v>
      </c>
      <c r="C44" s="53" t="s">
        <v>14</v>
      </c>
      <c r="D44" s="53" t="s">
        <v>48</v>
      </c>
      <c r="E44" s="53" t="s">
        <v>49</v>
      </c>
      <c r="F44" s="53" t="s">
        <v>50</v>
      </c>
      <c r="G44" s="53">
        <v>5200</v>
      </c>
      <c r="H44" s="62">
        <v>46088</v>
      </c>
      <c r="I44" s="53" t="s">
        <v>1519</v>
      </c>
      <c r="J44" s="53" t="s">
        <v>1520</v>
      </c>
      <c r="K44" s="53">
        <v>352507856</v>
      </c>
      <c r="L44" s="53">
        <v>8520078561</v>
      </c>
      <c r="M44" s="55" t="s">
        <v>1809</v>
      </c>
    </row>
    <row r="45" spans="1:13" x14ac:dyDescent="0.25">
      <c r="A45" s="53" t="s">
        <v>12</v>
      </c>
      <c r="B45" s="53" t="s">
        <v>13</v>
      </c>
      <c r="C45" s="53" t="s">
        <v>14</v>
      </c>
      <c r="D45" s="53" t="s">
        <v>435</v>
      </c>
      <c r="E45" s="53">
        <v>31095925572</v>
      </c>
      <c r="F45" s="60" t="s">
        <v>33</v>
      </c>
      <c r="G45" s="53">
        <v>5450</v>
      </c>
      <c r="H45" s="62">
        <v>46088</v>
      </c>
      <c r="I45" s="61" t="s">
        <v>1485</v>
      </c>
      <c r="J45" s="61" t="s">
        <v>1486</v>
      </c>
      <c r="K45" s="53">
        <v>352507849</v>
      </c>
      <c r="L45" s="60">
        <v>8084080392</v>
      </c>
      <c r="M45" s="55" t="s">
        <v>809</v>
      </c>
    </row>
    <row r="46" spans="1:13" x14ac:dyDescent="0.25">
      <c r="A46" s="53" t="s">
        <v>12</v>
      </c>
      <c r="B46" s="53" t="s">
        <v>13</v>
      </c>
      <c r="C46" s="53" t="s">
        <v>14</v>
      </c>
      <c r="D46" s="53" t="s">
        <v>108</v>
      </c>
      <c r="E46" s="53" t="s">
        <v>109</v>
      </c>
      <c r="F46" s="53" t="s">
        <v>110</v>
      </c>
      <c r="G46" s="53">
        <v>16600</v>
      </c>
      <c r="H46" s="62">
        <v>46088</v>
      </c>
      <c r="I46" s="61" t="s">
        <v>1777</v>
      </c>
      <c r="J46" s="61" t="s">
        <v>1778</v>
      </c>
      <c r="K46" s="53">
        <v>352507826</v>
      </c>
      <c r="L46" s="53">
        <v>7870570436</v>
      </c>
      <c r="M46" s="55" t="s">
        <v>1811</v>
      </c>
    </row>
    <row r="47" spans="1:13" x14ac:dyDescent="0.25">
      <c r="A47" s="53" t="s">
        <v>12</v>
      </c>
      <c r="B47" s="53" t="s">
        <v>13</v>
      </c>
      <c r="C47" s="53" t="s">
        <v>14</v>
      </c>
      <c r="D47" s="53" t="s">
        <v>993</v>
      </c>
      <c r="E47" s="69">
        <v>50100683547664</v>
      </c>
      <c r="F47" s="60" t="s">
        <v>994</v>
      </c>
      <c r="G47" s="53">
        <v>1000</v>
      </c>
      <c r="H47" s="62">
        <v>46090</v>
      </c>
      <c r="I47" s="61" t="s">
        <v>1497</v>
      </c>
      <c r="J47" s="61" t="s">
        <v>1498</v>
      </c>
      <c r="K47" s="53">
        <v>352507905</v>
      </c>
      <c r="L47" s="60">
        <v>8093441726</v>
      </c>
      <c r="M47" s="55" t="s">
        <v>1812</v>
      </c>
    </row>
    <row r="48" spans="1:13" x14ac:dyDescent="0.25">
      <c r="A48" s="61" t="s">
        <v>12</v>
      </c>
      <c r="B48" s="61" t="s">
        <v>13</v>
      </c>
      <c r="C48" s="61" t="s">
        <v>14</v>
      </c>
      <c r="D48" s="61" t="s">
        <v>31</v>
      </c>
      <c r="E48" s="61" t="s">
        <v>32</v>
      </c>
      <c r="F48" s="61" t="s">
        <v>33</v>
      </c>
      <c r="G48" s="53">
        <v>1000</v>
      </c>
      <c r="H48" s="62">
        <v>46090</v>
      </c>
      <c r="I48" s="61" t="s">
        <v>571</v>
      </c>
      <c r="J48" s="61" t="s">
        <v>59</v>
      </c>
      <c r="K48" s="53">
        <v>352507920</v>
      </c>
      <c r="L48" s="61">
        <v>9347726061</v>
      </c>
      <c r="M48" s="55" t="s">
        <v>1814</v>
      </c>
    </row>
    <row r="49" spans="1:13" x14ac:dyDescent="0.25">
      <c r="A49" s="53" t="s">
        <v>12</v>
      </c>
      <c r="B49" s="53" t="s">
        <v>13</v>
      </c>
      <c r="C49" s="53" t="s">
        <v>14</v>
      </c>
      <c r="D49" s="53" t="s">
        <v>95</v>
      </c>
      <c r="E49" s="53" t="s">
        <v>96</v>
      </c>
      <c r="F49" s="53" t="s">
        <v>33</v>
      </c>
      <c r="G49" s="53">
        <v>5000</v>
      </c>
      <c r="H49" s="62">
        <v>46090</v>
      </c>
      <c r="I49" s="61" t="s">
        <v>1483</v>
      </c>
      <c r="J49" s="61" t="s">
        <v>1484</v>
      </c>
      <c r="K49" s="53">
        <v>352507890</v>
      </c>
      <c r="L49" s="53">
        <v>8159025834</v>
      </c>
      <c r="M49" s="55" t="s">
        <v>1815</v>
      </c>
    </row>
    <row r="50" spans="1:13" x14ac:dyDescent="0.25">
      <c r="A50" s="53" t="s">
        <v>12</v>
      </c>
      <c r="B50" s="53" t="s">
        <v>13</v>
      </c>
      <c r="C50" s="53" t="s">
        <v>14</v>
      </c>
      <c r="D50" s="53" t="s">
        <v>36</v>
      </c>
      <c r="E50" s="53" t="s">
        <v>37</v>
      </c>
      <c r="F50" s="53" t="s">
        <v>38</v>
      </c>
      <c r="G50" s="53">
        <f>3000-1100</f>
        <v>1900</v>
      </c>
      <c r="H50" s="62">
        <v>46090</v>
      </c>
      <c r="I50" s="53" t="s">
        <v>902</v>
      </c>
      <c r="J50" s="53" t="s">
        <v>901</v>
      </c>
      <c r="K50" s="53">
        <v>352507784</v>
      </c>
      <c r="L50" s="53">
        <v>9358936441</v>
      </c>
      <c r="M50" s="55" t="s">
        <v>1800</v>
      </c>
    </row>
    <row r="51" spans="1:13" x14ac:dyDescent="0.25">
      <c r="A51" s="53" t="s">
        <v>12</v>
      </c>
      <c r="B51" s="53" t="s">
        <v>13</v>
      </c>
      <c r="C51" s="53" t="s">
        <v>14</v>
      </c>
      <c r="D51" s="53" t="s">
        <v>36</v>
      </c>
      <c r="E51" s="53" t="s">
        <v>37</v>
      </c>
      <c r="F51" s="53" t="s">
        <v>38</v>
      </c>
      <c r="G51" s="53">
        <v>5450</v>
      </c>
      <c r="H51" s="62">
        <v>46090</v>
      </c>
      <c r="I51" s="53" t="s">
        <v>902</v>
      </c>
      <c r="J51" s="53" t="s">
        <v>901</v>
      </c>
      <c r="K51" s="53">
        <v>352507784</v>
      </c>
      <c r="L51" s="53">
        <v>9358936441</v>
      </c>
      <c r="M51" s="55" t="s">
        <v>1816</v>
      </c>
    </row>
    <row r="52" spans="1:13" x14ac:dyDescent="0.25">
      <c r="A52" s="53" t="s">
        <v>12</v>
      </c>
      <c r="B52" s="53" t="s">
        <v>13</v>
      </c>
      <c r="C52" s="53" t="s">
        <v>14</v>
      </c>
      <c r="D52" s="53" t="s">
        <v>343</v>
      </c>
      <c r="E52" s="54">
        <v>37223550583</v>
      </c>
      <c r="F52" s="53" t="s">
        <v>33</v>
      </c>
      <c r="G52" s="53">
        <v>5450</v>
      </c>
      <c r="H52" s="62">
        <v>46090</v>
      </c>
      <c r="I52" s="61" t="s">
        <v>895</v>
      </c>
      <c r="J52" s="61" t="s">
        <v>896</v>
      </c>
      <c r="K52" s="53">
        <v>352507886</v>
      </c>
      <c r="L52" s="53">
        <v>9031258705</v>
      </c>
      <c r="M52" s="55" t="s">
        <v>1816</v>
      </c>
    </row>
    <row r="53" spans="1:13" x14ac:dyDescent="0.25">
      <c r="A53" s="53" t="s">
        <v>12</v>
      </c>
      <c r="B53" s="53" t="s">
        <v>13</v>
      </c>
      <c r="C53" s="53" t="s">
        <v>14</v>
      </c>
      <c r="D53" s="53" t="s">
        <v>1406</v>
      </c>
      <c r="E53" s="69">
        <v>645602010014653</v>
      </c>
      <c r="F53" s="53" t="s">
        <v>1407</v>
      </c>
      <c r="G53" s="53">
        <v>5450</v>
      </c>
      <c r="H53" s="62">
        <v>46090</v>
      </c>
      <c r="I53" s="53" t="s">
        <v>903</v>
      </c>
      <c r="J53" s="53" t="s">
        <v>904</v>
      </c>
      <c r="K53" s="53">
        <v>352507887</v>
      </c>
      <c r="L53" s="53">
        <v>8084480157</v>
      </c>
      <c r="M53" s="55" t="s">
        <v>1816</v>
      </c>
    </row>
    <row r="54" spans="1:13" x14ac:dyDescent="0.25">
      <c r="A54" s="53" t="s">
        <v>12</v>
      </c>
      <c r="B54" s="53" t="s">
        <v>13</v>
      </c>
      <c r="C54" s="53" t="s">
        <v>14</v>
      </c>
      <c r="D54" s="53" t="s">
        <v>48</v>
      </c>
      <c r="E54" s="53" t="s">
        <v>49</v>
      </c>
      <c r="F54" s="53" t="s">
        <v>50</v>
      </c>
      <c r="G54" s="53">
        <v>6400</v>
      </c>
      <c r="H54" s="62">
        <v>46090</v>
      </c>
      <c r="I54" s="53" t="s">
        <v>1519</v>
      </c>
      <c r="J54" s="53" t="s">
        <v>1520</v>
      </c>
      <c r="K54" s="53">
        <v>352507923</v>
      </c>
      <c r="L54" s="53">
        <v>8520078561</v>
      </c>
      <c r="M54" s="55" t="s">
        <v>1818</v>
      </c>
    </row>
    <row r="55" spans="1:13" x14ac:dyDescent="0.25">
      <c r="A55" s="53" t="s">
        <v>12</v>
      </c>
      <c r="B55" s="53" t="s">
        <v>13</v>
      </c>
      <c r="C55" s="53" t="s">
        <v>14</v>
      </c>
      <c r="D55" s="53" t="s">
        <v>144</v>
      </c>
      <c r="E55" s="53">
        <v>44182579159</v>
      </c>
      <c r="F55" s="53" t="s">
        <v>145</v>
      </c>
      <c r="G55" s="53">
        <v>1500</v>
      </c>
      <c r="H55" s="62">
        <v>46090</v>
      </c>
      <c r="I55" s="53" t="s">
        <v>593</v>
      </c>
      <c r="J55" s="53" t="s">
        <v>76</v>
      </c>
      <c r="K55" s="53">
        <v>352507944</v>
      </c>
      <c r="L55" s="53">
        <v>7765824237</v>
      </c>
      <c r="M55" s="55" t="s">
        <v>1819</v>
      </c>
    </row>
    <row r="56" spans="1:13" x14ac:dyDescent="0.25">
      <c r="A56" s="53" t="s">
        <v>12</v>
      </c>
      <c r="B56" s="53" t="s">
        <v>13</v>
      </c>
      <c r="C56" s="53" t="s">
        <v>14</v>
      </c>
      <c r="D56" s="53" t="s">
        <v>144</v>
      </c>
      <c r="E56" s="53">
        <v>44182579159</v>
      </c>
      <c r="F56" s="53" t="s">
        <v>145</v>
      </c>
      <c r="G56" s="53">
        <v>5200</v>
      </c>
      <c r="H56" s="62">
        <v>46090</v>
      </c>
      <c r="I56" s="53" t="s">
        <v>593</v>
      </c>
      <c r="J56" s="53" t="s">
        <v>76</v>
      </c>
      <c r="K56" s="53">
        <v>352507944</v>
      </c>
      <c r="L56" s="53">
        <v>7765824237</v>
      </c>
      <c r="M56" s="55" t="s">
        <v>1820</v>
      </c>
    </row>
    <row r="57" spans="1:13" x14ac:dyDescent="0.25">
      <c r="A57" s="53" t="s">
        <v>12</v>
      </c>
      <c r="B57" s="53" t="s">
        <v>13</v>
      </c>
      <c r="C57" s="53" t="s">
        <v>14</v>
      </c>
      <c r="D57" s="53" t="s">
        <v>1610</v>
      </c>
      <c r="E57" s="53">
        <v>33067706253</v>
      </c>
      <c r="F57" s="53" t="s">
        <v>1611</v>
      </c>
      <c r="G57" s="53">
        <v>1500</v>
      </c>
      <c r="H57" s="62">
        <v>46090</v>
      </c>
      <c r="I57" s="53" t="s">
        <v>1513</v>
      </c>
      <c r="J57" s="53" t="s">
        <v>1495</v>
      </c>
      <c r="K57" s="53">
        <v>352507945</v>
      </c>
      <c r="L57" s="53">
        <v>6381535643</v>
      </c>
      <c r="M57" s="55" t="s">
        <v>1819</v>
      </c>
    </row>
    <row r="58" spans="1:13" x14ac:dyDescent="0.25">
      <c r="A58" s="53" t="s">
        <v>12</v>
      </c>
      <c r="B58" s="53" t="s">
        <v>13</v>
      </c>
      <c r="C58" s="53" t="s">
        <v>14</v>
      </c>
      <c r="D58" s="53" t="s">
        <v>435</v>
      </c>
      <c r="E58" s="53">
        <v>31095925572</v>
      </c>
      <c r="F58" s="60" t="s">
        <v>33</v>
      </c>
      <c r="G58" s="53">
        <v>1900</v>
      </c>
      <c r="H58" s="62">
        <v>46090</v>
      </c>
      <c r="I58" s="61" t="s">
        <v>1485</v>
      </c>
      <c r="J58" s="61" t="s">
        <v>1486</v>
      </c>
      <c r="K58" s="53">
        <v>352507946</v>
      </c>
      <c r="L58" s="60">
        <v>8084080392</v>
      </c>
      <c r="M58" s="55" t="s">
        <v>1819</v>
      </c>
    </row>
    <row r="59" spans="1:13" x14ac:dyDescent="0.25">
      <c r="A59" s="53" t="s">
        <v>12</v>
      </c>
      <c r="B59" s="53" t="s">
        <v>13</v>
      </c>
      <c r="C59" s="53" t="s">
        <v>14</v>
      </c>
      <c r="D59" s="53" t="s">
        <v>1610</v>
      </c>
      <c r="E59" s="53">
        <v>33067706253</v>
      </c>
      <c r="F59" s="53" t="s">
        <v>1611</v>
      </c>
      <c r="G59" s="53">
        <v>2500</v>
      </c>
      <c r="H59" s="62">
        <v>46091</v>
      </c>
      <c r="I59" s="53" t="s">
        <v>1513</v>
      </c>
      <c r="J59" s="53" t="s">
        <v>1495</v>
      </c>
      <c r="K59" s="53">
        <v>352507965</v>
      </c>
      <c r="L59" s="53">
        <v>6381535643</v>
      </c>
      <c r="M59" s="55" t="s">
        <v>1819</v>
      </c>
    </row>
    <row r="60" spans="1:13" x14ac:dyDescent="0.25">
      <c r="A60" s="53" t="s">
        <v>12</v>
      </c>
      <c r="B60" s="53" t="s">
        <v>13</v>
      </c>
      <c r="C60" s="53" t="s">
        <v>14</v>
      </c>
      <c r="D60" s="53" t="s">
        <v>108</v>
      </c>
      <c r="E60" s="53" t="s">
        <v>109</v>
      </c>
      <c r="F60" s="53" t="s">
        <v>110</v>
      </c>
      <c r="G60" s="53">
        <v>3000</v>
      </c>
      <c r="H60" s="62">
        <v>46091</v>
      </c>
      <c r="I60" s="61" t="s">
        <v>1777</v>
      </c>
      <c r="J60" s="61" t="s">
        <v>1778</v>
      </c>
      <c r="K60" s="53">
        <v>352507826</v>
      </c>
      <c r="L60" s="53">
        <v>7870570436</v>
      </c>
      <c r="M60" s="55" t="s">
        <v>1821</v>
      </c>
    </row>
    <row r="61" spans="1:13" x14ac:dyDescent="0.25">
      <c r="A61" s="53" t="s">
        <v>12</v>
      </c>
      <c r="B61" s="53" t="s">
        <v>13</v>
      </c>
      <c r="C61" s="53" t="s">
        <v>14</v>
      </c>
      <c r="D61" s="53" t="s">
        <v>108</v>
      </c>
      <c r="E61" s="53" t="s">
        <v>109</v>
      </c>
      <c r="F61" s="53" t="s">
        <v>110</v>
      </c>
      <c r="G61" s="53">
        <v>5000</v>
      </c>
      <c r="H61" s="62">
        <v>46091</v>
      </c>
      <c r="I61" s="61" t="s">
        <v>1777</v>
      </c>
      <c r="J61" s="61" t="s">
        <v>1778</v>
      </c>
      <c r="K61" s="53">
        <v>352507826</v>
      </c>
      <c r="L61" s="53">
        <v>7870570436</v>
      </c>
      <c r="M61" s="55" t="s">
        <v>1823</v>
      </c>
    </row>
    <row r="62" spans="1:13" x14ac:dyDescent="0.25">
      <c r="A62" s="53" t="s">
        <v>12</v>
      </c>
      <c r="B62" s="53" t="s">
        <v>13</v>
      </c>
      <c r="C62" s="53" t="s">
        <v>14</v>
      </c>
      <c r="D62" s="53" t="s">
        <v>1610</v>
      </c>
      <c r="E62" s="53">
        <v>33067706253</v>
      </c>
      <c r="F62" s="53" t="s">
        <v>1611</v>
      </c>
      <c r="G62" s="53">
        <v>5200</v>
      </c>
      <c r="H62" s="62">
        <v>46091</v>
      </c>
      <c r="I62" s="53" t="s">
        <v>1513</v>
      </c>
      <c r="J62" s="53" t="s">
        <v>1495</v>
      </c>
      <c r="K62" s="53">
        <v>352507965</v>
      </c>
      <c r="L62" s="53">
        <v>6381535643</v>
      </c>
      <c r="M62" s="55" t="s">
        <v>1822</v>
      </c>
    </row>
    <row r="63" spans="1:13" x14ac:dyDescent="0.25">
      <c r="A63" s="53" t="s">
        <v>12</v>
      </c>
      <c r="B63" s="53" t="s">
        <v>13</v>
      </c>
      <c r="C63" s="53" t="s">
        <v>14</v>
      </c>
      <c r="D63" s="53" t="s">
        <v>435</v>
      </c>
      <c r="E63" s="53">
        <v>31095925572</v>
      </c>
      <c r="F63" s="60" t="s">
        <v>33</v>
      </c>
      <c r="G63" s="53">
        <v>5450</v>
      </c>
      <c r="H63" s="62">
        <v>46091</v>
      </c>
      <c r="I63" s="61" t="s">
        <v>1485</v>
      </c>
      <c r="J63" s="61" t="s">
        <v>1486</v>
      </c>
      <c r="K63" s="53">
        <v>352507946</v>
      </c>
      <c r="L63" s="60">
        <v>8084080392</v>
      </c>
      <c r="M63" s="55" t="s">
        <v>815</v>
      </c>
    </row>
    <row r="64" spans="1:13" x14ac:dyDescent="0.25">
      <c r="A64" s="53" t="s">
        <v>12</v>
      </c>
      <c r="B64" s="53" t="s">
        <v>13</v>
      </c>
      <c r="C64" s="53" t="s">
        <v>14</v>
      </c>
      <c r="D64" s="53" t="s">
        <v>993</v>
      </c>
      <c r="E64" s="69">
        <v>50100683547664</v>
      </c>
      <c r="F64" s="60" t="s">
        <v>994</v>
      </c>
      <c r="G64" s="53">
        <v>5450</v>
      </c>
      <c r="H64" s="62">
        <v>46091</v>
      </c>
      <c r="I64" s="61" t="s">
        <v>1497</v>
      </c>
      <c r="J64" s="61" t="s">
        <v>1498</v>
      </c>
      <c r="K64" s="53">
        <v>352507905</v>
      </c>
      <c r="L64" s="60">
        <v>8093441726</v>
      </c>
      <c r="M64" s="55" t="s">
        <v>815</v>
      </c>
    </row>
    <row r="65" spans="1:13" x14ac:dyDescent="0.25">
      <c r="A65" s="53" t="s">
        <v>12</v>
      </c>
      <c r="B65" s="53" t="s">
        <v>13</v>
      </c>
      <c r="C65" s="53" t="s">
        <v>14</v>
      </c>
      <c r="D65" s="53" t="s">
        <v>36</v>
      </c>
      <c r="E65" s="53" t="s">
        <v>37</v>
      </c>
      <c r="F65" s="53" t="s">
        <v>38</v>
      </c>
      <c r="G65" s="53">
        <f>3000-1100</f>
        <v>1900</v>
      </c>
      <c r="H65" s="62">
        <v>46091</v>
      </c>
      <c r="I65" s="53" t="s">
        <v>902</v>
      </c>
      <c r="J65" s="53" t="s">
        <v>901</v>
      </c>
      <c r="K65" s="53">
        <v>352507986</v>
      </c>
      <c r="L65" s="53">
        <v>9358936441</v>
      </c>
      <c r="M65" s="55" t="s">
        <v>1824</v>
      </c>
    </row>
    <row r="66" spans="1:13" x14ac:dyDescent="0.25">
      <c r="A66" s="53" t="s">
        <v>12</v>
      </c>
      <c r="B66" s="53" t="s">
        <v>13</v>
      </c>
      <c r="C66" s="53" t="s">
        <v>14</v>
      </c>
      <c r="D66" s="53" t="s">
        <v>993</v>
      </c>
      <c r="E66" s="69">
        <v>50100683547664</v>
      </c>
      <c r="F66" s="60" t="s">
        <v>994</v>
      </c>
      <c r="G66" s="53">
        <v>200</v>
      </c>
      <c r="H66" s="62">
        <v>46091</v>
      </c>
      <c r="I66" s="61" t="s">
        <v>1497</v>
      </c>
      <c r="J66" s="61" t="s">
        <v>1498</v>
      </c>
      <c r="K66" s="53">
        <v>352507905</v>
      </c>
      <c r="L66" s="60">
        <v>8093441726</v>
      </c>
      <c r="M66" s="55" t="s">
        <v>1825</v>
      </c>
    </row>
    <row r="67" spans="1:13" x14ac:dyDescent="0.25">
      <c r="A67" s="61" t="s">
        <v>12</v>
      </c>
      <c r="B67" s="61" t="s">
        <v>13</v>
      </c>
      <c r="C67" s="61" t="s">
        <v>14</v>
      </c>
      <c r="D67" s="61" t="s">
        <v>31</v>
      </c>
      <c r="E67" s="61" t="s">
        <v>32</v>
      </c>
      <c r="F67" s="61" t="s">
        <v>33</v>
      </c>
      <c r="G67" s="53">
        <v>6400</v>
      </c>
      <c r="H67" s="62">
        <v>46091</v>
      </c>
      <c r="I67" s="61" t="s">
        <v>571</v>
      </c>
      <c r="J67" s="61" t="s">
        <v>59</v>
      </c>
      <c r="K67" s="53">
        <v>352507920</v>
      </c>
      <c r="L67" s="61">
        <v>9347726061</v>
      </c>
      <c r="M67" s="55" t="s">
        <v>1826</v>
      </c>
    </row>
    <row r="68" spans="1:13" x14ac:dyDescent="0.25">
      <c r="A68" s="53" t="s">
        <v>12</v>
      </c>
      <c r="B68" s="53" t="s">
        <v>13</v>
      </c>
      <c r="C68" s="53" t="s">
        <v>14</v>
      </c>
      <c r="D68" s="53" t="s">
        <v>95</v>
      </c>
      <c r="E68" s="53" t="s">
        <v>96</v>
      </c>
      <c r="F68" s="53" t="s">
        <v>33</v>
      </c>
      <c r="G68" s="53">
        <v>3950</v>
      </c>
      <c r="H68" s="62">
        <v>46091</v>
      </c>
      <c r="I68" s="61" t="s">
        <v>1483</v>
      </c>
      <c r="J68" s="61" t="s">
        <v>1484</v>
      </c>
      <c r="K68" s="53">
        <v>352107987</v>
      </c>
      <c r="L68" s="53">
        <v>8159025834</v>
      </c>
      <c r="M68" s="55" t="s">
        <v>815</v>
      </c>
    </row>
    <row r="69" spans="1:13" x14ac:dyDescent="0.25">
      <c r="A69" s="53" t="s">
        <v>12</v>
      </c>
      <c r="B69" s="53" t="s">
        <v>13</v>
      </c>
      <c r="C69" s="53" t="s">
        <v>14</v>
      </c>
      <c r="D69" s="53" t="s">
        <v>36</v>
      </c>
      <c r="E69" s="53" t="s">
        <v>37</v>
      </c>
      <c r="F69" s="53" t="s">
        <v>38</v>
      </c>
      <c r="G69" s="53">
        <v>5450</v>
      </c>
      <c r="H69" s="62">
        <v>46092</v>
      </c>
      <c r="I69" s="53" t="s">
        <v>902</v>
      </c>
      <c r="J69" s="53" t="s">
        <v>901</v>
      </c>
      <c r="K69" s="53">
        <v>352507986</v>
      </c>
      <c r="L69" s="53">
        <v>9358936441</v>
      </c>
      <c r="M69" s="55" t="s">
        <v>817</v>
      </c>
    </row>
    <row r="70" spans="1:13" x14ac:dyDescent="0.25">
      <c r="A70" s="53" t="s">
        <v>12</v>
      </c>
      <c r="B70" s="53" t="s">
        <v>13</v>
      </c>
      <c r="C70" s="53" t="s">
        <v>14</v>
      </c>
      <c r="D70" s="53" t="s">
        <v>108</v>
      </c>
      <c r="E70" s="53" t="s">
        <v>109</v>
      </c>
      <c r="F70" s="53" t="s">
        <v>110</v>
      </c>
      <c r="G70" s="53">
        <v>5450</v>
      </c>
      <c r="H70" s="62">
        <v>46092</v>
      </c>
      <c r="I70" s="61" t="s">
        <v>1777</v>
      </c>
      <c r="J70" s="61" t="s">
        <v>1778</v>
      </c>
      <c r="K70" s="53">
        <v>352507996</v>
      </c>
      <c r="L70" s="53">
        <v>7870570436</v>
      </c>
      <c r="M70" s="55" t="s">
        <v>817</v>
      </c>
    </row>
    <row r="71" spans="1:13" x14ac:dyDescent="0.25">
      <c r="A71" s="53" t="s">
        <v>12</v>
      </c>
      <c r="B71" s="53" t="s">
        <v>13</v>
      </c>
      <c r="C71" s="53" t="s">
        <v>14</v>
      </c>
      <c r="D71" s="53" t="s">
        <v>343</v>
      </c>
      <c r="E71" s="54">
        <v>37223550583</v>
      </c>
      <c r="F71" s="53" t="s">
        <v>33</v>
      </c>
      <c r="G71" s="53">
        <v>5450</v>
      </c>
      <c r="H71" s="62">
        <v>46092</v>
      </c>
      <c r="I71" s="61" t="s">
        <v>895</v>
      </c>
      <c r="J71" s="61" t="s">
        <v>896</v>
      </c>
      <c r="K71" s="53">
        <v>352507968</v>
      </c>
      <c r="L71" s="53">
        <v>9031258705</v>
      </c>
      <c r="M71" s="55" t="s">
        <v>817</v>
      </c>
    </row>
    <row r="72" spans="1:13" x14ac:dyDescent="0.25">
      <c r="A72" s="53" t="s">
        <v>12</v>
      </c>
      <c r="B72" s="53" t="s">
        <v>13</v>
      </c>
      <c r="C72" s="53" t="s">
        <v>14</v>
      </c>
      <c r="D72" s="53" t="s">
        <v>435</v>
      </c>
      <c r="E72" s="53">
        <v>31095925572</v>
      </c>
      <c r="F72" s="60" t="s">
        <v>33</v>
      </c>
      <c r="G72" s="53">
        <v>5450</v>
      </c>
      <c r="H72" s="62">
        <v>46092</v>
      </c>
      <c r="I72" s="61" t="s">
        <v>1485</v>
      </c>
      <c r="J72" s="61" t="s">
        <v>1486</v>
      </c>
      <c r="K72" s="53">
        <v>352506003</v>
      </c>
      <c r="L72" s="60">
        <v>8084080392</v>
      </c>
      <c r="M72" s="55" t="s">
        <v>817</v>
      </c>
    </row>
    <row r="73" spans="1:13" x14ac:dyDescent="0.25">
      <c r="A73" s="53" t="s">
        <v>12</v>
      </c>
      <c r="B73" s="53" t="s">
        <v>13</v>
      </c>
      <c r="C73" s="53" t="s">
        <v>14</v>
      </c>
      <c r="D73" s="53" t="s">
        <v>1406</v>
      </c>
      <c r="E73" s="69">
        <v>645602010014653</v>
      </c>
      <c r="F73" s="53" t="s">
        <v>1407</v>
      </c>
      <c r="G73" s="53">
        <v>5000</v>
      </c>
      <c r="H73" s="62">
        <v>46092</v>
      </c>
      <c r="I73" s="53" t="s">
        <v>903</v>
      </c>
      <c r="J73" s="53" t="s">
        <v>904</v>
      </c>
      <c r="K73" s="53">
        <v>352507967</v>
      </c>
      <c r="L73" s="53">
        <v>8084480157</v>
      </c>
      <c r="M73" s="55" t="s">
        <v>1827</v>
      </c>
    </row>
    <row r="74" spans="1:13" x14ac:dyDescent="0.25">
      <c r="A74" s="53" t="s">
        <v>12</v>
      </c>
      <c r="B74" s="53" t="s">
        <v>13</v>
      </c>
      <c r="C74" s="53" t="s">
        <v>14</v>
      </c>
      <c r="D74" s="53" t="s">
        <v>95</v>
      </c>
      <c r="E74" s="53" t="s">
        <v>96</v>
      </c>
      <c r="F74" s="53" t="s">
        <v>33</v>
      </c>
      <c r="G74" s="53">
        <v>5000</v>
      </c>
      <c r="H74" s="62">
        <v>46092</v>
      </c>
      <c r="I74" s="61" t="s">
        <v>1483</v>
      </c>
      <c r="J74" s="61" t="s">
        <v>1484</v>
      </c>
      <c r="K74" s="53">
        <v>352508002</v>
      </c>
      <c r="L74" s="53">
        <v>8159025834</v>
      </c>
      <c r="M74" s="55" t="s">
        <v>1827</v>
      </c>
    </row>
    <row r="75" spans="1:13" x14ac:dyDescent="0.25">
      <c r="A75" s="53" t="s">
        <v>12</v>
      </c>
      <c r="B75" s="53" t="s">
        <v>13</v>
      </c>
      <c r="C75" s="53" t="s">
        <v>14</v>
      </c>
      <c r="D75" s="53" t="s">
        <v>993</v>
      </c>
      <c r="E75" s="69">
        <v>50100683547664</v>
      </c>
      <c r="F75" s="60" t="s">
        <v>994</v>
      </c>
      <c r="G75" s="53">
        <v>5200</v>
      </c>
      <c r="H75" s="62">
        <v>46092</v>
      </c>
      <c r="I75" s="61" t="s">
        <v>1497</v>
      </c>
      <c r="J75" s="61" t="s">
        <v>1498</v>
      </c>
      <c r="K75" s="53">
        <v>352508004</v>
      </c>
      <c r="L75" s="60">
        <v>8093441726</v>
      </c>
      <c r="M75" s="55" t="s">
        <v>1828</v>
      </c>
    </row>
    <row r="76" spans="1:13" x14ac:dyDescent="0.25">
      <c r="A76" s="53" t="s">
        <v>12</v>
      </c>
      <c r="B76" s="53" t="s">
        <v>13</v>
      </c>
      <c r="C76" s="53" t="s">
        <v>14</v>
      </c>
      <c r="D76" s="53" t="s">
        <v>144</v>
      </c>
      <c r="E76" s="53">
        <v>44182579159</v>
      </c>
      <c r="F76" s="53" t="s">
        <v>145</v>
      </c>
      <c r="G76" s="53">
        <v>1500</v>
      </c>
      <c r="H76" s="62">
        <v>46092</v>
      </c>
      <c r="I76" s="53" t="s">
        <v>593</v>
      </c>
      <c r="J76" s="53" t="s">
        <v>76</v>
      </c>
      <c r="K76" s="53">
        <v>352508025</v>
      </c>
      <c r="L76" s="53">
        <v>7765824237</v>
      </c>
      <c r="M76" s="55" t="s">
        <v>1829</v>
      </c>
    </row>
    <row r="77" spans="1:13" x14ac:dyDescent="0.25">
      <c r="A77" s="61" t="s">
        <v>12</v>
      </c>
      <c r="B77" s="61" t="s">
        <v>13</v>
      </c>
      <c r="C77" s="61" t="s">
        <v>14</v>
      </c>
      <c r="D77" s="61" t="s">
        <v>31</v>
      </c>
      <c r="E77" s="61" t="s">
        <v>32</v>
      </c>
      <c r="F77" s="61" t="s">
        <v>33</v>
      </c>
      <c r="G77" s="53">
        <v>1000</v>
      </c>
      <c r="H77" s="62">
        <v>46093</v>
      </c>
      <c r="I77" s="61" t="s">
        <v>571</v>
      </c>
      <c r="J77" s="61" t="s">
        <v>59</v>
      </c>
      <c r="K77" s="53">
        <v>352508054</v>
      </c>
      <c r="L77" s="61">
        <v>9347726061</v>
      </c>
      <c r="M77" s="55" t="s">
        <v>1830</v>
      </c>
    </row>
    <row r="78" spans="1:13" x14ac:dyDescent="0.25">
      <c r="A78" s="53" t="s">
        <v>12</v>
      </c>
      <c r="B78" s="53" t="s">
        <v>13</v>
      </c>
      <c r="C78" s="53" t="s">
        <v>14</v>
      </c>
      <c r="D78" s="53" t="s">
        <v>144</v>
      </c>
      <c r="E78" s="53">
        <v>44182579159</v>
      </c>
      <c r="F78" s="53" t="s">
        <v>145</v>
      </c>
      <c r="G78" s="53">
        <v>1200</v>
      </c>
      <c r="H78" s="62">
        <v>46093</v>
      </c>
      <c r="I78" s="53" t="s">
        <v>593</v>
      </c>
      <c r="J78" s="53" t="s">
        <v>76</v>
      </c>
      <c r="K78" s="53">
        <v>352508025</v>
      </c>
      <c r="L78" s="53">
        <v>7765824237</v>
      </c>
      <c r="M78" s="55" t="s">
        <v>1829</v>
      </c>
    </row>
    <row r="79" spans="1:13" x14ac:dyDescent="0.25">
      <c r="A79" s="53" t="s">
        <v>12</v>
      </c>
      <c r="B79" s="53" t="s">
        <v>13</v>
      </c>
      <c r="C79" s="53" t="s">
        <v>14</v>
      </c>
      <c r="D79" s="53" t="s">
        <v>48</v>
      </c>
      <c r="E79" s="53" t="s">
        <v>49</v>
      </c>
      <c r="F79" s="53" t="s">
        <v>50</v>
      </c>
      <c r="G79" s="53">
        <v>1200</v>
      </c>
      <c r="H79" s="62">
        <v>46093</v>
      </c>
      <c r="I79" s="53" t="s">
        <v>1519</v>
      </c>
      <c r="J79" s="53" t="s">
        <v>1520</v>
      </c>
      <c r="K79" s="53">
        <v>352508067</v>
      </c>
      <c r="L79" s="53">
        <v>8520078561</v>
      </c>
      <c r="M79" s="55" t="s">
        <v>1829</v>
      </c>
    </row>
    <row r="80" spans="1:13" x14ac:dyDescent="0.25">
      <c r="A80" s="53" t="s">
        <v>12</v>
      </c>
      <c r="B80" s="53" t="s">
        <v>13</v>
      </c>
      <c r="C80" s="53" t="s">
        <v>14</v>
      </c>
      <c r="D80" s="53" t="s">
        <v>1610</v>
      </c>
      <c r="E80" s="53">
        <v>33067706253</v>
      </c>
      <c r="F80" s="53" t="s">
        <v>1611</v>
      </c>
      <c r="G80" s="53">
        <v>1500</v>
      </c>
      <c r="H80" s="62">
        <v>46093</v>
      </c>
      <c r="I80" s="53" t="s">
        <v>1513</v>
      </c>
      <c r="J80" s="53" t="s">
        <v>1495</v>
      </c>
      <c r="K80" s="53">
        <v>352507965</v>
      </c>
      <c r="L80" s="53">
        <v>6381535643</v>
      </c>
      <c r="M80" s="55" t="s">
        <v>1831</v>
      </c>
    </row>
    <row r="81" spans="1:13" x14ac:dyDescent="0.25">
      <c r="A81" s="53" t="s">
        <v>12</v>
      </c>
      <c r="B81" s="53" t="s">
        <v>13</v>
      </c>
      <c r="C81" s="53" t="s">
        <v>14</v>
      </c>
      <c r="D81" s="53" t="s">
        <v>343</v>
      </c>
      <c r="E81" s="54">
        <v>37223550583</v>
      </c>
      <c r="F81" s="53" t="s">
        <v>33</v>
      </c>
      <c r="G81" s="53">
        <v>4950</v>
      </c>
      <c r="H81" s="62">
        <v>46093</v>
      </c>
      <c r="I81" s="61" t="s">
        <v>895</v>
      </c>
      <c r="J81" s="61" t="s">
        <v>896</v>
      </c>
      <c r="K81" s="53">
        <v>352507968</v>
      </c>
      <c r="L81" s="53">
        <v>9031258705</v>
      </c>
      <c r="M81" s="55" t="s">
        <v>1832</v>
      </c>
    </row>
    <row r="82" spans="1:13" x14ac:dyDescent="0.25">
      <c r="A82" s="53" t="s">
        <v>12</v>
      </c>
      <c r="B82" s="53" t="s">
        <v>13</v>
      </c>
      <c r="C82" s="53" t="s">
        <v>14</v>
      </c>
      <c r="D82" s="53" t="s">
        <v>36</v>
      </c>
      <c r="E82" s="53" t="s">
        <v>37</v>
      </c>
      <c r="F82" s="53" t="s">
        <v>38</v>
      </c>
      <c r="G82" s="53">
        <v>1000</v>
      </c>
      <c r="H82" s="62">
        <v>46094</v>
      </c>
      <c r="I82" s="53" t="s">
        <v>902</v>
      </c>
      <c r="J82" s="53" t="s">
        <v>901</v>
      </c>
      <c r="K82" s="53">
        <v>352508074</v>
      </c>
      <c r="L82" s="53">
        <v>9358936441</v>
      </c>
      <c r="M82" s="55" t="s">
        <v>1835</v>
      </c>
    </row>
    <row r="83" spans="1:13" x14ac:dyDescent="0.25">
      <c r="A83" s="53" t="s">
        <v>12</v>
      </c>
      <c r="B83" s="53" t="s">
        <v>13</v>
      </c>
      <c r="C83" s="53" t="s">
        <v>14</v>
      </c>
      <c r="D83" s="53" t="s">
        <v>36</v>
      </c>
      <c r="E83" s="53" t="s">
        <v>37</v>
      </c>
      <c r="F83" s="53" t="s">
        <v>38</v>
      </c>
      <c r="G83" s="53">
        <v>4950</v>
      </c>
      <c r="H83" s="62">
        <v>46094</v>
      </c>
      <c r="I83" s="53" t="s">
        <v>902</v>
      </c>
      <c r="J83" s="53" t="s">
        <v>901</v>
      </c>
      <c r="K83" s="53">
        <v>352508107</v>
      </c>
      <c r="L83" s="53">
        <v>9358936441</v>
      </c>
      <c r="M83" s="55" t="s">
        <v>1832</v>
      </c>
    </row>
    <row r="84" spans="1:13" x14ac:dyDescent="0.25">
      <c r="A84" s="53" t="s">
        <v>12</v>
      </c>
      <c r="B84" s="53" t="s">
        <v>13</v>
      </c>
      <c r="C84" s="53" t="s">
        <v>14</v>
      </c>
      <c r="D84" s="53" t="s">
        <v>108</v>
      </c>
      <c r="E84" s="53" t="s">
        <v>109</v>
      </c>
      <c r="F84" s="53" t="s">
        <v>110</v>
      </c>
      <c r="G84" s="53">
        <v>1500</v>
      </c>
      <c r="H84" s="62">
        <v>46094</v>
      </c>
      <c r="I84" s="61" t="s">
        <v>1777</v>
      </c>
      <c r="J84" s="61" t="s">
        <v>1778</v>
      </c>
      <c r="K84" s="53">
        <v>352508079</v>
      </c>
      <c r="L84" s="53">
        <v>7870570436</v>
      </c>
      <c r="M84" s="55" t="s">
        <v>1833</v>
      </c>
    </row>
    <row r="85" spans="1:13" x14ac:dyDescent="0.25">
      <c r="A85" s="53" t="s">
        <v>12</v>
      </c>
      <c r="B85" s="53" t="s">
        <v>13</v>
      </c>
      <c r="C85" s="53" t="s">
        <v>14</v>
      </c>
      <c r="D85" s="53" t="s">
        <v>108</v>
      </c>
      <c r="E85" s="53" t="s">
        <v>109</v>
      </c>
      <c r="F85" s="53" t="s">
        <v>110</v>
      </c>
      <c r="G85" s="53">
        <v>5200</v>
      </c>
      <c r="H85" s="62">
        <v>46094</v>
      </c>
      <c r="I85" s="61" t="s">
        <v>1777</v>
      </c>
      <c r="J85" s="61" t="s">
        <v>1778</v>
      </c>
      <c r="K85" s="53">
        <v>352508109</v>
      </c>
      <c r="L85" s="53">
        <v>7870570436</v>
      </c>
      <c r="M85" s="55" t="s">
        <v>1834</v>
      </c>
    </row>
    <row r="86" spans="1:13" x14ac:dyDescent="0.25">
      <c r="A86" s="53" t="s">
        <v>12</v>
      </c>
      <c r="B86" s="53" t="s">
        <v>13</v>
      </c>
      <c r="C86" s="53" t="s">
        <v>14</v>
      </c>
      <c r="D86" s="53" t="s">
        <v>435</v>
      </c>
      <c r="E86" s="53">
        <v>31095925572</v>
      </c>
      <c r="F86" s="60" t="s">
        <v>33</v>
      </c>
      <c r="G86" s="53">
        <v>5450</v>
      </c>
      <c r="H86" s="62">
        <v>46094</v>
      </c>
      <c r="I86" s="61" t="s">
        <v>1485</v>
      </c>
      <c r="J86" s="61" t="s">
        <v>1486</v>
      </c>
      <c r="K86" s="53">
        <v>352508111</v>
      </c>
      <c r="L86" s="60">
        <v>8084080392</v>
      </c>
      <c r="M86" s="55" t="s">
        <v>820</v>
      </c>
    </row>
    <row r="87" spans="1:13" x14ac:dyDescent="0.25">
      <c r="A87" s="53" t="s">
        <v>12</v>
      </c>
      <c r="B87" s="53" t="s">
        <v>13</v>
      </c>
      <c r="C87" s="53" t="s">
        <v>14</v>
      </c>
      <c r="D87" s="53" t="s">
        <v>1406</v>
      </c>
      <c r="E87" s="69">
        <v>645602010014653</v>
      </c>
      <c r="F87" s="53" t="s">
        <v>1407</v>
      </c>
      <c r="G87" s="53">
        <v>5450</v>
      </c>
      <c r="H87" s="62">
        <v>46094</v>
      </c>
      <c r="I87" s="53" t="s">
        <v>903</v>
      </c>
      <c r="J87" s="53" t="s">
        <v>904</v>
      </c>
      <c r="K87" s="53">
        <v>352508113</v>
      </c>
      <c r="L87" s="53">
        <v>8084480157</v>
      </c>
      <c r="M87" s="55" t="s">
        <v>820</v>
      </c>
    </row>
    <row r="88" spans="1:13" x14ac:dyDescent="0.25">
      <c r="A88" s="53" t="s">
        <v>12</v>
      </c>
      <c r="B88" s="53" t="s">
        <v>13</v>
      </c>
      <c r="C88" s="53" t="s">
        <v>14</v>
      </c>
      <c r="D88" s="53" t="s">
        <v>95</v>
      </c>
      <c r="E88" s="53" t="s">
        <v>96</v>
      </c>
      <c r="F88" s="53" t="s">
        <v>33</v>
      </c>
      <c r="G88" s="53">
        <v>5450</v>
      </c>
      <c r="H88" s="62">
        <v>46094</v>
      </c>
      <c r="I88" s="61" t="s">
        <v>1483</v>
      </c>
      <c r="J88" s="61" t="s">
        <v>1484</v>
      </c>
      <c r="K88" s="53">
        <v>352508112</v>
      </c>
      <c r="L88" s="53">
        <v>8159025834</v>
      </c>
      <c r="M88" s="55" t="s">
        <v>820</v>
      </c>
    </row>
    <row r="89" spans="1:13" x14ac:dyDescent="0.25">
      <c r="A89" s="53" t="s">
        <v>12</v>
      </c>
      <c r="B89" s="53" t="s">
        <v>13</v>
      </c>
      <c r="C89" s="53" t="s">
        <v>14</v>
      </c>
      <c r="D89" s="53" t="s">
        <v>993</v>
      </c>
      <c r="E89" s="69">
        <v>50100683547664</v>
      </c>
      <c r="F89" s="60" t="s">
        <v>994</v>
      </c>
      <c r="G89" s="53">
        <v>1000</v>
      </c>
      <c r="H89" s="62">
        <v>46094</v>
      </c>
      <c r="I89" s="61" t="s">
        <v>1497</v>
      </c>
      <c r="J89" s="61" t="s">
        <v>1498</v>
      </c>
      <c r="K89" s="53">
        <v>352508116</v>
      </c>
      <c r="L89" s="60">
        <v>8093441726</v>
      </c>
      <c r="M89" s="55" t="s">
        <v>1836</v>
      </c>
    </row>
    <row r="90" spans="1:13" x14ac:dyDescent="0.25">
      <c r="A90" s="53" t="s">
        <v>12</v>
      </c>
      <c r="B90" s="53" t="s">
        <v>13</v>
      </c>
      <c r="C90" s="53" t="s">
        <v>14</v>
      </c>
      <c r="D90" s="53" t="s">
        <v>993</v>
      </c>
      <c r="E90" s="69">
        <v>50100683547664</v>
      </c>
      <c r="F90" s="60" t="s">
        <v>994</v>
      </c>
      <c r="G90" s="53">
        <v>3950</v>
      </c>
      <c r="H90" s="62">
        <v>46094</v>
      </c>
      <c r="I90" s="61" t="s">
        <v>1497</v>
      </c>
      <c r="J90" s="61" t="s">
        <v>1498</v>
      </c>
      <c r="K90" s="53">
        <v>352508116</v>
      </c>
      <c r="L90" s="60">
        <v>8093441726</v>
      </c>
      <c r="M90" s="55" t="s">
        <v>820</v>
      </c>
    </row>
    <row r="91" spans="1:13" x14ac:dyDescent="0.25">
      <c r="A91" s="53" t="s">
        <v>12</v>
      </c>
      <c r="B91" s="53" t="s">
        <v>13</v>
      </c>
      <c r="C91" s="53" t="s">
        <v>14</v>
      </c>
      <c r="D91" s="53" t="s">
        <v>1610</v>
      </c>
      <c r="E91" s="53">
        <v>33067706253</v>
      </c>
      <c r="F91" s="53" t="s">
        <v>1611</v>
      </c>
      <c r="G91" s="53">
        <v>500</v>
      </c>
      <c r="H91" s="62">
        <v>46094</v>
      </c>
      <c r="I91" s="53" t="s">
        <v>1513</v>
      </c>
      <c r="J91" s="53" t="s">
        <v>1495</v>
      </c>
      <c r="K91" s="53">
        <v>352508086</v>
      </c>
      <c r="L91" s="53">
        <v>6381535643</v>
      </c>
      <c r="M91" s="55" t="s">
        <v>1831</v>
      </c>
    </row>
    <row r="92" spans="1:13" x14ac:dyDescent="0.25">
      <c r="A92" s="53" t="s">
        <v>12</v>
      </c>
      <c r="B92" s="53" t="s">
        <v>13</v>
      </c>
      <c r="C92" s="53" t="s">
        <v>14</v>
      </c>
      <c r="D92" s="53" t="s">
        <v>1610</v>
      </c>
      <c r="E92" s="53">
        <v>33067706253</v>
      </c>
      <c r="F92" s="53" t="s">
        <v>1611</v>
      </c>
      <c r="G92" s="53">
        <v>1500</v>
      </c>
      <c r="H92" s="62">
        <v>46094</v>
      </c>
      <c r="I92" s="53" t="s">
        <v>1513</v>
      </c>
      <c r="J92" s="53" t="s">
        <v>1495</v>
      </c>
      <c r="K92" s="53">
        <v>352508090</v>
      </c>
      <c r="L92" s="53">
        <v>6381535643</v>
      </c>
      <c r="M92" s="55" t="s">
        <v>1831</v>
      </c>
    </row>
    <row r="93" spans="1:13" x14ac:dyDescent="0.25">
      <c r="A93" s="53" t="s">
        <v>12</v>
      </c>
      <c r="B93" s="53" t="s">
        <v>13</v>
      </c>
      <c r="C93" s="53" t="s">
        <v>14</v>
      </c>
      <c r="D93" s="53" t="s">
        <v>144</v>
      </c>
      <c r="E93" s="53">
        <v>44182579159</v>
      </c>
      <c r="F93" s="53" t="s">
        <v>145</v>
      </c>
      <c r="G93" s="53">
        <v>300</v>
      </c>
      <c r="H93" s="62">
        <v>46094</v>
      </c>
      <c r="I93" s="53" t="s">
        <v>593</v>
      </c>
      <c r="J93" s="53" t="s">
        <v>76</v>
      </c>
      <c r="K93" s="53">
        <v>352508083</v>
      </c>
      <c r="L93" s="53">
        <v>7765824237</v>
      </c>
      <c r="M93" s="55" t="s">
        <v>1829</v>
      </c>
    </row>
    <row r="94" spans="1:13" x14ac:dyDescent="0.25">
      <c r="A94" s="53" t="s">
        <v>12</v>
      </c>
      <c r="B94" s="53" t="s">
        <v>13</v>
      </c>
      <c r="C94" s="53" t="s">
        <v>14</v>
      </c>
      <c r="D94" s="53" t="s">
        <v>144</v>
      </c>
      <c r="E94" s="53">
        <v>44182579159</v>
      </c>
      <c r="F94" s="53" t="s">
        <v>145</v>
      </c>
      <c r="G94" s="53">
        <v>2000</v>
      </c>
      <c r="H94" s="62">
        <v>46094</v>
      </c>
      <c r="I94" s="53" t="s">
        <v>593</v>
      </c>
      <c r="J94" s="53" t="s">
        <v>76</v>
      </c>
      <c r="K94" s="53">
        <v>352508087</v>
      </c>
      <c r="L94" s="53">
        <v>7765824237</v>
      </c>
      <c r="M94" s="55" t="s">
        <v>1831</v>
      </c>
    </row>
    <row r="95" spans="1:13" x14ac:dyDescent="0.25">
      <c r="A95" s="53" t="s">
        <v>12</v>
      </c>
      <c r="B95" s="53" t="s">
        <v>13</v>
      </c>
      <c r="C95" s="53" t="s">
        <v>14</v>
      </c>
      <c r="D95" s="53" t="s">
        <v>144</v>
      </c>
      <c r="E95" s="53">
        <v>44182579159</v>
      </c>
      <c r="F95" s="53" t="s">
        <v>145</v>
      </c>
      <c r="G95" s="53">
        <v>1500</v>
      </c>
      <c r="H95" s="62">
        <v>46094</v>
      </c>
      <c r="I95" s="53" t="s">
        <v>593</v>
      </c>
      <c r="J95" s="53" t="s">
        <v>76</v>
      </c>
      <c r="K95" s="53">
        <v>352508092</v>
      </c>
      <c r="L95" s="53">
        <v>7765824237</v>
      </c>
      <c r="M95" s="55" t="s">
        <v>1831</v>
      </c>
    </row>
    <row r="96" spans="1:13" x14ac:dyDescent="0.25">
      <c r="A96" s="53" t="s">
        <v>12</v>
      </c>
      <c r="B96" s="53" t="s">
        <v>13</v>
      </c>
      <c r="C96" s="53" t="s">
        <v>14</v>
      </c>
      <c r="D96" s="53" t="s">
        <v>48</v>
      </c>
      <c r="E96" s="53" t="s">
        <v>49</v>
      </c>
      <c r="F96" s="53" t="s">
        <v>50</v>
      </c>
      <c r="G96" s="53">
        <v>1300</v>
      </c>
      <c r="H96" s="62">
        <v>46094</v>
      </c>
      <c r="I96" s="53" t="s">
        <v>1519</v>
      </c>
      <c r="J96" s="53" t="s">
        <v>1520</v>
      </c>
      <c r="K96" s="53">
        <v>352508082</v>
      </c>
      <c r="L96" s="53">
        <v>8520078561</v>
      </c>
      <c r="M96" s="55" t="s">
        <v>1829</v>
      </c>
    </row>
    <row r="97" spans="1:13" x14ac:dyDescent="0.25">
      <c r="A97" s="53" t="s">
        <v>12</v>
      </c>
      <c r="B97" s="53" t="s">
        <v>13</v>
      </c>
      <c r="C97" s="53" t="s">
        <v>14</v>
      </c>
      <c r="D97" s="53" t="s">
        <v>48</v>
      </c>
      <c r="E97" s="53" t="s">
        <v>49</v>
      </c>
      <c r="F97" s="53" t="s">
        <v>50</v>
      </c>
      <c r="G97" s="53">
        <v>2000</v>
      </c>
      <c r="H97" s="62">
        <v>46094</v>
      </c>
      <c r="I97" s="53" t="s">
        <v>1519</v>
      </c>
      <c r="J97" s="53" t="s">
        <v>1520</v>
      </c>
      <c r="K97" s="53">
        <v>352508085</v>
      </c>
      <c r="L97" s="53">
        <v>8520078561</v>
      </c>
      <c r="M97" s="55" t="s">
        <v>1831</v>
      </c>
    </row>
    <row r="98" spans="1:13" x14ac:dyDescent="0.25">
      <c r="A98" s="53" t="s">
        <v>12</v>
      </c>
      <c r="B98" s="53" t="s">
        <v>13</v>
      </c>
      <c r="C98" s="53" t="s">
        <v>14</v>
      </c>
      <c r="D98" s="53" t="s">
        <v>48</v>
      </c>
      <c r="E98" s="53" t="s">
        <v>49</v>
      </c>
      <c r="F98" s="53" t="s">
        <v>50</v>
      </c>
      <c r="G98" s="53">
        <v>1500</v>
      </c>
      <c r="H98" s="62">
        <v>46094</v>
      </c>
      <c r="I98" s="53" t="s">
        <v>1519</v>
      </c>
      <c r="J98" s="53" t="s">
        <v>1520</v>
      </c>
      <c r="K98" s="53">
        <v>352508091</v>
      </c>
      <c r="L98" s="53">
        <v>8520078561</v>
      </c>
      <c r="M98" s="55" t="s">
        <v>1831</v>
      </c>
    </row>
    <row r="99" spans="1:13" x14ac:dyDescent="0.25">
      <c r="A99" s="61" t="s">
        <v>12</v>
      </c>
      <c r="B99" s="61" t="s">
        <v>13</v>
      </c>
      <c r="C99" s="61" t="s">
        <v>14</v>
      </c>
      <c r="D99" s="61" t="s">
        <v>31</v>
      </c>
      <c r="E99" s="61" t="s">
        <v>32</v>
      </c>
      <c r="F99" s="61" t="s">
        <v>33</v>
      </c>
      <c r="G99" s="53">
        <v>1100</v>
      </c>
      <c r="H99" s="62">
        <v>46094</v>
      </c>
      <c r="I99" s="61" t="s">
        <v>571</v>
      </c>
      <c r="J99" s="61" t="s">
        <v>59</v>
      </c>
      <c r="K99" s="53">
        <v>352508089</v>
      </c>
      <c r="L99" s="61">
        <v>9347726061</v>
      </c>
      <c r="M99" s="55" t="s">
        <v>1831</v>
      </c>
    </row>
    <row r="100" spans="1:13" x14ac:dyDescent="0.25">
      <c r="A100" s="61" t="s">
        <v>12</v>
      </c>
      <c r="B100" s="61" t="s">
        <v>13</v>
      </c>
      <c r="C100" s="61" t="s">
        <v>14</v>
      </c>
      <c r="D100" s="61" t="s">
        <v>31</v>
      </c>
      <c r="E100" s="61" t="s">
        <v>32</v>
      </c>
      <c r="F100" s="61" t="s">
        <v>33</v>
      </c>
      <c r="G100" s="53">
        <v>1500</v>
      </c>
      <c r="H100" s="62">
        <v>46094</v>
      </c>
      <c r="I100" s="61" t="s">
        <v>571</v>
      </c>
      <c r="J100" s="61" t="s">
        <v>59</v>
      </c>
      <c r="K100" s="53">
        <v>352508093</v>
      </c>
      <c r="L100" s="61">
        <v>9347726061</v>
      </c>
      <c r="M100" s="55" t="s">
        <v>1831</v>
      </c>
    </row>
    <row r="101" spans="1:13" x14ac:dyDescent="0.25">
      <c r="A101" s="53" t="s">
        <v>12</v>
      </c>
      <c r="B101" s="53" t="s">
        <v>13</v>
      </c>
      <c r="C101" s="53" t="s">
        <v>14</v>
      </c>
      <c r="D101" s="53" t="s">
        <v>36</v>
      </c>
      <c r="E101" s="53" t="s">
        <v>37</v>
      </c>
      <c r="F101" s="53" t="s">
        <v>38</v>
      </c>
      <c r="G101" s="53">
        <v>3950</v>
      </c>
      <c r="H101" s="62">
        <v>46094</v>
      </c>
      <c r="I101" s="53" t="s">
        <v>902</v>
      </c>
      <c r="J101" s="53" t="s">
        <v>901</v>
      </c>
      <c r="K101" s="53">
        <v>352508107</v>
      </c>
      <c r="L101" s="53">
        <v>9358936441</v>
      </c>
      <c r="M101" s="55" t="s">
        <v>822</v>
      </c>
    </row>
    <row r="102" spans="1:13" x14ac:dyDescent="0.25">
      <c r="A102" s="53" t="s">
        <v>12</v>
      </c>
      <c r="B102" s="53" t="s">
        <v>13</v>
      </c>
      <c r="C102" s="53" t="s">
        <v>14</v>
      </c>
      <c r="D102" s="53" t="s">
        <v>343</v>
      </c>
      <c r="E102" s="54">
        <v>37223550583</v>
      </c>
      <c r="F102" s="53" t="s">
        <v>33</v>
      </c>
      <c r="G102" s="53">
        <v>3950</v>
      </c>
      <c r="H102" s="62">
        <v>46094</v>
      </c>
      <c r="I102" s="61" t="s">
        <v>895</v>
      </c>
      <c r="J102" s="61" t="s">
        <v>896</v>
      </c>
      <c r="K102" s="53">
        <v>352508076</v>
      </c>
      <c r="L102" s="53">
        <v>9031258705</v>
      </c>
      <c r="M102" s="55" t="s">
        <v>822</v>
      </c>
    </row>
    <row r="103" spans="1:13" x14ac:dyDescent="0.25">
      <c r="A103" s="53" t="s">
        <v>12</v>
      </c>
      <c r="B103" s="53" t="s">
        <v>13</v>
      </c>
      <c r="C103" s="53" t="s">
        <v>14</v>
      </c>
      <c r="D103" s="53" t="s">
        <v>95</v>
      </c>
      <c r="E103" s="53" t="s">
        <v>96</v>
      </c>
      <c r="F103" s="53" t="s">
        <v>33</v>
      </c>
      <c r="G103" s="53">
        <v>5200</v>
      </c>
      <c r="H103" s="62">
        <v>46094</v>
      </c>
      <c r="I103" s="61" t="s">
        <v>1483</v>
      </c>
      <c r="J103" s="61" t="s">
        <v>1484</v>
      </c>
      <c r="K103" s="53">
        <v>352508112</v>
      </c>
      <c r="L103" s="53">
        <v>8159025834</v>
      </c>
      <c r="M103" s="55" t="s">
        <v>1837</v>
      </c>
    </row>
    <row r="104" spans="1:13" x14ac:dyDescent="0.25">
      <c r="A104" s="53" t="s">
        <v>12</v>
      </c>
      <c r="B104" s="53" t="s">
        <v>13</v>
      </c>
      <c r="C104" s="53" t="s">
        <v>14</v>
      </c>
      <c r="D104" s="53" t="s">
        <v>48</v>
      </c>
      <c r="E104" s="53" t="s">
        <v>49</v>
      </c>
      <c r="F104" s="53" t="s">
        <v>50</v>
      </c>
      <c r="G104" s="53">
        <v>2000</v>
      </c>
      <c r="H104" s="62">
        <v>46095</v>
      </c>
      <c r="I104" s="53" t="s">
        <v>1519</v>
      </c>
      <c r="J104" s="53" t="s">
        <v>1520</v>
      </c>
      <c r="K104" s="53">
        <v>352508163</v>
      </c>
      <c r="L104" s="53">
        <v>8520078561</v>
      </c>
      <c r="M104" s="55" t="s">
        <v>1838</v>
      </c>
    </row>
    <row r="105" spans="1:13" x14ac:dyDescent="0.25">
      <c r="A105" s="53" t="s">
        <v>12</v>
      </c>
      <c r="B105" s="53" t="s">
        <v>13</v>
      </c>
      <c r="C105" s="53" t="s">
        <v>14</v>
      </c>
      <c r="D105" s="53" t="s">
        <v>1610</v>
      </c>
      <c r="E105" s="53">
        <v>33067706253</v>
      </c>
      <c r="F105" s="53" t="s">
        <v>1611</v>
      </c>
      <c r="G105" s="53">
        <v>2000</v>
      </c>
      <c r="H105" s="62">
        <v>46095</v>
      </c>
      <c r="I105" s="53" t="s">
        <v>1513</v>
      </c>
      <c r="J105" s="53" t="s">
        <v>1495</v>
      </c>
      <c r="K105" s="53">
        <v>352508164</v>
      </c>
      <c r="L105" s="53">
        <v>6381535643</v>
      </c>
      <c r="M105" s="55" t="s">
        <v>1838</v>
      </c>
    </row>
    <row r="106" spans="1:13" x14ac:dyDescent="0.25">
      <c r="A106" s="53" t="s">
        <v>12</v>
      </c>
      <c r="B106" s="53" t="s">
        <v>13</v>
      </c>
      <c r="C106" s="53" t="s">
        <v>14</v>
      </c>
      <c r="D106" s="53" t="s">
        <v>144</v>
      </c>
      <c r="E106" s="53">
        <v>44182579159</v>
      </c>
      <c r="F106" s="53" t="s">
        <v>145</v>
      </c>
      <c r="G106" s="53">
        <v>2000</v>
      </c>
      <c r="H106" s="62">
        <v>46095</v>
      </c>
      <c r="I106" s="53" t="s">
        <v>593</v>
      </c>
      <c r="J106" s="53" t="s">
        <v>76</v>
      </c>
      <c r="K106" s="53">
        <v>352508165</v>
      </c>
      <c r="L106" s="53">
        <v>7765824237</v>
      </c>
      <c r="M106" s="55" t="s">
        <v>1838</v>
      </c>
    </row>
    <row r="107" spans="1:13" x14ac:dyDescent="0.25">
      <c r="A107" s="53" t="s">
        <v>12</v>
      </c>
      <c r="B107" s="53" t="s">
        <v>13</v>
      </c>
      <c r="C107" s="53" t="s">
        <v>14</v>
      </c>
      <c r="D107" s="53" t="s">
        <v>993</v>
      </c>
      <c r="E107" s="69">
        <v>50100683547664</v>
      </c>
      <c r="F107" s="60" t="s">
        <v>994</v>
      </c>
      <c r="G107" s="53">
        <v>1500</v>
      </c>
      <c r="H107" s="62">
        <v>46095</v>
      </c>
      <c r="I107" s="61" t="s">
        <v>1497</v>
      </c>
      <c r="J107" s="61" t="s">
        <v>1498</v>
      </c>
      <c r="K107" s="53">
        <v>352508166</v>
      </c>
      <c r="L107" s="60">
        <v>8093441726</v>
      </c>
      <c r="M107" s="55" t="s">
        <v>1839</v>
      </c>
    </row>
    <row r="108" spans="1:13" x14ac:dyDescent="0.25">
      <c r="A108" s="53" t="s">
        <v>12</v>
      </c>
      <c r="B108" s="53" t="s">
        <v>13</v>
      </c>
      <c r="C108" s="53" t="s">
        <v>14</v>
      </c>
      <c r="D108" s="53" t="s">
        <v>435</v>
      </c>
      <c r="E108" s="53">
        <v>31095925572</v>
      </c>
      <c r="F108" s="60" t="s">
        <v>33</v>
      </c>
      <c r="G108" s="53">
        <v>5450</v>
      </c>
      <c r="H108" s="62">
        <v>46095</v>
      </c>
      <c r="I108" s="61" t="s">
        <v>1485</v>
      </c>
      <c r="J108" s="61" t="s">
        <v>1486</v>
      </c>
      <c r="K108" s="53">
        <v>352508111</v>
      </c>
      <c r="L108" s="60">
        <v>8084080392</v>
      </c>
      <c r="M108" s="55" t="s">
        <v>1840</v>
      </c>
    </row>
    <row r="109" spans="1:13" x14ac:dyDescent="0.25">
      <c r="A109" s="53" t="s">
        <v>12</v>
      </c>
      <c r="B109" s="53" t="s">
        <v>13</v>
      </c>
      <c r="C109" s="53" t="s">
        <v>14</v>
      </c>
      <c r="D109" s="53" t="s">
        <v>95</v>
      </c>
      <c r="E109" s="53" t="s">
        <v>96</v>
      </c>
      <c r="F109" s="53" t="s">
        <v>33</v>
      </c>
      <c r="G109" s="53">
        <v>3950</v>
      </c>
      <c r="H109" s="62">
        <v>46095</v>
      </c>
      <c r="I109" s="61" t="s">
        <v>1483</v>
      </c>
      <c r="J109" s="61" t="s">
        <v>1484</v>
      </c>
      <c r="K109" s="53">
        <v>352508155</v>
      </c>
      <c r="L109" s="53">
        <v>8159025834</v>
      </c>
      <c r="M109" s="55" t="s">
        <v>1841</v>
      </c>
    </row>
    <row r="110" spans="1:13" x14ac:dyDescent="0.25">
      <c r="A110" s="53" t="s">
        <v>12</v>
      </c>
      <c r="B110" s="53" t="s">
        <v>13</v>
      </c>
      <c r="C110" s="53" t="s">
        <v>14</v>
      </c>
      <c r="D110" s="53" t="s">
        <v>108</v>
      </c>
      <c r="E110" s="53" t="s">
        <v>109</v>
      </c>
      <c r="F110" s="53" t="s">
        <v>110</v>
      </c>
      <c r="G110" s="53">
        <v>3950</v>
      </c>
      <c r="H110" s="62">
        <v>46095</v>
      </c>
      <c r="I110" s="61" t="s">
        <v>1777</v>
      </c>
      <c r="J110" s="61" t="s">
        <v>1778</v>
      </c>
      <c r="K110" s="53">
        <v>352508109</v>
      </c>
      <c r="L110" s="53">
        <v>7870570436</v>
      </c>
      <c r="M110" s="55" t="s">
        <v>1841</v>
      </c>
    </row>
    <row r="111" spans="1:13" x14ac:dyDescent="0.25">
      <c r="A111" s="53" t="s">
        <v>12</v>
      </c>
      <c r="B111" s="53" t="s">
        <v>13</v>
      </c>
      <c r="C111" s="53" t="s">
        <v>14</v>
      </c>
      <c r="D111" s="53" t="s">
        <v>1610</v>
      </c>
      <c r="E111" s="53">
        <v>33067706253</v>
      </c>
      <c r="F111" s="53" t="s">
        <v>1611</v>
      </c>
      <c r="G111" s="53">
        <v>2000</v>
      </c>
      <c r="H111" s="62">
        <v>46096</v>
      </c>
      <c r="I111" s="53" t="s">
        <v>1513</v>
      </c>
      <c r="J111" s="53" t="s">
        <v>1495</v>
      </c>
      <c r="K111" s="53">
        <v>352508187</v>
      </c>
      <c r="L111" s="53">
        <v>6381535643</v>
      </c>
      <c r="M111" s="55" t="s">
        <v>1843</v>
      </c>
    </row>
    <row r="112" spans="1:13" x14ac:dyDescent="0.25">
      <c r="A112" s="53" t="s">
        <v>12</v>
      </c>
      <c r="B112" s="53" t="s">
        <v>13</v>
      </c>
      <c r="C112" s="53" t="s">
        <v>14</v>
      </c>
      <c r="D112" s="53" t="s">
        <v>1610</v>
      </c>
      <c r="E112" s="53">
        <v>33067706253</v>
      </c>
      <c r="F112" s="53" t="s">
        <v>1611</v>
      </c>
      <c r="G112" s="53">
        <v>1500</v>
      </c>
      <c r="H112" s="62">
        <v>46096</v>
      </c>
      <c r="I112" s="53" t="s">
        <v>1513</v>
      </c>
      <c r="J112" s="53" t="s">
        <v>1495</v>
      </c>
      <c r="K112" s="53">
        <v>352508190</v>
      </c>
      <c r="L112" s="53">
        <v>6381535643</v>
      </c>
      <c r="M112" s="55" t="s">
        <v>1843</v>
      </c>
    </row>
    <row r="113" spans="1:13" x14ac:dyDescent="0.25">
      <c r="A113" s="53" t="s">
        <v>12</v>
      </c>
      <c r="B113" s="53" t="s">
        <v>13</v>
      </c>
      <c r="C113" s="53" t="s">
        <v>14</v>
      </c>
      <c r="D113" s="53" t="s">
        <v>48</v>
      </c>
      <c r="E113" s="53" t="s">
        <v>49</v>
      </c>
      <c r="F113" s="53" t="s">
        <v>50</v>
      </c>
      <c r="G113" s="53">
        <v>2000</v>
      </c>
      <c r="H113" s="62">
        <v>46096</v>
      </c>
      <c r="I113" s="53" t="s">
        <v>1519</v>
      </c>
      <c r="J113" s="53" t="s">
        <v>1520</v>
      </c>
      <c r="K113" s="53">
        <v>352508188</v>
      </c>
      <c r="L113" s="53">
        <v>8520078561</v>
      </c>
      <c r="M113" s="55" t="s">
        <v>1843</v>
      </c>
    </row>
    <row r="114" spans="1:13" x14ac:dyDescent="0.25">
      <c r="A114" s="53" t="s">
        <v>12</v>
      </c>
      <c r="B114" s="53" t="s">
        <v>13</v>
      </c>
      <c r="C114" s="53" t="s">
        <v>14</v>
      </c>
      <c r="D114" s="53" t="s">
        <v>144</v>
      </c>
      <c r="E114" s="53">
        <v>44182579159</v>
      </c>
      <c r="F114" s="53" t="s">
        <v>145</v>
      </c>
      <c r="G114" s="53">
        <v>2000</v>
      </c>
      <c r="H114" s="62">
        <v>46096</v>
      </c>
      <c r="I114" s="53" t="s">
        <v>593</v>
      </c>
      <c r="J114" s="53" t="s">
        <v>76</v>
      </c>
      <c r="K114" s="53">
        <v>352508189</v>
      </c>
      <c r="L114" s="53">
        <v>7765824237</v>
      </c>
      <c r="M114" s="55" t="s">
        <v>1843</v>
      </c>
    </row>
    <row r="115" spans="1:13" x14ac:dyDescent="0.25">
      <c r="A115" s="61" t="s">
        <v>12</v>
      </c>
      <c r="B115" s="61" t="s">
        <v>13</v>
      </c>
      <c r="C115" s="61" t="s">
        <v>14</v>
      </c>
      <c r="D115" s="61" t="s">
        <v>31</v>
      </c>
      <c r="E115" s="61" t="s">
        <v>32</v>
      </c>
      <c r="F115" s="61" t="s">
        <v>33</v>
      </c>
      <c r="G115" s="53">
        <v>2000</v>
      </c>
      <c r="H115" s="62">
        <v>46096</v>
      </c>
      <c r="I115" s="61" t="s">
        <v>571</v>
      </c>
      <c r="J115" s="61" t="s">
        <v>59</v>
      </c>
      <c r="K115" s="53">
        <v>352508191</v>
      </c>
      <c r="L115" s="61">
        <v>9347726061</v>
      </c>
      <c r="M115" s="55" t="s">
        <v>1843</v>
      </c>
    </row>
    <row r="116" spans="1:13" x14ac:dyDescent="0.25">
      <c r="A116" s="61" t="s">
        <v>12</v>
      </c>
      <c r="B116" s="61" t="s">
        <v>13</v>
      </c>
      <c r="C116" s="61" t="s">
        <v>14</v>
      </c>
      <c r="D116" s="61" t="s">
        <v>31</v>
      </c>
      <c r="E116" s="61" t="s">
        <v>32</v>
      </c>
      <c r="F116" s="61" t="s">
        <v>33</v>
      </c>
      <c r="G116" s="53">
        <v>1500</v>
      </c>
      <c r="H116" s="62">
        <v>46096</v>
      </c>
      <c r="I116" s="61" t="s">
        <v>571</v>
      </c>
      <c r="J116" s="61" t="s">
        <v>59</v>
      </c>
      <c r="K116" s="53">
        <v>352508192</v>
      </c>
      <c r="L116" s="61">
        <v>9347726061</v>
      </c>
      <c r="M116" s="55" t="s">
        <v>1843</v>
      </c>
    </row>
    <row r="117" spans="1:13" x14ac:dyDescent="0.25">
      <c r="A117" s="53" t="s">
        <v>12</v>
      </c>
      <c r="B117" s="53" t="s">
        <v>13</v>
      </c>
      <c r="C117" s="53" t="s">
        <v>14</v>
      </c>
      <c r="D117" s="53" t="s">
        <v>993</v>
      </c>
      <c r="E117" s="69">
        <v>50100683547664</v>
      </c>
      <c r="F117" s="60" t="s">
        <v>994</v>
      </c>
      <c r="G117" s="53">
        <v>5200</v>
      </c>
      <c r="H117" s="62">
        <v>46096</v>
      </c>
      <c r="I117" s="61" t="s">
        <v>1497</v>
      </c>
      <c r="J117" s="61" t="s">
        <v>1498</v>
      </c>
      <c r="K117" s="53">
        <v>352508194</v>
      </c>
      <c r="L117" s="60">
        <v>8093441726</v>
      </c>
      <c r="M117" s="55" t="s">
        <v>1844</v>
      </c>
    </row>
    <row r="118" spans="1:13" x14ac:dyDescent="0.25">
      <c r="A118" s="53" t="s">
        <v>12</v>
      </c>
      <c r="B118" s="53" t="s">
        <v>13</v>
      </c>
      <c r="C118" s="53" t="s">
        <v>14</v>
      </c>
      <c r="D118" s="53" t="s">
        <v>48</v>
      </c>
      <c r="E118" s="53" t="s">
        <v>49</v>
      </c>
      <c r="F118" s="53" t="s">
        <v>50</v>
      </c>
      <c r="G118" s="53">
        <v>7500</v>
      </c>
      <c r="H118" s="62">
        <v>46096</v>
      </c>
      <c r="I118" s="53" t="s">
        <v>1519</v>
      </c>
      <c r="J118" s="53" t="s">
        <v>1520</v>
      </c>
      <c r="K118" s="53">
        <v>352508188</v>
      </c>
      <c r="L118" s="53">
        <v>8520078561</v>
      </c>
      <c r="M118" s="55" t="s">
        <v>1845</v>
      </c>
    </row>
    <row r="119" spans="1:13" x14ac:dyDescent="0.25">
      <c r="A119" s="53" t="s">
        <v>12</v>
      </c>
      <c r="B119" s="53" t="s">
        <v>13</v>
      </c>
      <c r="C119" s="53" t="s">
        <v>14</v>
      </c>
      <c r="D119" s="53" t="s">
        <v>144</v>
      </c>
      <c r="E119" s="53">
        <v>44182579159</v>
      </c>
      <c r="F119" s="53" t="s">
        <v>145</v>
      </c>
      <c r="G119" s="53">
        <v>7500</v>
      </c>
      <c r="H119" s="62">
        <v>46096</v>
      </c>
      <c r="I119" s="53" t="s">
        <v>593</v>
      </c>
      <c r="J119" s="53" t="s">
        <v>76</v>
      </c>
      <c r="K119" s="53">
        <v>352508189</v>
      </c>
      <c r="L119" s="53">
        <v>7765824237</v>
      </c>
      <c r="M119" s="55" t="s">
        <v>1845</v>
      </c>
    </row>
    <row r="120" spans="1:13" x14ac:dyDescent="0.25">
      <c r="A120" s="53" t="s">
        <v>12</v>
      </c>
      <c r="B120" s="53" t="s">
        <v>13</v>
      </c>
      <c r="C120" s="53" t="s">
        <v>14</v>
      </c>
      <c r="D120" s="53" t="s">
        <v>36</v>
      </c>
      <c r="E120" s="53" t="s">
        <v>37</v>
      </c>
      <c r="F120" s="53" t="s">
        <v>38</v>
      </c>
      <c r="G120" s="53">
        <v>1500</v>
      </c>
      <c r="H120" s="62">
        <v>46097</v>
      </c>
      <c r="I120" s="53" t="s">
        <v>902</v>
      </c>
      <c r="J120" s="53" t="s">
        <v>901</v>
      </c>
      <c r="K120" s="53">
        <v>352508225</v>
      </c>
      <c r="L120" s="53">
        <v>9358936441</v>
      </c>
      <c r="M120" s="55" t="s">
        <v>1846</v>
      </c>
    </row>
    <row r="121" spans="1:13" x14ac:dyDescent="0.25">
      <c r="A121" s="53" t="s">
        <v>12</v>
      </c>
      <c r="B121" s="53" t="s">
        <v>13</v>
      </c>
      <c r="C121" s="53" t="s">
        <v>14</v>
      </c>
      <c r="D121" s="53" t="s">
        <v>144</v>
      </c>
      <c r="E121" s="53">
        <v>44182579159</v>
      </c>
      <c r="F121" s="53" t="s">
        <v>145</v>
      </c>
      <c r="G121" s="53">
        <v>1000</v>
      </c>
      <c r="H121" s="62">
        <v>46097</v>
      </c>
      <c r="I121" s="53" t="s">
        <v>593</v>
      </c>
      <c r="J121" s="53" t="s">
        <v>76</v>
      </c>
      <c r="K121" s="53">
        <v>352508207</v>
      </c>
      <c r="L121" s="53">
        <v>7765824237</v>
      </c>
      <c r="M121" s="55" t="s">
        <v>1849</v>
      </c>
    </row>
    <row r="122" spans="1:13" x14ac:dyDescent="0.25">
      <c r="A122" s="53" t="s">
        <v>12</v>
      </c>
      <c r="B122" s="53" t="s">
        <v>13</v>
      </c>
      <c r="C122" s="53" t="s">
        <v>14</v>
      </c>
      <c r="D122" s="53" t="s">
        <v>48</v>
      </c>
      <c r="E122" s="53" t="s">
        <v>49</v>
      </c>
      <c r="F122" s="53" t="s">
        <v>50</v>
      </c>
      <c r="G122" s="53">
        <v>1000</v>
      </c>
      <c r="H122" s="62">
        <v>46097</v>
      </c>
      <c r="I122" s="53" t="s">
        <v>1519</v>
      </c>
      <c r="J122" s="53" t="s">
        <v>1520</v>
      </c>
      <c r="K122" s="53">
        <v>352508227</v>
      </c>
      <c r="L122" s="53">
        <v>8520078561</v>
      </c>
      <c r="M122" s="55" t="s">
        <v>1850</v>
      </c>
    </row>
    <row r="123" spans="1:13" x14ac:dyDescent="0.25">
      <c r="A123" s="53" t="s">
        <v>12</v>
      </c>
      <c r="B123" s="53" t="s">
        <v>13</v>
      </c>
      <c r="C123" s="53" t="s">
        <v>14</v>
      </c>
      <c r="D123" s="53" t="s">
        <v>1406</v>
      </c>
      <c r="E123" s="69">
        <v>645602010014653</v>
      </c>
      <c r="F123" s="53" t="s">
        <v>1407</v>
      </c>
      <c r="G123" s="53">
        <v>6200</v>
      </c>
      <c r="H123" s="62">
        <v>46097</v>
      </c>
      <c r="I123" s="53" t="s">
        <v>903</v>
      </c>
      <c r="J123" s="53" t="s">
        <v>904</v>
      </c>
      <c r="K123" s="53">
        <v>352508113</v>
      </c>
      <c r="L123" s="53">
        <v>8084480157</v>
      </c>
      <c r="M123" s="55" t="s">
        <v>1847</v>
      </c>
    </row>
    <row r="124" spans="1:13" x14ac:dyDescent="0.25">
      <c r="A124" s="53" t="s">
        <v>12</v>
      </c>
      <c r="B124" s="53" t="s">
        <v>13</v>
      </c>
      <c r="C124" s="53" t="s">
        <v>14</v>
      </c>
      <c r="D124" s="53" t="s">
        <v>108</v>
      </c>
      <c r="E124" s="53" t="s">
        <v>109</v>
      </c>
      <c r="F124" s="53" t="s">
        <v>110</v>
      </c>
      <c r="G124" s="53">
        <v>7500</v>
      </c>
      <c r="H124" s="62">
        <v>46097</v>
      </c>
      <c r="I124" s="61" t="s">
        <v>1777</v>
      </c>
      <c r="J124" s="61" t="s">
        <v>1778</v>
      </c>
      <c r="K124" s="53">
        <v>352508230</v>
      </c>
      <c r="L124" s="53">
        <v>7870570436</v>
      </c>
      <c r="M124" s="55" t="s">
        <v>1848</v>
      </c>
    </row>
    <row r="125" spans="1:13" x14ac:dyDescent="0.25">
      <c r="A125" s="53" t="s">
        <v>12</v>
      </c>
      <c r="B125" s="53" t="s">
        <v>13</v>
      </c>
      <c r="C125" s="53" t="s">
        <v>14</v>
      </c>
      <c r="D125" s="53" t="s">
        <v>36</v>
      </c>
      <c r="E125" s="53" t="s">
        <v>37</v>
      </c>
      <c r="F125" s="53" t="s">
        <v>38</v>
      </c>
      <c r="G125" s="53">
        <v>5450</v>
      </c>
      <c r="H125" s="62">
        <v>46097</v>
      </c>
      <c r="I125" s="53" t="s">
        <v>902</v>
      </c>
      <c r="J125" s="53" t="s">
        <v>901</v>
      </c>
      <c r="K125" s="53">
        <v>352508225</v>
      </c>
      <c r="L125" s="53">
        <v>9358936441</v>
      </c>
      <c r="M125" s="55" t="s">
        <v>829</v>
      </c>
    </row>
    <row r="126" spans="1:13" x14ac:dyDescent="0.25">
      <c r="A126" s="53" t="s">
        <v>12</v>
      </c>
      <c r="B126" s="53" t="s">
        <v>13</v>
      </c>
      <c r="C126" s="53" t="s">
        <v>14</v>
      </c>
      <c r="D126" s="53" t="s">
        <v>343</v>
      </c>
      <c r="E126" s="54">
        <v>37223550583</v>
      </c>
      <c r="F126" s="53" t="s">
        <v>33</v>
      </c>
      <c r="G126" s="53">
        <v>5450</v>
      </c>
      <c r="H126" s="62">
        <v>46097</v>
      </c>
      <c r="I126" s="61" t="s">
        <v>895</v>
      </c>
      <c r="J126" s="61" t="s">
        <v>896</v>
      </c>
      <c r="K126" s="53">
        <v>352508228</v>
      </c>
      <c r="L126" s="53">
        <v>9031258705</v>
      </c>
      <c r="M126" s="55" t="s">
        <v>829</v>
      </c>
    </row>
    <row r="127" spans="1:13" x14ac:dyDescent="0.25">
      <c r="A127" s="53" t="s">
        <v>12</v>
      </c>
      <c r="B127" s="53" t="s">
        <v>13</v>
      </c>
      <c r="C127" s="53" t="s">
        <v>14</v>
      </c>
      <c r="D127" s="53" t="s">
        <v>435</v>
      </c>
      <c r="E127" s="53">
        <v>31095925572</v>
      </c>
      <c r="F127" s="60" t="s">
        <v>33</v>
      </c>
      <c r="G127" s="53">
        <v>5450</v>
      </c>
      <c r="H127" s="62">
        <v>46097</v>
      </c>
      <c r="I127" s="61" t="s">
        <v>1485</v>
      </c>
      <c r="J127" s="61" t="s">
        <v>1486</v>
      </c>
      <c r="K127" s="53">
        <v>352508229</v>
      </c>
      <c r="L127" s="60">
        <v>8084080392</v>
      </c>
      <c r="M127" s="55" t="s">
        <v>829</v>
      </c>
    </row>
    <row r="128" spans="1:13" x14ac:dyDescent="0.25">
      <c r="A128" s="53" t="s">
        <v>12</v>
      </c>
      <c r="B128" s="53" t="s">
        <v>13</v>
      </c>
      <c r="C128" s="53" t="s">
        <v>14</v>
      </c>
      <c r="D128" s="53" t="s">
        <v>144</v>
      </c>
      <c r="E128" s="53">
        <v>44182579159</v>
      </c>
      <c r="F128" s="53" t="s">
        <v>145</v>
      </c>
      <c r="G128" s="53">
        <v>5450</v>
      </c>
      <c r="H128" s="62">
        <v>46097</v>
      </c>
      <c r="I128" s="53" t="s">
        <v>593</v>
      </c>
      <c r="J128" s="53" t="s">
        <v>76</v>
      </c>
      <c r="K128" s="53">
        <v>352508207</v>
      </c>
      <c r="L128" s="53">
        <v>7765824237</v>
      </c>
      <c r="M128" s="55" t="s">
        <v>829</v>
      </c>
    </row>
    <row r="129" spans="1:13" x14ac:dyDescent="0.25">
      <c r="A129" s="53" t="s">
        <v>12</v>
      </c>
      <c r="B129" s="53" t="s">
        <v>13</v>
      </c>
      <c r="C129" s="53" t="s">
        <v>14</v>
      </c>
      <c r="D129" s="53" t="s">
        <v>108</v>
      </c>
      <c r="E129" s="53" t="s">
        <v>109</v>
      </c>
      <c r="F129" s="53" t="s">
        <v>110</v>
      </c>
      <c r="G129" s="53">
        <v>1000</v>
      </c>
      <c r="H129" s="62">
        <v>46098</v>
      </c>
      <c r="I129" s="61" t="s">
        <v>1777</v>
      </c>
      <c r="J129" s="61" t="s">
        <v>1778</v>
      </c>
      <c r="K129" s="53">
        <v>352508174</v>
      </c>
      <c r="L129" s="53">
        <v>7870570436</v>
      </c>
      <c r="M129" s="55" t="s">
        <v>1842</v>
      </c>
    </row>
    <row r="130" spans="1:13" x14ac:dyDescent="0.25">
      <c r="A130" s="53" t="s">
        <v>12</v>
      </c>
      <c r="B130" s="53" t="s">
        <v>13</v>
      </c>
      <c r="C130" s="53" t="s">
        <v>14</v>
      </c>
      <c r="D130" s="53" t="s">
        <v>108</v>
      </c>
      <c r="E130" s="53" t="s">
        <v>109</v>
      </c>
      <c r="F130" s="53" t="s">
        <v>110</v>
      </c>
      <c r="G130" s="53">
        <v>700</v>
      </c>
      <c r="H130" s="62">
        <v>46098</v>
      </c>
      <c r="I130" s="61" t="s">
        <v>1777</v>
      </c>
      <c r="J130" s="61" t="s">
        <v>1778</v>
      </c>
      <c r="K130" s="53">
        <v>352508175</v>
      </c>
      <c r="L130" s="53">
        <v>7870570436</v>
      </c>
      <c r="M130" s="55" t="s">
        <v>1842</v>
      </c>
    </row>
    <row r="131" spans="1:13" x14ac:dyDescent="0.25">
      <c r="A131" s="53" t="s">
        <v>12</v>
      </c>
      <c r="B131" s="53" t="s">
        <v>13</v>
      </c>
      <c r="C131" s="53" t="s">
        <v>14</v>
      </c>
      <c r="D131" s="53" t="s">
        <v>108</v>
      </c>
      <c r="E131" s="53" t="s">
        <v>109</v>
      </c>
      <c r="F131" s="53" t="s">
        <v>110</v>
      </c>
      <c r="G131" s="53">
        <v>700</v>
      </c>
      <c r="H131" s="62">
        <v>46098</v>
      </c>
      <c r="I131" s="61" t="s">
        <v>1777</v>
      </c>
      <c r="J131" s="61" t="s">
        <v>1778</v>
      </c>
      <c r="K131" s="53">
        <v>352508176</v>
      </c>
      <c r="L131" s="53">
        <v>7870570436</v>
      </c>
      <c r="M131" s="55" t="s">
        <v>1842</v>
      </c>
    </row>
    <row r="132" spans="1:13" x14ac:dyDescent="0.25">
      <c r="A132" s="53" t="s">
        <v>12</v>
      </c>
      <c r="B132" s="53" t="s">
        <v>13</v>
      </c>
      <c r="C132" s="53" t="s">
        <v>14</v>
      </c>
      <c r="D132" s="53" t="s">
        <v>1610</v>
      </c>
      <c r="E132" s="53">
        <v>33067706253</v>
      </c>
      <c r="F132" s="53" t="s">
        <v>1611</v>
      </c>
      <c r="G132" s="53">
        <v>2000</v>
      </c>
      <c r="H132" s="62">
        <v>46098</v>
      </c>
      <c r="I132" s="53" t="s">
        <v>1513</v>
      </c>
      <c r="J132" s="53" t="s">
        <v>1495</v>
      </c>
      <c r="K132" s="53">
        <v>352508254</v>
      </c>
      <c r="L132" s="53">
        <v>6381535643</v>
      </c>
      <c r="M132" s="55" t="s">
        <v>1851</v>
      </c>
    </row>
    <row r="133" spans="1:13" x14ac:dyDescent="0.25">
      <c r="A133" s="61" t="s">
        <v>12</v>
      </c>
      <c r="B133" s="61" t="s">
        <v>13</v>
      </c>
      <c r="C133" s="61" t="s">
        <v>14</v>
      </c>
      <c r="D133" s="61" t="s">
        <v>31</v>
      </c>
      <c r="E133" s="61" t="s">
        <v>32</v>
      </c>
      <c r="F133" s="61" t="s">
        <v>33</v>
      </c>
      <c r="G133" s="53">
        <v>2000</v>
      </c>
      <c r="H133" s="62">
        <v>46098</v>
      </c>
      <c r="I133" s="61" t="s">
        <v>571</v>
      </c>
      <c r="J133" s="61" t="s">
        <v>59</v>
      </c>
      <c r="K133" s="53">
        <v>352508255</v>
      </c>
      <c r="L133" s="61">
        <v>9347726061</v>
      </c>
      <c r="M133" s="55" t="s">
        <v>1851</v>
      </c>
    </row>
    <row r="134" spans="1:13" x14ac:dyDescent="0.25">
      <c r="A134" s="53" t="s">
        <v>12</v>
      </c>
      <c r="B134" s="53" t="s">
        <v>13</v>
      </c>
      <c r="C134" s="53" t="s">
        <v>14</v>
      </c>
      <c r="D134" s="53" t="s">
        <v>95</v>
      </c>
      <c r="E134" s="53" t="s">
        <v>96</v>
      </c>
      <c r="F134" s="53" t="s">
        <v>33</v>
      </c>
      <c r="G134" s="53">
        <v>1900</v>
      </c>
      <c r="H134" s="62">
        <v>46098</v>
      </c>
      <c r="I134" s="61" t="s">
        <v>1483</v>
      </c>
      <c r="J134" s="61" t="s">
        <v>1484</v>
      </c>
      <c r="K134" s="53">
        <v>352508226</v>
      </c>
      <c r="L134" s="53">
        <v>8159025834</v>
      </c>
      <c r="M134" s="55" t="s">
        <v>1846</v>
      </c>
    </row>
    <row r="135" spans="1:13" x14ac:dyDescent="0.25">
      <c r="A135" s="53" t="s">
        <v>12</v>
      </c>
      <c r="B135" s="53" t="s">
        <v>13</v>
      </c>
      <c r="C135" s="53" t="s">
        <v>14</v>
      </c>
      <c r="D135" s="53" t="s">
        <v>36</v>
      </c>
      <c r="E135" s="53" t="s">
        <v>37</v>
      </c>
      <c r="F135" s="53" t="s">
        <v>38</v>
      </c>
      <c r="G135" s="53">
        <v>5200</v>
      </c>
      <c r="H135" s="62">
        <v>46098</v>
      </c>
      <c r="I135" s="53" t="s">
        <v>902</v>
      </c>
      <c r="J135" s="53" t="s">
        <v>901</v>
      </c>
      <c r="K135" s="53">
        <v>352508245</v>
      </c>
      <c r="L135" s="53">
        <v>9358936441</v>
      </c>
      <c r="M135" s="55" t="s">
        <v>1852</v>
      </c>
    </row>
    <row r="136" spans="1:13" x14ac:dyDescent="0.25">
      <c r="A136" s="53" t="s">
        <v>12</v>
      </c>
      <c r="B136" s="53" t="s">
        <v>13</v>
      </c>
      <c r="C136" s="53" t="s">
        <v>14</v>
      </c>
      <c r="D136" s="53" t="s">
        <v>95</v>
      </c>
      <c r="E136" s="53" t="s">
        <v>96</v>
      </c>
      <c r="F136" s="53" t="s">
        <v>33</v>
      </c>
      <c r="G136" s="53">
        <v>5450</v>
      </c>
      <c r="H136" s="62">
        <v>46098</v>
      </c>
      <c r="I136" s="61" t="s">
        <v>1483</v>
      </c>
      <c r="J136" s="61" t="s">
        <v>1484</v>
      </c>
      <c r="K136" s="53">
        <v>352508226</v>
      </c>
      <c r="L136" s="53">
        <v>8159025834</v>
      </c>
      <c r="M136" s="55" t="s">
        <v>831</v>
      </c>
    </row>
    <row r="137" spans="1:13" x14ac:dyDescent="0.25">
      <c r="A137" s="53" t="s">
        <v>12</v>
      </c>
      <c r="B137" s="53" t="s">
        <v>13</v>
      </c>
      <c r="C137" s="53" t="s">
        <v>14</v>
      </c>
      <c r="D137" s="53" t="s">
        <v>144</v>
      </c>
      <c r="E137" s="53">
        <v>44182579159</v>
      </c>
      <c r="F137" s="53" t="s">
        <v>145</v>
      </c>
      <c r="G137" s="53">
        <v>5450</v>
      </c>
      <c r="H137" s="62">
        <v>46098</v>
      </c>
      <c r="I137" s="53" t="s">
        <v>593</v>
      </c>
      <c r="J137" s="53" t="s">
        <v>76</v>
      </c>
      <c r="K137" s="53">
        <v>352508246</v>
      </c>
      <c r="L137" s="53">
        <v>7765824237</v>
      </c>
      <c r="M137" s="55" t="s">
        <v>831</v>
      </c>
    </row>
    <row r="138" spans="1:13" x14ac:dyDescent="0.25">
      <c r="A138" s="53" t="s">
        <v>12</v>
      </c>
      <c r="B138" s="53" t="s">
        <v>13</v>
      </c>
      <c r="C138" s="53" t="s">
        <v>14</v>
      </c>
      <c r="D138" s="53" t="s">
        <v>343</v>
      </c>
      <c r="E138" s="54">
        <v>37223550583</v>
      </c>
      <c r="F138" s="53" t="s">
        <v>33</v>
      </c>
      <c r="G138" s="53">
        <v>5450</v>
      </c>
      <c r="H138" s="62">
        <v>46098</v>
      </c>
      <c r="I138" s="61" t="s">
        <v>895</v>
      </c>
      <c r="J138" s="61" t="s">
        <v>896</v>
      </c>
      <c r="K138" s="53">
        <v>352508244</v>
      </c>
      <c r="L138" s="53">
        <v>9031258705</v>
      </c>
      <c r="M138" s="55" t="s">
        <v>831</v>
      </c>
    </row>
    <row r="139" spans="1:13" x14ac:dyDescent="0.25">
      <c r="A139" s="53" t="s">
        <v>12</v>
      </c>
      <c r="B139" s="53" t="s">
        <v>13</v>
      </c>
      <c r="C139" s="53" t="s">
        <v>14</v>
      </c>
      <c r="D139" s="53" t="s">
        <v>435</v>
      </c>
      <c r="E139" s="53">
        <v>31095925572</v>
      </c>
      <c r="F139" s="60" t="s">
        <v>33</v>
      </c>
      <c r="G139" s="53">
        <v>5450</v>
      </c>
      <c r="H139" s="62">
        <v>46098</v>
      </c>
      <c r="I139" s="61" t="s">
        <v>1485</v>
      </c>
      <c r="J139" s="61" t="s">
        <v>1486</v>
      </c>
      <c r="K139" s="53">
        <v>352508243</v>
      </c>
      <c r="L139" s="60">
        <v>8084080392</v>
      </c>
      <c r="M139" s="55" t="s">
        <v>831</v>
      </c>
    </row>
    <row r="140" spans="1:13" x14ac:dyDescent="0.25">
      <c r="A140" s="53" t="s">
        <v>12</v>
      </c>
      <c r="B140" s="53" t="s">
        <v>13</v>
      </c>
      <c r="C140" s="53" t="s">
        <v>14</v>
      </c>
      <c r="D140" s="53" t="s">
        <v>993</v>
      </c>
      <c r="E140" s="69">
        <v>50100683547664</v>
      </c>
      <c r="F140" s="60" t="s">
        <v>994</v>
      </c>
      <c r="G140" s="53">
        <v>2000</v>
      </c>
      <c r="H140" s="62">
        <v>46099</v>
      </c>
      <c r="I140" s="61" t="s">
        <v>1497</v>
      </c>
      <c r="J140" s="61" t="s">
        <v>1498</v>
      </c>
      <c r="K140" s="53">
        <v>352508286</v>
      </c>
      <c r="L140" s="60">
        <v>8093441726</v>
      </c>
      <c r="M140" s="55" t="s">
        <v>1853</v>
      </c>
    </row>
    <row r="141" spans="1:13" x14ac:dyDescent="0.25">
      <c r="A141" s="53" t="s">
        <v>12</v>
      </c>
      <c r="B141" s="53" t="s">
        <v>13</v>
      </c>
      <c r="C141" s="53" t="s">
        <v>14</v>
      </c>
      <c r="D141" s="53" t="s">
        <v>993</v>
      </c>
      <c r="E141" s="69">
        <v>50100683547664</v>
      </c>
      <c r="F141" s="60" t="s">
        <v>994</v>
      </c>
      <c r="G141" s="53">
        <v>1500</v>
      </c>
      <c r="H141" s="62">
        <v>46099</v>
      </c>
      <c r="I141" s="61" t="s">
        <v>1497</v>
      </c>
      <c r="J141" s="61" t="s">
        <v>1498</v>
      </c>
      <c r="K141" s="53">
        <v>352508290</v>
      </c>
      <c r="L141" s="60">
        <v>8093441726</v>
      </c>
      <c r="M141" s="55" t="s">
        <v>1853</v>
      </c>
    </row>
    <row r="142" spans="1:13" x14ac:dyDescent="0.25">
      <c r="A142" s="53" t="s">
        <v>12</v>
      </c>
      <c r="B142" s="53" t="s">
        <v>13</v>
      </c>
      <c r="C142" s="53" t="s">
        <v>14</v>
      </c>
      <c r="D142" s="53" t="s">
        <v>1610</v>
      </c>
      <c r="E142" s="53">
        <v>33067706253</v>
      </c>
      <c r="F142" s="53" t="s">
        <v>1611</v>
      </c>
      <c r="G142" s="53">
        <v>2000</v>
      </c>
      <c r="H142" s="62">
        <v>46099</v>
      </c>
      <c r="I142" s="53" t="s">
        <v>1513</v>
      </c>
      <c r="J142" s="53" t="s">
        <v>1495</v>
      </c>
      <c r="K142" s="53">
        <v>352508288</v>
      </c>
      <c r="L142" s="53">
        <v>6381535643</v>
      </c>
      <c r="M142" s="55" t="s">
        <v>1853</v>
      </c>
    </row>
    <row r="143" spans="1:13" x14ac:dyDescent="0.25">
      <c r="A143" s="61" t="s">
        <v>12</v>
      </c>
      <c r="B143" s="61" t="s">
        <v>13</v>
      </c>
      <c r="C143" s="61" t="s">
        <v>14</v>
      </c>
      <c r="D143" s="61" t="s">
        <v>31</v>
      </c>
      <c r="E143" s="61" t="s">
        <v>32</v>
      </c>
      <c r="F143" s="61" t="s">
        <v>33</v>
      </c>
      <c r="G143" s="53">
        <v>2000</v>
      </c>
      <c r="H143" s="62">
        <v>46099</v>
      </c>
      <c r="I143" s="61" t="s">
        <v>571</v>
      </c>
      <c r="J143" s="61" t="s">
        <v>59</v>
      </c>
      <c r="K143" s="53">
        <v>352508289</v>
      </c>
      <c r="L143" s="61">
        <v>9347726061</v>
      </c>
      <c r="M143" s="55" t="s">
        <v>1853</v>
      </c>
    </row>
    <row r="144" spans="1:13" x14ac:dyDescent="0.25">
      <c r="A144" s="53" t="s">
        <v>12</v>
      </c>
      <c r="B144" s="53" t="s">
        <v>13</v>
      </c>
      <c r="C144" s="53" t="s">
        <v>14</v>
      </c>
      <c r="D144" s="53" t="s">
        <v>95</v>
      </c>
      <c r="E144" s="53" t="s">
        <v>96</v>
      </c>
      <c r="F144" s="53" t="s">
        <v>33</v>
      </c>
      <c r="G144" s="53">
        <v>2000</v>
      </c>
      <c r="H144" s="62">
        <v>46099</v>
      </c>
      <c r="I144" s="61" t="s">
        <v>1483</v>
      </c>
      <c r="J144" s="61" t="s">
        <v>1484</v>
      </c>
      <c r="K144" s="53">
        <v>352508273</v>
      </c>
      <c r="L144" s="53">
        <v>8159025834</v>
      </c>
      <c r="M144" s="55" t="s">
        <v>1854</v>
      </c>
    </row>
    <row r="145" spans="1:13" x14ac:dyDescent="0.25">
      <c r="A145" s="53" t="s">
        <v>12</v>
      </c>
      <c r="B145" s="53" t="s">
        <v>13</v>
      </c>
      <c r="C145" s="53" t="s">
        <v>14</v>
      </c>
      <c r="D145" s="53" t="s">
        <v>144</v>
      </c>
      <c r="E145" s="53">
        <v>44182579159</v>
      </c>
      <c r="F145" s="53" t="s">
        <v>145</v>
      </c>
      <c r="G145" s="53">
        <v>1500</v>
      </c>
      <c r="H145" s="62">
        <v>46099</v>
      </c>
      <c r="I145" s="53" t="s">
        <v>593</v>
      </c>
      <c r="J145" s="53" t="s">
        <v>76</v>
      </c>
      <c r="K145" s="53">
        <v>352508299</v>
      </c>
      <c r="L145" s="53">
        <v>7765824237</v>
      </c>
      <c r="M145" s="55" t="s">
        <v>1855</v>
      </c>
    </row>
    <row r="146" spans="1:13" x14ac:dyDescent="0.25">
      <c r="A146" s="53" t="s">
        <v>12</v>
      </c>
      <c r="B146" s="53" t="s">
        <v>13</v>
      </c>
      <c r="C146" s="53" t="s">
        <v>14</v>
      </c>
      <c r="D146" s="53" t="s">
        <v>343</v>
      </c>
      <c r="E146" s="54">
        <v>37223550583</v>
      </c>
      <c r="F146" s="53" t="s">
        <v>33</v>
      </c>
      <c r="G146" s="53">
        <v>1500</v>
      </c>
      <c r="H146" s="62">
        <v>46099</v>
      </c>
      <c r="I146" s="61" t="s">
        <v>895</v>
      </c>
      <c r="J146" s="61" t="s">
        <v>896</v>
      </c>
      <c r="K146" s="53">
        <v>352508300</v>
      </c>
      <c r="L146" s="53">
        <v>9031258705</v>
      </c>
      <c r="M146" s="55" t="s">
        <v>1855</v>
      </c>
    </row>
    <row r="147" spans="1:13" x14ac:dyDescent="0.25">
      <c r="A147" s="53" t="s">
        <v>12</v>
      </c>
      <c r="B147" s="53" t="s">
        <v>13</v>
      </c>
      <c r="C147" s="53" t="s">
        <v>14</v>
      </c>
      <c r="D147" s="53" t="s">
        <v>48</v>
      </c>
      <c r="E147" s="53" t="s">
        <v>49</v>
      </c>
      <c r="F147" s="53" t="s">
        <v>50</v>
      </c>
      <c r="G147" s="53">
        <f>7500+650</f>
        <v>8150</v>
      </c>
      <c r="H147" s="62">
        <v>46099</v>
      </c>
      <c r="I147" s="53" t="s">
        <v>1519</v>
      </c>
      <c r="J147" s="53" t="s">
        <v>1520</v>
      </c>
      <c r="K147" s="53">
        <v>352508277</v>
      </c>
      <c r="L147" s="53">
        <v>8520078561</v>
      </c>
      <c r="M147" s="55" t="s">
        <v>1857</v>
      </c>
    </row>
    <row r="148" spans="1:13" x14ac:dyDescent="0.25">
      <c r="A148" s="53" t="s">
        <v>12</v>
      </c>
      <c r="B148" s="53" t="s">
        <v>13</v>
      </c>
      <c r="C148" s="53" t="s">
        <v>14</v>
      </c>
      <c r="D148" s="53" t="s">
        <v>144</v>
      </c>
      <c r="E148" s="53">
        <v>44182579159</v>
      </c>
      <c r="F148" s="53" t="s">
        <v>145</v>
      </c>
      <c r="G148" s="53">
        <v>7500</v>
      </c>
      <c r="H148" s="62">
        <v>46099</v>
      </c>
      <c r="I148" s="53" t="s">
        <v>593</v>
      </c>
      <c r="J148" s="53" t="s">
        <v>76</v>
      </c>
      <c r="K148" s="53">
        <v>352508299</v>
      </c>
      <c r="L148" s="53">
        <v>7765824237</v>
      </c>
      <c r="M148" s="55" t="s">
        <v>1856</v>
      </c>
    </row>
    <row r="149" spans="1:13" x14ac:dyDescent="0.25">
      <c r="A149" s="53" t="s">
        <v>12</v>
      </c>
      <c r="B149" s="53" t="s">
        <v>13</v>
      </c>
      <c r="C149" s="53" t="s">
        <v>14</v>
      </c>
      <c r="D149" s="53" t="s">
        <v>1406</v>
      </c>
      <c r="E149" s="69">
        <v>645602010014653</v>
      </c>
      <c r="F149" s="53" t="s">
        <v>1407</v>
      </c>
      <c r="G149" s="53">
        <v>3950</v>
      </c>
      <c r="H149" s="62">
        <v>46099</v>
      </c>
      <c r="I149" s="53" t="s">
        <v>903</v>
      </c>
      <c r="J149" s="53" t="s">
        <v>904</v>
      </c>
      <c r="K149" s="53">
        <v>352508242</v>
      </c>
      <c r="L149" s="53">
        <v>8084480157</v>
      </c>
      <c r="M149" s="55" t="s">
        <v>1858</v>
      </c>
    </row>
    <row r="150" spans="1:13" x14ac:dyDescent="0.25">
      <c r="A150" s="53" t="s">
        <v>12</v>
      </c>
      <c r="B150" s="53" t="s">
        <v>13</v>
      </c>
      <c r="C150" s="53" t="s">
        <v>14</v>
      </c>
      <c r="D150" s="53" t="s">
        <v>36</v>
      </c>
      <c r="E150" s="53" t="s">
        <v>37</v>
      </c>
      <c r="F150" s="53" t="s">
        <v>38</v>
      </c>
      <c r="G150" s="53">
        <v>3950</v>
      </c>
      <c r="H150" s="62">
        <v>46099</v>
      </c>
      <c r="I150" s="53" t="s">
        <v>902</v>
      </c>
      <c r="J150" s="53" t="s">
        <v>901</v>
      </c>
      <c r="K150" s="53">
        <v>352508272</v>
      </c>
      <c r="L150" s="53">
        <v>9358936441</v>
      </c>
      <c r="M150" s="55" t="s">
        <v>1858</v>
      </c>
    </row>
    <row r="151" spans="1:13" x14ac:dyDescent="0.25">
      <c r="A151" s="53" t="s">
        <v>12</v>
      </c>
      <c r="B151" s="53" t="s">
        <v>13</v>
      </c>
      <c r="C151" s="53" t="s">
        <v>14</v>
      </c>
      <c r="D151" s="53" t="s">
        <v>343</v>
      </c>
      <c r="E151" s="54">
        <v>37223550583</v>
      </c>
      <c r="F151" s="53" t="s">
        <v>33</v>
      </c>
      <c r="G151" s="53">
        <v>5450</v>
      </c>
      <c r="H151" s="62">
        <v>46099</v>
      </c>
      <c r="I151" s="61" t="s">
        <v>895</v>
      </c>
      <c r="J151" s="61" t="s">
        <v>896</v>
      </c>
      <c r="K151" s="53">
        <v>352508300</v>
      </c>
      <c r="L151" s="53">
        <v>9031258705</v>
      </c>
      <c r="M151" s="55" t="s">
        <v>1859</v>
      </c>
    </row>
    <row r="152" spans="1:13" x14ac:dyDescent="0.25">
      <c r="A152" s="53" t="s">
        <v>12</v>
      </c>
      <c r="B152" s="53" t="s">
        <v>13</v>
      </c>
      <c r="C152" s="53" t="s">
        <v>14</v>
      </c>
      <c r="D152" s="53" t="s">
        <v>435</v>
      </c>
      <c r="E152" s="53">
        <v>31095925572</v>
      </c>
      <c r="F152" s="60" t="s">
        <v>33</v>
      </c>
      <c r="G152" s="53">
        <v>5450</v>
      </c>
      <c r="H152" s="62">
        <v>46099</v>
      </c>
      <c r="I152" s="61" t="s">
        <v>1485</v>
      </c>
      <c r="J152" s="61" t="s">
        <v>1486</v>
      </c>
      <c r="K152" s="53">
        <v>352508275</v>
      </c>
      <c r="L152" s="60">
        <v>8084080392</v>
      </c>
      <c r="M152" s="55" t="s">
        <v>1859</v>
      </c>
    </row>
    <row r="153" spans="1:13" x14ac:dyDescent="0.25">
      <c r="A153" s="53" t="s">
        <v>12</v>
      </c>
      <c r="B153" s="53" t="s">
        <v>13</v>
      </c>
      <c r="C153" s="53" t="s">
        <v>14</v>
      </c>
      <c r="D153" s="53" t="s">
        <v>108</v>
      </c>
      <c r="E153" s="53" t="s">
        <v>109</v>
      </c>
      <c r="F153" s="53" t="s">
        <v>110</v>
      </c>
      <c r="G153" s="53">
        <v>1000</v>
      </c>
      <c r="H153" s="62">
        <v>46099</v>
      </c>
      <c r="I153" s="61" t="s">
        <v>1777</v>
      </c>
      <c r="J153" s="61" t="s">
        <v>1778</v>
      </c>
      <c r="K153" s="53">
        <v>352508230</v>
      </c>
      <c r="L153" s="53">
        <v>7870570436</v>
      </c>
      <c r="M153" s="55" t="s">
        <v>1860</v>
      </c>
    </row>
    <row r="154" spans="1:13" x14ac:dyDescent="0.25">
      <c r="A154" s="53" t="s">
        <v>12</v>
      </c>
      <c r="B154" s="53" t="s">
        <v>13</v>
      </c>
      <c r="C154" s="53" t="s">
        <v>14</v>
      </c>
      <c r="D154" s="53" t="s">
        <v>95</v>
      </c>
      <c r="E154" s="53" t="s">
        <v>96</v>
      </c>
      <c r="F154" s="53" t="s">
        <v>33</v>
      </c>
      <c r="G154" s="53">
        <v>1000</v>
      </c>
      <c r="H154" s="62">
        <v>46100</v>
      </c>
      <c r="I154" s="61" t="s">
        <v>1483</v>
      </c>
      <c r="J154" s="61" t="s">
        <v>1484</v>
      </c>
      <c r="K154" s="53">
        <v>352508306</v>
      </c>
      <c r="L154" s="53">
        <v>8159025834</v>
      </c>
      <c r="M154" s="55" t="s">
        <v>1861</v>
      </c>
    </row>
    <row r="155" spans="1:13" x14ac:dyDescent="0.25">
      <c r="A155" s="53" t="s">
        <v>12</v>
      </c>
      <c r="B155" s="53" t="s">
        <v>13</v>
      </c>
      <c r="C155" s="53" t="s">
        <v>14</v>
      </c>
      <c r="D155" s="53" t="s">
        <v>95</v>
      </c>
      <c r="E155" s="53" t="s">
        <v>96</v>
      </c>
      <c r="F155" s="53" t="s">
        <v>33</v>
      </c>
      <c r="G155" s="53">
        <v>6100</v>
      </c>
      <c r="H155" s="62">
        <v>46100</v>
      </c>
      <c r="I155" s="61" t="s">
        <v>1483</v>
      </c>
      <c r="J155" s="61" t="s">
        <v>1484</v>
      </c>
      <c r="K155" s="53">
        <v>352508306</v>
      </c>
      <c r="L155" s="53">
        <v>8159025834</v>
      </c>
      <c r="M155" s="55" t="s">
        <v>1862</v>
      </c>
    </row>
    <row r="156" spans="1:13" x14ac:dyDescent="0.25">
      <c r="A156" s="61" t="s">
        <v>12</v>
      </c>
      <c r="B156" s="61" t="s">
        <v>13</v>
      </c>
      <c r="C156" s="61" t="s">
        <v>14</v>
      </c>
      <c r="D156" s="61" t="s">
        <v>31</v>
      </c>
      <c r="E156" s="61" t="s">
        <v>32</v>
      </c>
      <c r="F156" s="61" t="s">
        <v>33</v>
      </c>
      <c r="G156" s="53">
        <v>2000</v>
      </c>
      <c r="H156" s="62">
        <v>46100</v>
      </c>
      <c r="I156" s="61" t="s">
        <v>571</v>
      </c>
      <c r="J156" s="61" t="s">
        <v>59</v>
      </c>
      <c r="K156" s="53">
        <v>352508327</v>
      </c>
      <c r="L156" s="61">
        <v>9347726061</v>
      </c>
      <c r="M156" s="55" t="s">
        <v>1864</v>
      </c>
    </row>
    <row r="157" spans="1:13" x14ac:dyDescent="0.25">
      <c r="A157" s="61" t="s">
        <v>12</v>
      </c>
      <c r="B157" s="61" t="s">
        <v>13</v>
      </c>
      <c r="C157" s="61" t="s">
        <v>14</v>
      </c>
      <c r="D157" s="61" t="s">
        <v>31</v>
      </c>
      <c r="E157" s="61" t="s">
        <v>32</v>
      </c>
      <c r="F157" s="61" t="s">
        <v>33</v>
      </c>
      <c r="G157" s="53">
        <v>1500</v>
      </c>
      <c r="H157" s="62">
        <v>46100</v>
      </c>
      <c r="I157" s="61" t="s">
        <v>571</v>
      </c>
      <c r="J157" s="61" t="s">
        <v>59</v>
      </c>
      <c r="K157" s="53">
        <v>352508327</v>
      </c>
      <c r="L157" s="61">
        <v>9347726061</v>
      </c>
      <c r="M157" s="55" t="s">
        <v>1864</v>
      </c>
    </row>
    <row r="158" spans="1:13" x14ac:dyDescent="0.25">
      <c r="A158" s="53" t="s">
        <v>12</v>
      </c>
      <c r="B158" s="53" t="s">
        <v>13</v>
      </c>
      <c r="C158" s="53" t="s">
        <v>14</v>
      </c>
      <c r="D158" s="53" t="s">
        <v>993</v>
      </c>
      <c r="E158" s="69">
        <v>50100683547664</v>
      </c>
      <c r="F158" s="60" t="s">
        <v>994</v>
      </c>
      <c r="G158" s="53">
        <v>1500</v>
      </c>
      <c r="H158" s="62">
        <v>46100</v>
      </c>
      <c r="I158" s="61" t="s">
        <v>1497</v>
      </c>
      <c r="J158" s="61" t="s">
        <v>1498</v>
      </c>
      <c r="K158" s="53">
        <v>352508328</v>
      </c>
      <c r="L158" s="60">
        <v>8093441726</v>
      </c>
      <c r="M158" s="55" t="s">
        <v>1864</v>
      </c>
    </row>
    <row r="159" spans="1:13" x14ac:dyDescent="0.25">
      <c r="A159" s="53" t="s">
        <v>12</v>
      </c>
      <c r="B159" s="53" t="s">
        <v>13</v>
      </c>
      <c r="C159" s="53" t="s">
        <v>14</v>
      </c>
      <c r="D159" s="53" t="s">
        <v>1610</v>
      </c>
      <c r="E159" s="53">
        <v>33067706253</v>
      </c>
      <c r="F159" s="53" t="s">
        <v>1611</v>
      </c>
      <c r="G159" s="53">
        <v>1000</v>
      </c>
      <c r="H159" s="62">
        <v>46101</v>
      </c>
      <c r="I159" s="53" t="s">
        <v>1513</v>
      </c>
      <c r="J159" s="53" t="s">
        <v>1495</v>
      </c>
      <c r="K159" s="53">
        <v>352508305</v>
      </c>
      <c r="L159" s="53">
        <v>6381535643</v>
      </c>
      <c r="M159" s="55" t="s">
        <v>1865</v>
      </c>
    </row>
    <row r="160" spans="1:13" x14ac:dyDescent="0.25">
      <c r="A160" s="53" t="s">
        <v>12</v>
      </c>
      <c r="B160" s="53" t="s">
        <v>13</v>
      </c>
      <c r="C160" s="53" t="s">
        <v>14</v>
      </c>
      <c r="D160" s="53" t="s">
        <v>144</v>
      </c>
      <c r="E160" s="53">
        <v>44182579159</v>
      </c>
      <c r="F160" s="53" t="s">
        <v>145</v>
      </c>
      <c r="G160" s="53">
        <v>1000</v>
      </c>
      <c r="H160" s="62">
        <v>46101</v>
      </c>
      <c r="I160" s="53" t="s">
        <v>593</v>
      </c>
      <c r="J160" s="53" t="s">
        <v>76</v>
      </c>
      <c r="K160" s="53">
        <v>352508332</v>
      </c>
      <c r="L160" s="53">
        <v>7765824237</v>
      </c>
      <c r="M160" s="55" t="s">
        <v>1866</v>
      </c>
    </row>
    <row r="161" spans="1:13" x14ac:dyDescent="0.25">
      <c r="A161" s="53" t="s">
        <v>12</v>
      </c>
      <c r="B161" s="53" t="s">
        <v>13</v>
      </c>
      <c r="C161" s="53" t="s">
        <v>14</v>
      </c>
      <c r="D161" s="53" t="s">
        <v>95</v>
      </c>
      <c r="E161" s="53" t="s">
        <v>96</v>
      </c>
      <c r="F161" s="53" t="s">
        <v>33</v>
      </c>
      <c r="G161" s="53">
        <v>1000</v>
      </c>
      <c r="H161" s="62">
        <v>46101</v>
      </c>
      <c r="I161" s="61" t="s">
        <v>1483</v>
      </c>
      <c r="J161" s="61" t="s">
        <v>1484</v>
      </c>
      <c r="K161" s="53">
        <v>352508333</v>
      </c>
      <c r="L161" s="53">
        <v>8159025834</v>
      </c>
      <c r="M161" s="55" t="s">
        <v>1866</v>
      </c>
    </row>
    <row r="162" spans="1:13" x14ac:dyDescent="0.25">
      <c r="A162" s="53" t="s">
        <v>12</v>
      </c>
      <c r="B162" s="53" t="s">
        <v>13</v>
      </c>
      <c r="C162" s="53" t="s">
        <v>14</v>
      </c>
      <c r="D162" s="53" t="s">
        <v>48</v>
      </c>
      <c r="E162" s="53" t="s">
        <v>49</v>
      </c>
      <c r="F162" s="53" t="s">
        <v>50</v>
      </c>
      <c r="G162" s="53">
        <v>1000</v>
      </c>
      <c r="H162" s="62">
        <v>46101</v>
      </c>
      <c r="I162" s="53" t="s">
        <v>1519</v>
      </c>
      <c r="J162" s="53" t="s">
        <v>1520</v>
      </c>
      <c r="K162" s="53">
        <v>352508334</v>
      </c>
      <c r="L162" s="53">
        <v>8520078561</v>
      </c>
      <c r="M162" s="55" t="s">
        <v>1866</v>
      </c>
    </row>
    <row r="163" spans="1:13" x14ac:dyDescent="0.25">
      <c r="A163" s="53" t="s">
        <v>12</v>
      </c>
      <c r="B163" s="53" t="s">
        <v>13</v>
      </c>
      <c r="C163" s="53" t="s">
        <v>14</v>
      </c>
      <c r="D163" s="53" t="s">
        <v>1610</v>
      </c>
      <c r="E163" s="53">
        <v>33067706253</v>
      </c>
      <c r="F163" s="53" t="s">
        <v>1611</v>
      </c>
      <c r="G163" s="53">
        <v>4950</v>
      </c>
      <c r="H163" s="62">
        <v>46101</v>
      </c>
      <c r="I163" s="53" t="s">
        <v>1513</v>
      </c>
      <c r="J163" s="53" t="s">
        <v>1495</v>
      </c>
      <c r="K163" s="53">
        <v>352508305</v>
      </c>
      <c r="L163" s="53">
        <v>6381535643</v>
      </c>
      <c r="M163" s="55" t="s">
        <v>1867</v>
      </c>
    </row>
    <row r="164" spans="1:13" x14ac:dyDescent="0.25">
      <c r="A164" s="53" t="s">
        <v>12</v>
      </c>
      <c r="B164" s="53" t="s">
        <v>13</v>
      </c>
      <c r="C164" s="53" t="s">
        <v>14</v>
      </c>
      <c r="D164" s="53" t="s">
        <v>95</v>
      </c>
      <c r="E164" s="53" t="s">
        <v>96</v>
      </c>
      <c r="F164" s="53" t="s">
        <v>33</v>
      </c>
      <c r="G164" s="53">
        <v>4950</v>
      </c>
      <c r="H164" s="62">
        <v>46101</v>
      </c>
      <c r="I164" s="61" t="s">
        <v>1483</v>
      </c>
      <c r="J164" s="61" t="s">
        <v>1484</v>
      </c>
      <c r="K164" s="53">
        <v>352508333</v>
      </c>
      <c r="L164" s="53">
        <v>8159025834</v>
      </c>
      <c r="M164" s="55" t="s">
        <v>1867</v>
      </c>
    </row>
    <row r="165" spans="1:13" x14ac:dyDescent="0.25">
      <c r="A165" s="53" t="s">
        <v>12</v>
      </c>
      <c r="B165" s="53" t="s">
        <v>13</v>
      </c>
      <c r="C165" s="53" t="s">
        <v>14</v>
      </c>
      <c r="D165" s="53" t="s">
        <v>343</v>
      </c>
      <c r="E165" s="54">
        <v>37223550583</v>
      </c>
      <c r="F165" s="53" t="s">
        <v>33</v>
      </c>
      <c r="G165" s="53">
        <v>2000</v>
      </c>
      <c r="H165" s="62">
        <v>46101</v>
      </c>
      <c r="I165" s="61" t="s">
        <v>895</v>
      </c>
      <c r="J165" s="61" t="s">
        <v>896</v>
      </c>
      <c r="K165" s="53">
        <v>352508300</v>
      </c>
      <c r="L165" s="53">
        <v>9031258705</v>
      </c>
      <c r="M165" s="77" t="s">
        <v>690</v>
      </c>
    </row>
    <row r="166" spans="1:13" x14ac:dyDescent="0.25">
      <c r="A166" s="53" t="s">
        <v>12</v>
      </c>
      <c r="B166" s="53" t="s">
        <v>13</v>
      </c>
      <c r="C166" s="53" t="s">
        <v>14</v>
      </c>
      <c r="D166" s="53" t="s">
        <v>144</v>
      </c>
      <c r="E166" s="53">
        <v>44182579159</v>
      </c>
      <c r="F166" s="53" t="s">
        <v>145</v>
      </c>
      <c r="G166" s="53">
        <v>5200</v>
      </c>
      <c r="H166" s="62">
        <v>46101</v>
      </c>
      <c r="I166" s="53" t="s">
        <v>593</v>
      </c>
      <c r="J166" s="53" t="s">
        <v>76</v>
      </c>
      <c r="K166" s="53">
        <v>352508332</v>
      </c>
      <c r="L166" s="53">
        <v>7765824237</v>
      </c>
      <c r="M166" s="55" t="s">
        <v>1868</v>
      </c>
    </row>
    <row r="167" spans="1:13" x14ac:dyDescent="0.25">
      <c r="A167" s="53" t="s">
        <v>12</v>
      </c>
      <c r="B167" s="53" t="s">
        <v>13</v>
      </c>
      <c r="C167" s="53" t="s">
        <v>14</v>
      </c>
      <c r="D167" s="53" t="s">
        <v>48</v>
      </c>
      <c r="E167" s="53" t="s">
        <v>49</v>
      </c>
      <c r="F167" s="53" t="s">
        <v>50</v>
      </c>
      <c r="G167" s="53">
        <v>5450</v>
      </c>
      <c r="H167" s="62">
        <v>46101</v>
      </c>
      <c r="I167" s="53" t="s">
        <v>1519</v>
      </c>
      <c r="J167" s="53" t="s">
        <v>1520</v>
      </c>
      <c r="K167" s="53">
        <v>352508334</v>
      </c>
      <c r="L167" s="53">
        <v>8520078561</v>
      </c>
      <c r="M167" s="55" t="s">
        <v>839</v>
      </c>
    </row>
    <row r="168" spans="1:13" x14ac:dyDescent="0.25">
      <c r="A168" s="53" t="s">
        <v>12</v>
      </c>
      <c r="B168" s="53" t="s">
        <v>13</v>
      </c>
      <c r="C168" s="53" t="s">
        <v>14</v>
      </c>
      <c r="D168" s="53" t="s">
        <v>108</v>
      </c>
      <c r="E168" s="53" t="s">
        <v>109</v>
      </c>
      <c r="F168" s="53" t="s">
        <v>110</v>
      </c>
      <c r="G168" s="53">
        <f>2000+900</f>
        <v>2900</v>
      </c>
      <c r="H168" s="62">
        <v>46102</v>
      </c>
      <c r="I168" s="61" t="s">
        <v>1777</v>
      </c>
      <c r="J168" s="61" t="s">
        <v>1778</v>
      </c>
      <c r="K168" s="53">
        <v>352508374</v>
      </c>
      <c r="L168" s="53">
        <v>7870570436</v>
      </c>
      <c r="M168" s="55" t="s">
        <v>1872</v>
      </c>
    </row>
    <row r="169" spans="1:13" x14ac:dyDescent="0.25">
      <c r="A169" s="53" t="s">
        <v>12</v>
      </c>
      <c r="B169" s="53" t="s">
        <v>13</v>
      </c>
      <c r="C169" s="53" t="s">
        <v>14</v>
      </c>
      <c r="D169" s="53" t="s">
        <v>993</v>
      </c>
      <c r="E169" s="69">
        <v>50100683547664</v>
      </c>
      <c r="F169" s="60" t="s">
        <v>994</v>
      </c>
      <c r="G169" s="53">
        <v>1000</v>
      </c>
      <c r="H169" s="62">
        <v>46102</v>
      </c>
      <c r="I169" s="61" t="s">
        <v>1497</v>
      </c>
      <c r="J169" s="61" t="s">
        <v>1498</v>
      </c>
      <c r="K169" s="53">
        <v>352508364</v>
      </c>
      <c r="L169" s="60">
        <v>8093441726</v>
      </c>
      <c r="M169" s="55" t="s">
        <v>1869</v>
      </c>
    </row>
    <row r="170" spans="1:13" x14ac:dyDescent="0.25">
      <c r="A170" s="53" t="s">
        <v>12</v>
      </c>
      <c r="B170" s="53" t="s">
        <v>13</v>
      </c>
      <c r="C170" s="53" t="s">
        <v>14</v>
      </c>
      <c r="D170" s="53" t="s">
        <v>36</v>
      </c>
      <c r="E170" s="53" t="s">
        <v>37</v>
      </c>
      <c r="F170" s="53" t="s">
        <v>38</v>
      </c>
      <c r="G170" s="53">
        <v>7700</v>
      </c>
      <c r="H170" s="62">
        <v>46102</v>
      </c>
      <c r="I170" s="53" t="s">
        <v>902</v>
      </c>
      <c r="J170" s="53" t="s">
        <v>901</v>
      </c>
      <c r="K170" s="53">
        <v>352508359</v>
      </c>
      <c r="L170" s="53">
        <v>9358936441</v>
      </c>
      <c r="M170" s="55" t="s">
        <v>1870</v>
      </c>
    </row>
    <row r="171" spans="1:13" x14ac:dyDescent="0.25">
      <c r="A171" s="53" t="s">
        <v>12</v>
      </c>
      <c r="B171" s="53" t="s">
        <v>13</v>
      </c>
      <c r="C171" s="53" t="s">
        <v>14</v>
      </c>
      <c r="D171" s="53" t="s">
        <v>435</v>
      </c>
      <c r="E171" s="53">
        <v>31095925572</v>
      </c>
      <c r="F171" s="60" t="s">
        <v>33</v>
      </c>
      <c r="G171" s="53">
        <v>7700</v>
      </c>
      <c r="H171" s="62">
        <v>46102</v>
      </c>
      <c r="I171" s="61" t="s">
        <v>1485</v>
      </c>
      <c r="J171" s="61" t="s">
        <v>1486</v>
      </c>
      <c r="K171" s="53">
        <v>352508361</v>
      </c>
      <c r="L171" s="60">
        <v>8084080392</v>
      </c>
      <c r="M171" s="55" t="s">
        <v>1870</v>
      </c>
    </row>
    <row r="172" spans="1:13" x14ac:dyDescent="0.25">
      <c r="A172" s="53" t="s">
        <v>12</v>
      </c>
      <c r="B172" s="53" t="s">
        <v>13</v>
      </c>
      <c r="C172" s="53" t="s">
        <v>14</v>
      </c>
      <c r="D172" s="53" t="s">
        <v>343</v>
      </c>
      <c r="E172" s="54">
        <v>37223550583</v>
      </c>
      <c r="F172" s="53" t="s">
        <v>33</v>
      </c>
      <c r="G172" s="53">
        <v>5200</v>
      </c>
      <c r="H172" s="62">
        <v>46102</v>
      </c>
      <c r="I172" s="61" t="s">
        <v>895</v>
      </c>
      <c r="J172" s="61" t="s">
        <v>896</v>
      </c>
      <c r="K172" s="53">
        <v>352508362</v>
      </c>
      <c r="L172" s="53">
        <v>9031258705</v>
      </c>
      <c r="M172" s="55" t="s">
        <v>1871</v>
      </c>
    </row>
    <row r="173" spans="1:13" x14ac:dyDescent="0.25">
      <c r="A173" s="53" t="s">
        <v>12</v>
      </c>
      <c r="B173" s="53" t="s">
        <v>13</v>
      </c>
      <c r="C173" s="53" t="s">
        <v>14</v>
      </c>
      <c r="D173" s="53" t="s">
        <v>1406</v>
      </c>
      <c r="E173" s="69">
        <v>645602010014653</v>
      </c>
      <c r="F173" s="53" t="s">
        <v>1407</v>
      </c>
      <c r="G173" s="53">
        <v>5450</v>
      </c>
      <c r="H173" s="62">
        <v>46102</v>
      </c>
      <c r="I173" s="53" t="s">
        <v>903</v>
      </c>
      <c r="J173" s="53" t="s">
        <v>904</v>
      </c>
      <c r="K173" s="53">
        <v>352508363</v>
      </c>
      <c r="L173" s="53">
        <v>8084480157</v>
      </c>
      <c r="M173" s="55" t="s">
        <v>842</v>
      </c>
    </row>
    <row r="174" spans="1:13" x14ac:dyDescent="0.25">
      <c r="A174" s="53" t="s">
        <v>12</v>
      </c>
      <c r="B174" s="53" t="s">
        <v>13</v>
      </c>
      <c r="C174" s="53" t="s">
        <v>14</v>
      </c>
      <c r="D174" s="53" t="s">
        <v>1610</v>
      </c>
      <c r="E174" s="53">
        <v>33067706253</v>
      </c>
      <c r="F174" s="53" t="s">
        <v>1611</v>
      </c>
      <c r="G174" s="53">
        <v>5450</v>
      </c>
      <c r="H174" s="62">
        <v>46102</v>
      </c>
      <c r="I174" s="53" t="s">
        <v>1513</v>
      </c>
      <c r="J174" s="53" t="s">
        <v>1495</v>
      </c>
      <c r="K174" s="53">
        <v>352508356</v>
      </c>
      <c r="L174" s="53">
        <v>6381535643</v>
      </c>
      <c r="M174" s="55" t="s">
        <v>842</v>
      </c>
    </row>
    <row r="175" spans="1:13" x14ac:dyDescent="0.25">
      <c r="A175" s="53" t="s">
        <v>12</v>
      </c>
      <c r="B175" s="53" t="s">
        <v>13</v>
      </c>
      <c r="C175" s="53" t="s">
        <v>14</v>
      </c>
      <c r="D175" s="53" t="s">
        <v>95</v>
      </c>
      <c r="E175" s="53" t="s">
        <v>96</v>
      </c>
      <c r="F175" s="53" t="s">
        <v>33</v>
      </c>
      <c r="G175" s="53">
        <v>5450</v>
      </c>
      <c r="H175" s="62">
        <v>46102</v>
      </c>
      <c r="I175" s="61" t="s">
        <v>1483</v>
      </c>
      <c r="J175" s="61" t="s">
        <v>1484</v>
      </c>
      <c r="K175" s="53">
        <v>352508357</v>
      </c>
      <c r="L175" s="53">
        <v>8159025834</v>
      </c>
      <c r="M175" s="55" t="s">
        <v>842</v>
      </c>
    </row>
    <row r="176" spans="1:13" x14ac:dyDescent="0.25">
      <c r="A176" s="53" t="s">
        <v>12</v>
      </c>
      <c r="B176" s="53" t="s">
        <v>13</v>
      </c>
      <c r="C176" s="53" t="s">
        <v>14</v>
      </c>
      <c r="D176" s="53" t="s">
        <v>144</v>
      </c>
      <c r="E176" s="53">
        <v>44182579159</v>
      </c>
      <c r="F176" s="53" t="s">
        <v>145</v>
      </c>
      <c r="G176" s="53">
        <v>7500</v>
      </c>
      <c r="H176" s="62">
        <v>46104</v>
      </c>
      <c r="I176" s="53" t="s">
        <v>593</v>
      </c>
      <c r="J176" s="53" t="s">
        <v>76</v>
      </c>
      <c r="K176" s="53">
        <v>352508358</v>
      </c>
      <c r="L176" s="53">
        <v>7765824237</v>
      </c>
      <c r="M176" s="55" t="s">
        <v>1880</v>
      </c>
    </row>
    <row r="177" spans="1:13" x14ac:dyDescent="0.25">
      <c r="A177" s="53" t="s">
        <v>12</v>
      </c>
      <c r="B177" s="53" t="s">
        <v>13</v>
      </c>
      <c r="C177" s="53" t="s">
        <v>14</v>
      </c>
      <c r="D177" s="53" t="s">
        <v>144</v>
      </c>
      <c r="E177" s="53">
        <v>44182579159</v>
      </c>
      <c r="F177" s="53" t="s">
        <v>145</v>
      </c>
      <c r="G177" s="53">
        <v>500</v>
      </c>
      <c r="H177" s="62">
        <v>46104</v>
      </c>
      <c r="I177" s="53" t="s">
        <v>593</v>
      </c>
      <c r="J177" s="53" t="s">
        <v>76</v>
      </c>
      <c r="K177" s="53">
        <v>352508358</v>
      </c>
      <c r="L177" s="53">
        <v>7765824237</v>
      </c>
      <c r="M177" s="55" t="s">
        <v>1874</v>
      </c>
    </row>
    <row r="178" spans="1:13" x14ac:dyDescent="0.25">
      <c r="A178" s="61" t="s">
        <v>12</v>
      </c>
      <c r="B178" s="61" t="s">
        <v>13</v>
      </c>
      <c r="C178" s="61" t="s">
        <v>14</v>
      </c>
      <c r="D178" s="61" t="s">
        <v>31</v>
      </c>
      <c r="E178" s="61" t="s">
        <v>32</v>
      </c>
      <c r="F178" s="61" t="s">
        <v>33</v>
      </c>
      <c r="G178" s="53">
        <v>2000</v>
      </c>
      <c r="H178" s="62">
        <v>46104</v>
      </c>
      <c r="I178" s="61" t="s">
        <v>571</v>
      </c>
      <c r="J178" s="61" t="s">
        <v>59</v>
      </c>
      <c r="K178" s="53">
        <v>352508425</v>
      </c>
      <c r="L178" s="61">
        <v>9347726061</v>
      </c>
      <c r="M178" s="55" t="s">
        <v>1873</v>
      </c>
    </row>
    <row r="179" spans="1:13" x14ac:dyDescent="0.25">
      <c r="A179" s="61" t="s">
        <v>12</v>
      </c>
      <c r="B179" s="61" t="s">
        <v>13</v>
      </c>
      <c r="C179" s="61" t="s">
        <v>14</v>
      </c>
      <c r="D179" s="61" t="s">
        <v>31</v>
      </c>
      <c r="E179" s="61" t="s">
        <v>32</v>
      </c>
      <c r="F179" s="61" t="s">
        <v>33</v>
      </c>
      <c r="G179" s="53">
        <v>1500</v>
      </c>
      <c r="H179" s="62">
        <v>46104</v>
      </c>
      <c r="I179" s="61" t="s">
        <v>571</v>
      </c>
      <c r="J179" s="61" t="s">
        <v>59</v>
      </c>
      <c r="K179" s="53">
        <v>352508427</v>
      </c>
      <c r="L179" s="61">
        <v>9347726061</v>
      </c>
      <c r="M179" s="55" t="s">
        <v>1873</v>
      </c>
    </row>
    <row r="180" spans="1:13" x14ac:dyDescent="0.25">
      <c r="A180" s="53" t="s">
        <v>12</v>
      </c>
      <c r="B180" s="53" t="s">
        <v>13</v>
      </c>
      <c r="C180" s="53" t="s">
        <v>14</v>
      </c>
      <c r="D180" s="53" t="s">
        <v>108</v>
      </c>
      <c r="E180" s="53" t="s">
        <v>109</v>
      </c>
      <c r="F180" s="53" t="s">
        <v>110</v>
      </c>
      <c r="G180" s="53">
        <v>2000</v>
      </c>
      <c r="H180" s="62">
        <v>46104</v>
      </c>
      <c r="I180" s="61" t="s">
        <v>1777</v>
      </c>
      <c r="J180" s="61" t="s">
        <v>1778</v>
      </c>
      <c r="K180" s="53">
        <v>352508426</v>
      </c>
      <c r="L180" s="53">
        <v>7870570436</v>
      </c>
      <c r="M180" s="55" t="s">
        <v>1873</v>
      </c>
    </row>
    <row r="181" spans="1:13" x14ac:dyDescent="0.25">
      <c r="A181" s="53" t="s">
        <v>12</v>
      </c>
      <c r="B181" s="53" t="s">
        <v>13</v>
      </c>
      <c r="C181" s="53" t="s">
        <v>14</v>
      </c>
      <c r="D181" s="53" t="s">
        <v>108</v>
      </c>
      <c r="E181" s="53" t="s">
        <v>109</v>
      </c>
      <c r="F181" s="53" t="s">
        <v>110</v>
      </c>
      <c r="G181" s="53">
        <v>1500</v>
      </c>
      <c r="H181" s="62">
        <v>46104</v>
      </c>
      <c r="I181" s="61" t="s">
        <v>1777</v>
      </c>
      <c r="J181" s="61" t="s">
        <v>1778</v>
      </c>
      <c r="K181" s="53">
        <v>352508428</v>
      </c>
      <c r="L181" s="53">
        <v>7870570436</v>
      </c>
      <c r="M181" s="55" t="s">
        <v>1873</v>
      </c>
    </row>
    <row r="182" spans="1:13" x14ac:dyDescent="0.25">
      <c r="A182" s="53" t="s">
        <v>12</v>
      </c>
      <c r="B182" s="53" t="s">
        <v>13</v>
      </c>
      <c r="C182" s="53" t="s">
        <v>14</v>
      </c>
      <c r="D182" s="53" t="s">
        <v>95</v>
      </c>
      <c r="E182" s="53" t="s">
        <v>96</v>
      </c>
      <c r="F182" s="53" t="s">
        <v>33</v>
      </c>
      <c r="G182" s="53">
        <v>1500</v>
      </c>
      <c r="H182" s="62">
        <v>46104</v>
      </c>
      <c r="I182" s="61" t="s">
        <v>1483</v>
      </c>
      <c r="J182" s="61" t="s">
        <v>1484</v>
      </c>
      <c r="K182" s="53">
        <v>352508429</v>
      </c>
      <c r="L182" s="53">
        <v>8159025834</v>
      </c>
      <c r="M182" s="55" t="s">
        <v>1875</v>
      </c>
    </row>
    <row r="183" spans="1:13" x14ac:dyDescent="0.25">
      <c r="A183" s="53" t="s">
        <v>12</v>
      </c>
      <c r="B183" s="53" t="s">
        <v>13</v>
      </c>
      <c r="C183" s="53" t="s">
        <v>14</v>
      </c>
      <c r="D183" s="53" t="s">
        <v>95</v>
      </c>
      <c r="E183" s="53" t="s">
        <v>96</v>
      </c>
      <c r="F183" s="53" t="s">
        <v>33</v>
      </c>
      <c r="G183" s="53">
        <v>5200</v>
      </c>
      <c r="H183" s="62">
        <v>46104</v>
      </c>
      <c r="I183" s="61" t="s">
        <v>1483</v>
      </c>
      <c r="J183" s="61" t="s">
        <v>1484</v>
      </c>
      <c r="K183" s="53">
        <v>352508429</v>
      </c>
      <c r="L183" s="53">
        <v>8159025834</v>
      </c>
      <c r="M183" s="55" t="s">
        <v>1876</v>
      </c>
    </row>
    <row r="184" spans="1:13" x14ac:dyDescent="0.25">
      <c r="A184" s="53" t="s">
        <v>12</v>
      </c>
      <c r="B184" s="53" t="s">
        <v>13</v>
      </c>
      <c r="C184" s="53" t="s">
        <v>14</v>
      </c>
      <c r="D184" s="53" t="s">
        <v>1406</v>
      </c>
      <c r="E184" s="69">
        <v>645602010014653</v>
      </c>
      <c r="F184" s="53" t="s">
        <v>1407</v>
      </c>
      <c r="G184" s="53">
        <v>7700</v>
      </c>
      <c r="H184" s="62">
        <v>46104</v>
      </c>
      <c r="I184" s="53" t="s">
        <v>903</v>
      </c>
      <c r="J184" s="53" t="s">
        <v>904</v>
      </c>
      <c r="K184" s="53">
        <v>352508398</v>
      </c>
      <c r="L184" s="53">
        <v>8084480157</v>
      </c>
      <c r="M184" s="55" t="s">
        <v>1877</v>
      </c>
    </row>
    <row r="185" spans="1:13" x14ac:dyDescent="0.25">
      <c r="A185" s="53" t="s">
        <v>12</v>
      </c>
      <c r="B185" s="53" t="s">
        <v>13</v>
      </c>
      <c r="C185" s="53" t="s">
        <v>14</v>
      </c>
      <c r="D185" s="53" t="s">
        <v>48</v>
      </c>
      <c r="E185" s="53" t="s">
        <v>49</v>
      </c>
      <c r="F185" s="53" t="s">
        <v>50</v>
      </c>
      <c r="G185" s="53">
        <v>7700</v>
      </c>
      <c r="H185" s="62">
        <v>46104</v>
      </c>
      <c r="I185" s="53" t="s">
        <v>1519</v>
      </c>
      <c r="J185" s="53" t="s">
        <v>1520</v>
      </c>
      <c r="K185" s="53">
        <v>352508395</v>
      </c>
      <c r="L185" s="53">
        <v>8520078561</v>
      </c>
      <c r="M185" s="55" t="s">
        <v>1877</v>
      </c>
    </row>
    <row r="186" spans="1:13" x14ac:dyDescent="0.25">
      <c r="A186" s="53" t="s">
        <v>12</v>
      </c>
      <c r="B186" s="53" t="s">
        <v>13</v>
      </c>
      <c r="C186" s="53" t="s">
        <v>14</v>
      </c>
      <c r="D186" s="53" t="s">
        <v>435</v>
      </c>
      <c r="E186" s="53">
        <v>31095925572</v>
      </c>
      <c r="F186" s="60" t="s">
        <v>33</v>
      </c>
      <c r="G186" s="53">
        <v>7700</v>
      </c>
      <c r="H186" s="62">
        <v>46104</v>
      </c>
      <c r="I186" s="61" t="s">
        <v>1485</v>
      </c>
      <c r="J186" s="61" t="s">
        <v>1486</v>
      </c>
      <c r="K186" s="53">
        <v>352508394</v>
      </c>
      <c r="L186" s="60">
        <v>8084080392</v>
      </c>
      <c r="M186" s="55" t="s">
        <v>1877</v>
      </c>
    </row>
    <row r="187" spans="1:13" x14ac:dyDescent="0.25">
      <c r="A187" s="53" t="s">
        <v>12</v>
      </c>
      <c r="B187" s="53" t="s">
        <v>13</v>
      </c>
      <c r="C187" s="53" t="s">
        <v>14</v>
      </c>
      <c r="D187" s="53" t="s">
        <v>993</v>
      </c>
      <c r="E187" s="69">
        <v>50100683547664</v>
      </c>
      <c r="F187" s="60" t="s">
        <v>994</v>
      </c>
      <c r="G187" s="53">
        <v>5450</v>
      </c>
      <c r="H187" s="62">
        <v>46104</v>
      </c>
      <c r="I187" s="61" t="s">
        <v>1497</v>
      </c>
      <c r="J187" s="61" t="s">
        <v>1498</v>
      </c>
      <c r="K187" s="53">
        <v>352508364</v>
      </c>
      <c r="L187" s="60">
        <v>8093441726</v>
      </c>
      <c r="M187" s="55" t="s">
        <v>1878</v>
      </c>
    </row>
    <row r="188" spans="1:13" x14ac:dyDescent="0.25">
      <c r="A188" s="53" t="s">
        <v>12</v>
      </c>
      <c r="B188" s="53" t="s">
        <v>13</v>
      </c>
      <c r="C188" s="53" t="s">
        <v>14</v>
      </c>
      <c r="D188" s="53" t="s">
        <v>1610</v>
      </c>
      <c r="E188" s="53">
        <v>33067706253</v>
      </c>
      <c r="F188" s="53" t="s">
        <v>1611</v>
      </c>
      <c r="G188" s="53">
        <v>5450</v>
      </c>
      <c r="H188" s="62">
        <v>46104</v>
      </c>
      <c r="I188" s="53" t="s">
        <v>1513</v>
      </c>
      <c r="J188" s="53" t="s">
        <v>1495</v>
      </c>
      <c r="K188" s="53">
        <v>352508396</v>
      </c>
      <c r="L188" s="53">
        <v>6381535643</v>
      </c>
      <c r="M188" s="55" t="s">
        <v>1878</v>
      </c>
    </row>
    <row r="189" spans="1:13" x14ac:dyDescent="0.25">
      <c r="A189" s="53" t="s">
        <v>12</v>
      </c>
      <c r="B189" s="53" t="s">
        <v>13</v>
      </c>
      <c r="C189" s="53" t="s">
        <v>14</v>
      </c>
      <c r="D189" s="53" t="s">
        <v>36</v>
      </c>
      <c r="E189" s="53" t="s">
        <v>37</v>
      </c>
      <c r="F189" s="53" t="s">
        <v>38</v>
      </c>
      <c r="G189" s="53">
        <v>7500</v>
      </c>
      <c r="H189" s="62">
        <v>46104</v>
      </c>
      <c r="I189" s="53" t="s">
        <v>902</v>
      </c>
      <c r="J189" s="53" t="s">
        <v>901</v>
      </c>
      <c r="K189" s="53">
        <v>352508393</v>
      </c>
      <c r="L189" s="53">
        <v>9358936441</v>
      </c>
      <c r="M189" s="55" t="s">
        <v>1879</v>
      </c>
    </row>
    <row r="190" spans="1:13" x14ac:dyDescent="0.25">
      <c r="A190" s="53" t="s">
        <v>12</v>
      </c>
      <c r="B190" s="53" t="s">
        <v>13</v>
      </c>
      <c r="C190" s="53" t="s">
        <v>14</v>
      </c>
      <c r="D190" s="53" t="s">
        <v>1610</v>
      </c>
      <c r="E190" s="53">
        <v>33067706253</v>
      </c>
      <c r="F190" s="53" t="s">
        <v>1611</v>
      </c>
      <c r="G190" s="53">
        <v>1500</v>
      </c>
      <c r="H190" s="62">
        <v>46105</v>
      </c>
      <c r="I190" s="53" t="s">
        <v>1513</v>
      </c>
      <c r="J190" s="53" t="s">
        <v>1495</v>
      </c>
      <c r="K190" s="53">
        <v>352508452</v>
      </c>
      <c r="L190" s="53">
        <v>6381535643</v>
      </c>
      <c r="M190" s="55" t="s">
        <v>1881</v>
      </c>
    </row>
    <row r="191" spans="1:13" x14ac:dyDescent="0.25">
      <c r="A191" s="53" t="s">
        <v>12</v>
      </c>
      <c r="B191" s="53" t="s">
        <v>13</v>
      </c>
      <c r="C191" s="53" t="s">
        <v>14</v>
      </c>
      <c r="D191" s="53" t="s">
        <v>1610</v>
      </c>
      <c r="E191" s="53">
        <v>33067706253</v>
      </c>
      <c r="F191" s="53" t="s">
        <v>1611</v>
      </c>
      <c r="G191" s="53">
        <v>5200</v>
      </c>
      <c r="H191" s="62">
        <v>46105</v>
      </c>
      <c r="I191" s="53" t="s">
        <v>1513</v>
      </c>
      <c r="J191" s="53" t="s">
        <v>1495</v>
      </c>
      <c r="K191" s="53">
        <v>352508452</v>
      </c>
      <c r="L191" s="53">
        <v>6381535643</v>
      </c>
      <c r="M191" s="55" t="s">
        <v>1882</v>
      </c>
    </row>
    <row r="192" spans="1:13" x14ac:dyDescent="0.25">
      <c r="A192" s="61" t="s">
        <v>12</v>
      </c>
      <c r="B192" s="61" t="s">
        <v>13</v>
      </c>
      <c r="C192" s="61" t="s">
        <v>14</v>
      </c>
      <c r="D192" s="61" t="s">
        <v>31</v>
      </c>
      <c r="E192" s="61" t="s">
        <v>32</v>
      </c>
      <c r="F192" s="61" t="s">
        <v>33</v>
      </c>
      <c r="G192" s="53">
        <v>2000</v>
      </c>
      <c r="H192" s="62">
        <v>46105</v>
      </c>
      <c r="I192" s="61" t="s">
        <v>571</v>
      </c>
      <c r="J192" s="61" t="s">
        <v>59</v>
      </c>
      <c r="K192" s="53">
        <v>352508454</v>
      </c>
      <c r="L192" s="61">
        <v>9347726061</v>
      </c>
      <c r="M192" s="55" t="s">
        <v>1883</v>
      </c>
    </row>
    <row r="193" spans="1:13" x14ac:dyDescent="0.25">
      <c r="A193" s="53" t="s">
        <v>12</v>
      </c>
      <c r="B193" s="53" t="s">
        <v>13</v>
      </c>
      <c r="C193" s="53" t="s">
        <v>14</v>
      </c>
      <c r="D193" s="53" t="s">
        <v>108</v>
      </c>
      <c r="E193" s="53" t="s">
        <v>109</v>
      </c>
      <c r="F193" s="53" t="s">
        <v>110</v>
      </c>
      <c r="G193" s="53">
        <v>2000</v>
      </c>
      <c r="H193" s="62">
        <v>46105</v>
      </c>
      <c r="I193" s="61" t="s">
        <v>1777</v>
      </c>
      <c r="J193" s="61" t="s">
        <v>1778</v>
      </c>
      <c r="K193" s="53">
        <v>352508455</v>
      </c>
      <c r="L193" s="53">
        <v>7870570436</v>
      </c>
      <c r="M193" s="55" t="s">
        <v>1883</v>
      </c>
    </row>
    <row r="194" spans="1:13" x14ac:dyDescent="0.25">
      <c r="A194" s="53" t="s">
        <v>12</v>
      </c>
      <c r="B194" s="53" t="s">
        <v>13</v>
      </c>
      <c r="C194" s="53" t="s">
        <v>14</v>
      </c>
      <c r="D194" s="53" t="s">
        <v>343</v>
      </c>
      <c r="E194" s="54">
        <v>37223550583</v>
      </c>
      <c r="F194" s="53" t="s">
        <v>33</v>
      </c>
      <c r="G194" s="53">
        <v>2000</v>
      </c>
      <c r="H194" s="62">
        <v>46105</v>
      </c>
      <c r="I194" s="61" t="s">
        <v>895</v>
      </c>
      <c r="J194" s="61" t="s">
        <v>896</v>
      </c>
      <c r="K194" s="53">
        <v>352508456</v>
      </c>
      <c r="L194" s="53">
        <v>9031258705</v>
      </c>
      <c r="M194" s="55" t="s">
        <v>1883</v>
      </c>
    </row>
    <row r="195" spans="1:13" x14ac:dyDescent="0.25">
      <c r="A195" s="53" t="s">
        <v>12</v>
      </c>
      <c r="B195" s="53" t="s">
        <v>13</v>
      </c>
      <c r="C195" s="53" t="s">
        <v>14</v>
      </c>
      <c r="D195" s="53" t="s">
        <v>993</v>
      </c>
      <c r="E195" s="69">
        <v>50100683547664</v>
      </c>
      <c r="F195" s="60" t="s">
        <v>994</v>
      </c>
      <c r="G195" s="53">
        <v>5450</v>
      </c>
      <c r="H195" s="62">
        <v>46105</v>
      </c>
      <c r="I195" s="61" t="s">
        <v>1497</v>
      </c>
      <c r="J195" s="61" t="s">
        <v>1498</v>
      </c>
      <c r="K195" s="53">
        <v>352508438</v>
      </c>
      <c r="L195" s="60">
        <v>8093441726</v>
      </c>
      <c r="M195" s="55" t="s">
        <v>847</v>
      </c>
    </row>
    <row r="196" spans="1:13" x14ac:dyDescent="0.25">
      <c r="A196" s="53" t="s">
        <v>12</v>
      </c>
      <c r="B196" s="53" t="s">
        <v>13</v>
      </c>
      <c r="C196" s="53" t="s">
        <v>14</v>
      </c>
      <c r="D196" s="53" t="s">
        <v>1406</v>
      </c>
      <c r="E196" s="69">
        <v>645602010014653</v>
      </c>
      <c r="F196" s="53" t="s">
        <v>1407</v>
      </c>
      <c r="G196" s="53">
        <v>7500</v>
      </c>
      <c r="H196" s="62">
        <v>46105</v>
      </c>
      <c r="I196" s="53" t="s">
        <v>903</v>
      </c>
      <c r="J196" s="53" t="s">
        <v>904</v>
      </c>
      <c r="K196" s="53">
        <v>352508439</v>
      </c>
      <c r="L196" s="53">
        <v>8084480157</v>
      </c>
      <c r="M196" s="55" t="s">
        <v>1884</v>
      </c>
    </row>
    <row r="197" spans="1:13" x14ac:dyDescent="0.25">
      <c r="A197" s="53" t="s">
        <v>12</v>
      </c>
      <c r="B197" s="53" t="s">
        <v>13</v>
      </c>
      <c r="C197" s="53" t="s">
        <v>14</v>
      </c>
      <c r="D197" s="53" t="s">
        <v>343</v>
      </c>
      <c r="E197" s="54">
        <v>37223550583</v>
      </c>
      <c r="F197" s="53" t="s">
        <v>33</v>
      </c>
      <c r="G197" s="53">
        <v>2000</v>
      </c>
      <c r="H197" s="62">
        <v>46105</v>
      </c>
      <c r="I197" s="61" t="s">
        <v>895</v>
      </c>
      <c r="J197" s="61" t="s">
        <v>896</v>
      </c>
      <c r="K197" s="53">
        <v>352508456</v>
      </c>
      <c r="L197" s="53">
        <v>9031258705</v>
      </c>
      <c r="M197" s="55" t="s">
        <v>1885</v>
      </c>
    </row>
    <row r="198" spans="1:13" x14ac:dyDescent="0.25">
      <c r="A198" s="53" t="s">
        <v>12</v>
      </c>
      <c r="B198" s="53" t="s">
        <v>13</v>
      </c>
      <c r="C198" s="53" t="s">
        <v>14</v>
      </c>
      <c r="D198" s="53" t="s">
        <v>95</v>
      </c>
      <c r="E198" s="53" t="s">
        <v>96</v>
      </c>
      <c r="F198" s="53" t="s">
        <v>33</v>
      </c>
      <c r="G198" s="53">
        <v>5500</v>
      </c>
      <c r="H198" s="62">
        <v>46105</v>
      </c>
      <c r="I198" s="61" t="s">
        <v>1483</v>
      </c>
      <c r="J198" s="61" t="s">
        <v>1484</v>
      </c>
      <c r="K198" s="53">
        <v>352508436</v>
      </c>
      <c r="L198" s="53">
        <v>8159025834</v>
      </c>
      <c r="M198" s="55" t="s">
        <v>1886</v>
      </c>
    </row>
    <row r="199" spans="1:13" x14ac:dyDescent="0.25">
      <c r="A199" s="53" t="s">
        <v>12</v>
      </c>
      <c r="B199" s="53" t="s">
        <v>13</v>
      </c>
      <c r="C199" s="53" t="s">
        <v>14</v>
      </c>
      <c r="D199" s="53" t="s">
        <v>108</v>
      </c>
      <c r="E199" s="53" t="s">
        <v>109</v>
      </c>
      <c r="F199" s="53" t="s">
        <v>110</v>
      </c>
      <c r="G199" s="53">
        <v>1500</v>
      </c>
      <c r="H199" s="62">
        <v>46106</v>
      </c>
      <c r="I199" s="61" t="s">
        <v>1777</v>
      </c>
      <c r="J199" s="61" t="s">
        <v>1778</v>
      </c>
      <c r="K199" s="53">
        <v>352508497</v>
      </c>
      <c r="L199" s="53">
        <v>7870570436</v>
      </c>
      <c r="M199" s="55" t="s">
        <v>1883</v>
      </c>
    </row>
    <row r="200" spans="1:13" x14ac:dyDescent="0.25">
      <c r="A200" s="53" t="s">
        <v>12</v>
      </c>
      <c r="B200" s="53" t="s">
        <v>13</v>
      </c>
      <c r="C200" s="53" t="s">
        <v>14</v>
      </c>
      <c r="D200" s="53" t="s">
        <v>108</v>
      </c>
      <c r="E200" s="53" t="s">
        <v>109</v>
      </c>
      <c r="F200" s="53" t="s">
        <v>110</v>
      </c>
      <c r="G200" s="53">
        <v>2000</v>
      </c>
      <c r="H200" s="62">
        <v>46106</v>
      </c>
      <c r="I200" s="61" t="s">
        <v>1777</v>
      </c>
      <c r="J200" s="61" t="s">
        <v>1778</v>
      </c>
      <c r="K200" s="53">
        <v>352508499</v>
      </c>
      <c r="L200" s="53">
        <v>7870570436</v>
      </c>
      <c r="M200" s="55" t="s">
        <v>1887</v>
      </c>
    </row>
    <row r="201" spans="1:13" x14ac:dyDescent="0.25">
      <c r="A201" s="61" t="s">
        <v>12</v>
      </c>
      <c r="B201" s="61" t="s">
        <v>13</v>
      </c>
      <c r="C201" s="61" t="s">
        <v>14</v>
      </c>
      <c r="D201" s="61" t="s">
        <v>31</v>
      </c>
      <c r="E201" s="61" t="s">
        <v>32</v>
      </c>
      <c r="F201" s="61" t="s">
        <v>33</v>
      </c>
      <c r="G201" s="53">
        <v>2000</v>
      </c>
      <c r="H201" s="62">
        <v>46106</v>
      </c>
      <c r="I201" s="61" t="s">
        <v>571</v>
      </c>
      <c r="J201" s="61" t="s">
        <v>59</v>
      </c>
      <c r="K201" s="53">
        <v>352508498</v>
      </c>
      <c r="L201" s="61">
        <v>9347726061</v>
      </c>
      <c r="M201" s="55" t="s">
        <v>1887</v>
      </c>
    </row>
    <row r="202" spans="1:13" x14ac:dyDescent="0.25">
      <c r="A202" s="61" t="s">
        <v>12</v>
      </c>
      <c r="B202" s="61" t="s">
        <v>13</v>
      </c>
      <c r="C202" s="61" t="s">
        <v>14</v>
      </c>
      <c r="D202" s="61" t="s">
        <v>31</v>
      </c>
      <c r="E202" s="61" t="s">
        <v>32</v>
      </c>
      <c r="F202" s="61" t="s">
        <v>33</v>
      </c>
      <c r="G202" s="53">
        <v>1500</v>
      </c>
      <c r="H202" s="62">
        <v>46106</v>
      </c>
      <c r="I202" s="61" t="s">
        <v>571</v>
      </c>
      <c r="J202" s="61" t="s">
        <v>59</v>
      </c>
      <c r="K202" s="53">
        <v>352508500</v>
      </c>
      <c r="L202" s="61">
        <v>9347726061</v>
      </c>
      <c r="M202" s="55" t="s">
        <v>1887</v>
      </c>
    </row>
    <row r="203" spans="1:13" x14ac:dyDescent="0.25">
      <c r="A203" s="53" t="s">
        <v>12</v>
      </c>
      <c r="B203" s="53" t="s">
        <v>13</v>
      </c>
      <c r="C203" s="53" t="s">
        <v>14</v>
      </c>
      <c r="D203" s="53" t="s">
        <v>144</v>
      </c>
      <c r="E203" s="53">
        <v>44182579159</v>
      </c>
      <c r="F203" s="53" t="s">
        <v>145</v>
      </c>
      <c r="G203" s="53">
        <v>5450</v>
      </c>
      <c r="H203" s="62">
        <v>46106</v>
      </c>
      <c r="I203" s="53" t="s">
        <v>593</v>
      </c>
      <c r="J203" s="53" t="s">
        <v>76</v>
      </c>
      <c r="K203" s="53">
        <v>352508432</v>
      </c>
      <c r="L203" s="53">
        <v>7765824237</v>
      </c>
      <c r="M203" s="55" t="s">
        <v>849</v>
      </c>
    </row>
    <row r="204" spans="1:13" x14ac:dyDescent="0.25">
      <c r="A204" s="53" t="s">
        <v>12</v>
      </c>
      <c r="B204" s="53" t="s">
        <v>13</v>
      </c>
      <c r="C204" s="53" t="s">
        <v>14</v>
      </c>
      <c r="D204" s="53" t="s">
        <v>1610</v>
      </c>
      <c r="E204" s="53">
        <v>33067706253</v>
      </c>
      <c r="F204" s="53" t="s">
        <v>1611</v>
      </c>
      <c r="G204" s="53">
        <v>3950</v>
      </c>
      <c r="H204" s="62">
        <v>46106</v>
      </c>
      <c r="I204" s="53" t="s">
        <v>1513</v>
      </c>
      <c r="J204" s="53" t="s">
        <v>1495</v>
      </c>
      <c r="K204" s="53">
        <v>352508484</v>
      </c>
      <c r="L204" s="53">
        <v>6381535643</v>
      </c>
      <c r="M204" s="55" t="s">
        <v>1888</v>
      </c>
    </row>
    <row r="205" spans="1:13" x14ac:dyDescent="0.25">
      <c r="A205" s="53" t="s">
        <v>12</v>
      </c>
      <c r="B205" s="53" t="s">
        <v>13</v>
      </c>
      <c r="C205" s="53" t="s">
        <v>14</v>
      </c>
      <c r="D205" s="53" t="s">
        <v>343</v>
      </c>
      <c r="E205" s="54">
        <v>37223550583</v>
      </c>
      <c r="F205" s="53" t="s">
        <v>33</v>
      </c>
      <c r="G205" s="53">
        <v>500</v>
      </c>
      <c r="H205" s="62">
        <v>46106</v>
      </c>
      <c r="I205" s="61" t="s">
        <v>895</v>
      </c>
      <c r="J205" s="61" t="s">
        <v>896</v>
      </c>
      <c r="K205" s="53">
        <v>352508502</v>
      </c>
      <c r="L205" s="53">
        <v>9031258705</v>
      </c>
      <c r="M205" s="55" t="s">
        <v>1889</v>
      </c>
    </row>
    <row r="206" spans="1:13" x14ac:dyDescent="0.25">
      <c r="A206" s="53" t="s">
        <v>12</v>
      </c>
      <c r="B206" s="53" t="s">
        <v>13</v>
      </c>
      <c r="C206" s="53" t="s">
        <v>14</v>
      </c>
      <c r="D206" s="53" t="s">
        <v>343</v>
      </c>
      <c r="E206" s="54">
        <v>37223550583</v>
      </c>
      <c r="F206" s="53" t="s">
        <v>33</v>
      </c>
      <c r="G206" s="53">
        <v>6100</v>
      </c>
      <c r="H206" s="62">
        <v>46106</v>
      </c>
      <c r="I206" s="61" t="s">
        <v>895</v>
      </c>
      <c r="J206" s="61" t="s">
        <v>896</v>
      </c>
      <c r="K206" s="53">
        <v>352508502</v>
      </c>
      <c r="L206" s="53">
        <v>9031258705</v>
      </c>
      <c r="M206" s="55" t="s">
        <v>1890</v>
      </c>
    </row>
    <row r="207" spans="1:13" x14ac:dyDescent="0.25">
      <c r="A207" s="53" t="s">
        <v>12</v>
      </c>
      <c r="B207" s="53" t="s">
        <v>13</v>
      </c>
      <c r="C207" s="53" t="s">
        <v>14</v>
      </c>
      <c r="D207" s="53" t="s">
        <v>993</v>
      </c>
      <c r="E207" s="69">
        <v>50100683547664</v>
      </c>
      <c r="F207" s="60" t="s">
        <v>994</v>
      </c>
      <c r="G207" s="53">
        <v>1900</v>
      </c>
      <c r="H207" s="62">
        <v>46106</v>
      </c>
      <c r="I207" s="61" t="s">
        <v>1497</v>
      </c>
      <c r="J207" s="61" t="s">
        <v>1498</v>
      </c>
      <c r="K207" s="53">
        <v>352508513</v>
      </c>
      <c r="L207" s="60">
        <v>8093441726</v>
      </c>
      <c r="M207" s="55" t="s">
        <v>1891</v>
      </c>
    </row>
    <row r="208" spans="1:13" x14ac:dyDescent="0.25">
      <c r="A208" s="53" t="s">
        <v>12</v>
      </c>
      <c r="B208" s="53" t="s">
        <v>13</v>
      </c>
      <c r="C208" s="53" t="s">
        <v>14</v>
      </c>
      <c r="D208" s="53" t="s">
        <v>95</v>
      </c>
      <c r="E208" s="53" t="s">
        <v>96</v>
      </c>
      <c r="F208" s="53" t="s">
        <v>33</v>
      </c>
      <c r="G208" s="53">
        <v>5500</v>
      </c>
      <c r="H208" s="62">
        <v>46106</v>
      </c>
      <c r="I208" s="61" t="s">
        <v>1483</v>
      </c>
      <c r="J208" s="61" t="s">
        <v>1484</v>
      </c>
      <c r="K208" s="53">
        <v>352508516</v>
      </c>
      <c r="L208" s="53">
        <v>8159025834</v>
      </c>
      <c r="M208" s="55" t="s">
        <v>1892</v>
      </c>
    </row>
    <row r="209" spans="1:13" x14ac:dyDescent="0.25">
      <c r="A209" s="53" t="s">
        <v>12</v>
      </c>
      <c r="B209" s="53" t="s">
        <v>13</v>
      </c>
      <c r="C209" s="53" t="s">
        <v>14</v>
      </c>
      <c r="D209" s="53" t="s">
        <v>108</v>
      </c>
      <c r="E209" s="53" t="s">
        <v>109</v>
      </c>
      <c r="F209" s="53" t="s">
        <v>110</v>
      </c>
      <c r="G209" s="53">
        <v>2000</v>
      </c>
      <c r="H209" s="62">
        <v>46106</v>
      </c>
      <c r="I209" s="61" t="s">
        <v>1777</v>
      </c>
      <c r="J209" s="61" t="s">
        <v>1778</v>
      </c>
      <c r="K209" s="53">
        <v>352508517</v>
      </c>
      <c r="L209" s="53">
        <v>7870570436</v>
      </c>
      <c r="M209" s="55" t="s">
        <v>1893</v>
      </c>
    </row>
    <row r="210" spans="1:13" x14ac:dyDescent="0.25">
      <c r="A210" s="53" t="s">
        <v>12</v>
      </c>
      <c r="B210" s="53" t="s">
        <v>13</v>
      </c>
      <c r="C210" s="53" t="s">
        <v>14</v>
      </c>
      <c r="D210" s="53" t="s">
        <v>108</v>
      </c>
      <c r="E210" s="53" t="s">
        <v>109</v>
      </c>
      <c r="F210" s="53" t="s">
        <v>110</v>
      </c>
      <c r="G210" s="53">
        <v>6400</v>
      </c>
      <c r="H210" s="62">
        <v>46107</v>
      </c>
      <c r="I210" s="61" t="s">
        <v>1777</v>
      </c>
      <c r="J210" s="61" t="s">
        <v>1778</v>
      </c>
      <c r="K210" s="53">
        <v>352508544</v>
      </c>
      <c r="L210" s="53">
        <v>7870570436</v>
      </c>
      <c r="M210" s="55" t="s">
        <v>1894</v>
      </c>
    </row>
    <row r="211" spans="1:13" x14ac:dyDescent="0.25">
      <c r="A211" s="53" t="s">
        <v>12</v>
      </c>
      <c r="B211" s="53" t="s">
        <v>13</v>
      </c>
      <c r="C211" s="53" t="s">
        <v>14</v>
      </c>
      <c r="D211" s="53" t="s">
        <v>144</v>
      </c>
      <c r="E211" s="53">
        <v>44182579159</v>
      </c>
      <c r="F211" s="53" t="s">
        <v>145</v>
      </c>
      <c r="G211" s="53">
        <v>650</v>
      </c>
      <c r="H211" s="62">
        <v>46107</v>
      </c>
      <c r="I211" s="53" t="s">
        <v>593</v>
      </c>
      <c r="J211" s="53" t="s">
        <v>76</v>
      </c>
      <c r="K211" s="53">
        <v>352508432</v>
      </c>
      <c r="L211" s="53">
        <v>7765824237</v>
      </c>
      <c r="M211" s="55" t="s">
        <v>1895</v>
      </c>
    </row>
    <row r="212" spans="1:13" x14ac:dyDescent="0.25">
      <c r="A212" s="53" t="s">
        <v>12</v>
      </c>
      <c r="B212" s="53" t="s">
        <v>13</v>
      </c>
      <c r="C212" s="53" t="s">
        <v>14</v>
      </c>
      <c r="D212" s="53" t="s">
        <v>144</v>
      </c>
      <c r="E212" s="53">
        <v>44182579159</v>
      </c>
      <c r="F212" s="53" t="s">
        <v>145</v>
      </c>
      <c r="G212" s="53">
        <v>1500</v>
      </c>
      <c r="H212" s="62">
        <v>46107</v>
      </c>
      <c r="I212" s="53" t="s">
        <v>593</v>
      </c>
      <c r="J212" s="53" t="s">
        <v>76</v>
      </c>
      <c r="K212" s="53">
        <v>352508547</v>
      </c>
      <c r="L212" s="53">
        <v>7765824237</v>
      </c>
      <c r="M212" s="55" t="s">
        <v>1896</v>
      </c>
    </row>
    <row r="213" spans="1:13" x14ac:dyDescent="0.25">
      <c r="A213" s="53" t="s">
        <v>12</v>
      </c>
      <c r="B213" s="53" t="s">
        <v>13</v>
      </c>
      <c r="C213" s="53" t="s">
        <v>14</v>
      </c>
      <c r="D213" s="53" t="s">
        <v>48</v>
      </c>
      <c r="E213" s="53" t="s">
        <v>49</v>
      </c>
      <c r="F213" s="53" t="s">
        <v>50</v>
      </c>
      <c r="G213" s="53">
        <v>1500</v>
      </c>
      <c r="H213" s="62">
        <v>46107</v>
      </c>
      <c r="I213" s="53" t="s">
        <v>1519</v>
      </c>
      <c r="J213" s="53" t="s">
        <v>1520</v>
      </c>
      <c r="K213" s="53">
        <v>352508548</v>
      </c>
      <c r="L213" s="53">
        <v>8520078561</v>
      </c>
      <c r="M213" s="55" t="s">
        <v>1896</v>
      </c>
    </row>
    <row r="214" spans="1:13" x14ac:dyDescent="0.25">
      <c r="A214" s="53" t="s">
        <v>12</v>
      </c>
      <c r="B214" s="53" t="s">
        <v>13</v>
      </c>
      <c r="C214" s="53" t="s">
        <v>14</v>
      </c>
      <c r="D214" s="53" t="s">
        <v>993</v>
      </c>
      <c r="E214" s="69">
        <v>50100683547664</v>
      </c>
      <c r="F214" s="60" t="s">
        <v>994</v>
      </c>
      <c r="G214" s="53">
        <v>7700</v>
      </c>
      <c r="H214" s="62">
        <v>46107</v>
      </c>
      <c r="I214" s="61" t="s">
        <v>1497</v>
      </c>
      <c r="J214" s="61" t="s">
        <v>1498</v>
      </c>
      <c r="K214" s="53">
        <v>352508513</v>
      </c>
      <c r="L214" s="60">
        <v>8093441726</v>
      </c>
      <c r="M214" s="55" t="s">
        <v>1897</v>
      </c>
    </row>
    <row r="215" spans="1:13" x14ac:dyDescent="0.25">
      <c r="A215" s="53" t="s">
        <v>12</v>
      </c>
      <c r="B215" s="53" t="s">
        <v>13</v>
      </c>
      <c r="C215" s="53" t="s">
        <v>14</v>
      </c>
      <c r="D215" s="53" t="s">
        <v>435</v>
      </c>
      <c r="E215" s="53">
        <v>31095925572</v>
      </c>
      <c r="F215" s="60" t="s">
        <v>33</v>
      </c>
      <c r="G215" s="53">
        <v>7700</v>
      </c>
      <c r="H215" s="62">
        <v>46107</v>
      </c>
      <c r="I215" s="61" t="s">
        <v>1485</v>
      </c>
      <c r="J215" s="61" t="s">
        <v>1486</v>
      </c>
      <c r="K215" s="53">
        <v>352508525</v>
      </c>
      <c r="L215" s="60">
        <v>8084080392</v>
      </c>
      <c r="M215" s="55" t="s">
        <v>1897</v>
      </c>
    </row>
    <row r="216" spans="1:13" x14ac:dyDescent="0.25">
      <c r="A216" s="53" t="s">
        <v>12</v>
      </c>
      <c r="B216" s="53" t="s">
        <v>13</v>
      </c>
      <c r="C216" s="53" t="s">
        <v>14</v>
      </c>
      <c r="D216" s="53" t="s">
        <v>144</v>
      </c>
      <c r="E216" s="53">
        <v>44182579159</v>
      </c>
      <c r="F216" s="53" t="s">
        <v>145</v>
      </c>
      <c r="G216" s="53">
        <v>7700</v>
      </c>
      <c r="H216" s="62">
        <v>46107</v>
      </c>
      <c r="I216" s="53" t="s">
        <v>593</v>
      </c>
      <c r="J216" s="53" t="s">
        <v>76</v>
      </c>
      <c r="K216" s="53">
        <v>352508547</v>
      </c>
      <c r="L216" s="53">
        <v>7765824237</v>
      </c>
      <c r="M216" s="55" t="s">
        <v>1897</v>
      </c>
    </row>
    <row r="217" spans="1:13" x14ac:dyDescent="0.25">
      <c r="A217" s="53" t="s">
        <v>12</v>
      </c>
      <c r="B217" s="53" t="s">
        <v>13</v>
      </c>
      <c r="C217" s="53" t="s">
        <v>14</v>
      </c>
      <c r="D217" s="53" t="s">
        <v>1610</v>
      </c>
      <c r="E217" s="53">
        <v>33067706253</v>
      </c>
      <c r="F217" s="53" t="s">
        <v>1611</v>
      </c>
      <c r="G217" s="53">
        <v>7700</v>
      </c>
      <c r="H217" s="62">
        <v>46107</v>
      </c>
      <c r="I217" s="53" t="s">
        <v>1513</v>
      </c>
      <c r="J217" s="53" t="s">
        <v>1495</v>
      </c>
      <c r="K217" s="53">
        <v>352508527</v>
      </c>
      <c r="L217" s="53">
        <v>6381535643</v>
      </c>
      <c r="M217" s="55" t="s">
        <v>1897</v>
      </c>
    </row>
    <row r="218" spans="1:13" x14ac:dyDescent="0.25">
      <c r="A218" s="53" t="s">
        <v>12</v>
      </c>
      <c r="B218" s="53" t="s">
        <v>13</v>
      </c>
      <c r="C218" s="53" t="s">
        <v>14</v>
      </c>
      <c r="D218" s="53" t="s">
        <v>48</v>
      </c>
      <c r="E218" s="53" t="s">
        <v>49</v>
      </c>
      <c r="F218" s="53" t="s">
        <v>50</v>
      </c>
      <c r="G218" s="53">
        <v>5200</v>
      </c>
      <c r="H218" s="62">
        <v>46107</v>
      </c>
      <c r="I218" s="53" t="s">
        <v>1519</v>
      </c>
      <c r="J218" s="53" t="s">
        <v>1520</v>
      </c>
      <c r="K218" s="53">
        <v>352508548</v>
      </c>
      <c r="L218" s="53">
        <v>8520078561</v>
      </c>
      <c r="M218" s="55" t="s">
        <v>851</v>
      </c>
    </row>
    <row r="219" spans="1:13" x14ac:dyDescent="0.25">
      <c r="A219" s="53" t="s">
        <v>12</v>
      </c>
      <c r="B219" s="53" t="s">
        <v>13</v>
      </c>
      <c r="C219" s="53" t="s">
        <v>14</v>
      </c>
      <c r="D219" s="53" t="s">
        <v>1406</v>
      </c>
      <c r="E219" s="69">
        <v>645602010014653</v>
      </c>
      <c r="F219" s="53" t="s">
        <v>1407</v>
      </c>
      <c r="G219" s="53">
        <v>1000</v>
      </c>
      <c r="H219" s="62">
        <v>46107</v>
      </c>
      <c r="I219" s="53" t="s">
        <v>903</v>
      </c>
      <c r="J219" s="53" t="s">
        <v>904</v>
      </c>
      <c r="K219" s="53">
        <v>352508521</v>
      </c>
      <c r="L219" s="53">
        <v>8084480157</v>
      </c>
      <c r="M219" s="55" t="s">
        <v>1899</v>
      </c>
    </row>
    <row r="220" spans="1:13" x14ac:dyDescent="0.25">
      <c r="A220" s="53" t="s">
        <v>12</v>
      </c>
      <c r="B220" s="53" t="s">
        <v>13</v>
      </c>
      <c r="C220" s="53" t="s">
        <v>14</v>
      </c>
      <c r="D220" s="53" t="s">
        <v>36</v>
      </c>
      <c r="E220" s="53" t="s">
        <v>37</v>
      </c>
      <c r="F220" s="53" t="s">
        <v>38</v>
      </c>
      <c r="G220" s="53">
        <v>1000</v>
      </c>
      <c r="H220" s="62">
        <v>46107</v>
      </c>
      <c r="I220" s="53" t="s">
        <v>902</v>
      </c>
      <c r="J220" s="53" t="s">
        <v>901</v>
      </c>
      <c r="K220" s="53">
        <v>352508510</v>
      </c>
      <c r="L220" s="53">
        <v>9358936441</v>
      </c>
      <c r="M220" s="55" t="s">
        <v>1899</v>
      </c>
    </row>
    <row r="221" spans="1:13" x14ac:dyDescent="0.25">
      <c r="A221" s="53" t="s">
        <v>12</v>
      </c>
      <c r="B221" s="53" t="s">
        <v>13</v>
      </c>
      <c r="C221" s="53" t="s">
        <v>14</v>
      </c>
      <c r="D221" s="53" t="s">
        <v>1406</v>
      </c>
      <c r="E221" s="69">
        <v>645602010014653</v>
      </c>
      <c r="F221" s="53" t="s">
        <v>1407</v>
      </c>
      <c r="G221" s="53">
        <f>5450+900</f>
        <v>6350</v>
      </c>
      <c r="H221" s="62">
        <v>46107</v>
      </c>
      <c r="I221" s="53" t="s">
        <v>903</v>
      </c>
      <c r="J221" s="53" t="s">
        <v>904</v>
      </c>
      <c r="K221" s="53">
        <v>352508521</v>
      </c>
      <c r="L221" s="53">
        <v>8084480157</v>
      </c>
      <c r="M221" s="55" t="s">
        <v>1900</v>
      </c>
    </row>
    <row r="222" spans="1:13" x14ac:dyDescent="0.25">
      <c r="A222" s="53" t="s">
        <v>12</v>
      </c>
      <c r="B222" s="53" t="s">
        <v>13</v>
      </c>
      <c r="C222" s="53" t="s">
        <v>14</v>
      </c>
      <c r="D222" s="53" t="s">
        <v>36</v>
      </c>
      <c r="E222" s="53" t="s">
        <v>37</v>
      </c>
      <c r="F222" s="53" t="s">
        <v>38</v>
      </c>
      <c r="G222" s="53">
        <v>5450</v>
      </c>
      <c r="H222" s="62">
        <v>46107</v>
      </c>
      <c r="I222" s="53" t="s">
        <v>902</v>
      </c>
      <c r="J222" s="53" t="s">
        <v>901</v>
      </c>
      <c r="K222" s="53">
        <v>352508510</v>
      </c>
      <c r="L222" s="53">
        <v>9358936441</v>
      </c>
      <c r="M222" s="55" t="s">
        <v>853</v>
      </c>
    </row>
    <row r="223" spans="1:13" x14ac:dyDescent="0.25">
      <c r="A223" s="53" t="s">
        <v>12</v>
      </c>
      <c r="B223" s="53" t="s">
        <v>13</v>
      </c>
      <c r="C223" s="53" t="s">
        <v>14</v>
      </c>
      <c r="D223" s="53" t="s">
        <v>95</v>
      </c>
      <c r="E223" s="53" t="s">
        <v>96</v>
      </c>
      <c r="F223" s="53" t="s">
        <v>33</v>
      </c>
      <c r="G223" s="53">
        <v>5450</v>
      </c>
      <c r="H223" s="62">
        <v>46107</v>
      </c>
      <c r="I223" s="61" t="s">
        <v>1483</v>
      </c>
      <c r="J223" s="61" t="s">
        <v>1484</v>
      </c>
      <c r="K223" s="53">
        <v>352508516</v>
      </c>
      <c r="L223" s="53">
        <v>8159025834</v>
      </c>
      <c r="M223" s="55" t="s">
        <v>853</v>
      </c>
    </row>
    <row r="224" spans="1:13" x14ac:dyDescent="0.25">
      <c r="A224" s="53" t="s">
        <v>12</v>
      </c>
      <c r="B224" s="53" t="s">
        <v>13</v>
      </c>
      <c r="C224" s="53" t="s">
        <v>14</v>
      </c>
      <c r="D224" s="53" t="s">
        <v>993</v>
      </c>
      <c r="E224" s="69">
        <v>50100683547664</v>
      </c>
      <c r="F224" s="60" t="s">
        <v>994</v>
      </c>
      <c r="G224" s="53">
        <v>4950</v>
      </c>
      <c r="H224" s="62">
        <v>46108</v>
      </c>
      <c r="I224" s="61" t="s">
        <v>1497</v>
      </c>
      <c r="J224" s="61" t="s">
        <v>1498</v>
      </c>
      <c r="K224" s="53">
        <v>352508579</v>
      </c>
      <c r="L224" s="60">
        <v>8093441726</v>
      </c>
      <c r="M224" s="55" t="s">
        <v>1901</v>
      </c>
    </row>
    <row r="225" spans="1:13" x14ac:dyDescent="0.25">
      <c r="A225" s="53" t="s">
        <v>12</v>
      </c>
      <c r="B225" s="53" t="s">
        <v>13</v>
      </c>
      <c r="C225" s="53" t="s">
        <v>14</v>
      </c>
      <c r="D225" s="53" t="s">
        <v>435</v>
      </c>
      <c r="E225" s="53">
        <v>31095925572</v>
      </c>
      <c r="F225" s="60" t="s">
        <v>33</v>
      </c>
      <c r="G225" s="53">
        <v>7700</v>
      </c>
      <c r="H225" s="62">
        <v>46108</v>
      </c>
      <c r="I225" s="61" t="s">
        <v>1485</v>
      </c>
      <c r="J225" s="61" t="s">
        <v>1486</v>
      </c>
      <c r="K225" s="53">
        <v>352508578</v>
      </c>
      <c r="L225" s="60">
        <v>8084080392</v>
      </c>
      <c r="M225" s="55" t="s">
        <v>1902</v>
      </c>
    </row>
    <row r="226" spans="1:13" x14ac:dyDescent="0.25">
      <c r="A226" s="53" t="s">
        <v>12</v>
      </c>
      <c r="B226" s="53" t="s">
        <v>13</v>
      </c>
      <c r="C226" s="53" t="s">
        <v>14</v>
      </c>
      <c r="D226" s="53" t="s">
        <v>1406</v>
      </c>
      <c r="E226" s="69">
        <v>645602010014653</v>
      </c>
      <c r="F226" s="53" t="s">
        <v>1407</v>
      </c>
      <c r="G226" s="53">
        <v>7700</v>
      </c>
      <c r="H226" s="62">
        <v>46108</v>
      </c>
      <c r="I226" s="53" t="s">
        <v>903</v>
      </c>
      <c r="J226" s="53" t="s">
        <v>904</v>
      </c>
      <c r="K226" s="53">
        <v>352508580</v>
      </c>
      <c r="L226" s="53">
        <v>8084480157</v>
      </c>
      <c r="M226" s="55" t="s">
        <v>1902</v>
      </c>
    </row>
    <row r="227" spans="1:13" x14ac:dyDescent="0.25">
      <c r="A227" s="53" t="s">
        <v>12</v>
      </c>
      <c r="B227" s="53" t="s">
        <v>13</v>
      </c>
      <c r="C227" s="53" t="s">
        <v>14</v>
      </c>
      <c r="D227" s="53" t="s">
        <v>36</v>
      </c>
      <c r="E227" s="53" t="s">
        <v>37</v>
      </c>
      <c r="F227" s="53" t="s">
        <v>38</v>
      </c>
      <c r="G227" s="53">
        <v>5200</v>
      </c>
      <c r="H227" s="62">
        <v>46108</v>
      </c>
      <c r="I227" s="53" t="s">
        <v>902</v>
      </c>
      <c r="J227" s="53" t="s">
        <v>901</v>
      </c>
      <c r="K227" s="53">
        <v>352508582</v>
      </c>
      <c r="L227" s="53">
        <v>9358936441</v>
      </c>
      <c r="M227" s="55" t="s">
        <v>1903</v>
      </c>
    </row>
    <row r="228" spans="1:13" x14ac:dyDescent="0.25">
      <c r="A228" s="53" t="s">
        <v>12</v>
      </c>
      <c r="B228" s="53" t="s">
        <v>13</v>
      </c>
      <c r="C228" s="53" t="s">
        <v>14</v>
      </c>
      <c r="D228" s="53" t="s">
        <v>48</v>
      </c>
      <c r="E228" s="53" t="s">
        <v>49</v>
      </c>
      <c r="F228" s="53" t="s">
        <v>50</v>
      </c>
      <c r="G228" s="53">
        <v>3950</v>
      </c>
      <c r="H228" s="62">
        <v>46108</v>
      </c>
      <c r="I228" s="53" t="s">
        <v>1519</v>
      </c>
      <c r="J228" s="53" t="s">
        <v>1520</v>
      </c>
      <c r="K228" s="53">
        <v>352508575</v>
      </c>
      <c r="L228" s="53">
        <v>8520078561</v>
      </c>
      <c r="M228" s="55" t="s">
        <v>1904</v>
      </c>
    </row>
    <row r="229" spans="1:13" x14ac:dyDescent="0.25">
      <c r="A229" s="53" t="s">
        <v>12</v>
      </c>
      <c r="B229" s="53" t="s">
        <v>13</v>
      </c>
      <c r="C229" s="53" t="s">
        <v>14</v>
      </c>
      <c r="D229" s="53" t="s">
        <v>144</v>
      </c>
      <c r="E229" s="53">
        <v>44182579159</v>
      </c>
      <c r="F229" s="53" t="s">
        <v>145</v>
      </c>
      <c r="G229" s="53">
        <v>5450</v>
      </c>
      <c r="H229" s="62">
        <v>46108</v>
      </c>
      <c r="I229" s="53" t="s">
        <v>593</v>
      </c>
      <c r="J229" s="53" t="s">
        <v>76</v>
      </c>
      <c r="K229" s="53">
        <v>352508559</v>
      </c>
      <c r="L229" s="53">
        <v>7765824237</v>
      </c>
      <c r="M229" s="55" t="s">
        <v>1905</v>
      </c>
    </row>
    <row r="230" spans="1:13" x14ac:dyDescent="0.25">
      <c r="A230" s="53" t="s">
        <v>12</v>
      </c>
      <c r="B230" s="53" t="s">
        <v>13</v>
      </c>
      <c r="C230" s="53" t="s">
        <v>14</v>
      </c>
      <c r="D230" s="53" t="s">
        <v>95</v>
      </c>
      <c r="E230" s="53" t="s">
        <v>96</v>
      </c>
      <c r="F230" s="53" t="s">
        <v>33</v>
      </c>
      <c r="G230" s="53">
        <v>1400</v>
      </c>
      <c r="H230" s="62">
        <v>46108</v>
      </c>
      <c r="I230" s="61" t="s">
        <v>1483</v>
      </c>
      <c r="J230" s="61" t="s">
        <v>1484</v>
      </c>
      <c r="K230" s="53">
        <v>352508581</v>
      </c>
      <c r="L230" s="53">
        <v>8159025834</v>
      </c>
      <c r="M230" s="55" t="s">
        <v>1906</v>
      </c>
    </row>
    <row r="231" spans="1:13" x14ac:dyDescent="0.25">
      <c r="A231" s="61" t="s">
        <v>12</v>
      </c>
      <c r="B231" s="61" t="s">
        <v>13</v>
      </c>
      <c r="C231" s="61" t="s">
        <v>14</v>
      </c>
      <c r="D231" s="61" t="s">
        <v>31</v>
      </c>
      <c r="E231" s="61" t="s">
        <v>32</v>
      </c>
      <c r="F231" s="61" t="s">
        <v>33</v>
      </c>
      <c r="G231" s="53">
        <v>6400</v>
      </c>
      <c r="H231" s="62">
        <v>46108</v>
      </c>
      <c r="I231" s="61" t="s">
        <v>571</v>
      </c>
      <c r="J231" s="61" t="s">
        <v>59</v>
      </c>
      <c r="K231" s="53">
        <v>352508553</v>
      </c>
      <c r="L231" s="61">
        <v>9347726061</v>
      </c>
      <c r="M231" s="55" t="s">
        <v>1898</v>
      </c>
    </row>
    <row r="232" spans="1:13" x14ac:dyDescent="0.25">
      <c r="A232" s="53" t="s">
        <v>12</v>
      </c>
      <c r="B232" s="53" t="s">
        <v>13</v>
      </c>
      <c r="C232" s="53" t="s">
        <v>14</v>
      </c>
      <c r="D232" s="53" t="s">
        <v>1610</v>
      </c>
      <c r="E232" s="53">
        <v>33067706253</v>
      </c>
      <c r="F232" s="53" t="s">
        <v>1611</v>
      </c>
      <c r="G232" s="53">
        <v>5450</v>
      </c>
      <c r="H232" s="62">
        <v>46108</v>
      </c>
      <c r="I232" s="53" t="s">
        <v>1513</v>
      </c>
      <c r="J232" s="53" t="s">
        <v>1495</v>
      </c>
      <c r="K232" s="53">
        <v>352508577</v>
      </c>
      <c r="L232" s="53">
        <v>6381535643</v>
      </c>
      <c r="M232" s="55" t="s">
        <v>1905</v>
      </c>
    </row>
    <row r="233" spans="1:13" x14ac:dyDescent="0.25">
      <c r="A233" s="61" t="s">
        <v>12</v>
      </c>
      <c r="B233" s="61" t="s">
        <v>13</v>
      </c>
      <c r="C233" s="61" t="s">
        <v>14</v>
      </c>
      <c r="D233" s="61" t="s">
        <v>31</v>
      </c>
      <c r="E233" s="61" t="s">
        <v>32</v>
      </c>
      <c r="F233" s="61" t="s">
        <v>33</v>
      </c>
      <c r="G233" s="53">
        <v>2000</v>
      </c>
      <c r="H233" s="62">
        <v>46109</v>
      </c>
      <c r="I233" s="61" t="s">
        <v>571</v>
      </c>
      <c r="J233" s="61" t="s">
        <v>59</v>
      </c>
      <c r="K233" s="53">
        <v>352508612</v>
      </c>
      <c r="L233" s="61">
        <v>9347726061</v>
      </c>
      <c r="M233" s="55" t="s">
        <v>1893</v>
      </c>
    </row>
    <row r="234" spans="1:13" x14ac:dyDescent="0.25">
      <c r="A234" s="61" t="s">
        <v>12</v>
      </c>
      <c r="B234" s="61" t="s">
        <v>13</v>
      </c>
      <c r="C234" s="61" t="s">
        <v>14</v>
      </c>
      <c r="D234" s="61" t="s">
        <v>31</v>
      </c>
      <c r="E234" s="61" t="s">
        <v>32</v>
      </c>
      <c r="F234" s="61" t="s">
        <v>33</v>
      </c>
      <c r="G234" s="53">
        <v>2000</v>
      </c>
      <c r="H234" s="62">
        <v>46109</v>
      </c>
      <c r="I234" s="61" t="s">
        <v>571</v>
      </c>
      <c r="J234" s="61" t="s">
        <v>59</v>
      </c>
      <c r="K234" s="53">
        <v>352508615</v>
      </c>
      <c r="L234" s="61">
        <v>9347726061</v>
      </c>
      <c r="M234" s="55" t="s">
        <v>1908</v>
      </c>
    </row>
    <row r="235" spans="1:13" x14ac:dyDescent="0.25">
      <c r="A235" s="61" t="s">
        <v>12</v>
      </c>
      <c r="B235" s="61" t="s">
        <v>13</v>
      </c>
      <c r="C235" s="61" t="s">
        <v>14</v>
      </c>
      <c r="D235" s="61" t="s">
        <v>31</v>
      </c>
      <c r="E235" s="61" t="s">
        <v>32</v>
      </c>
      <c r="F235" s="61" t="s">
        <v>33</v>
      </c>
      <c r="G235" s="53">
        <v>1500</v>
      </c>
      <c r="H235" s="62">
        <v>46109</v>
      </c>
      <c r="I235" s="61" t="s">
        <v>571</v>
      </c>
      <c r="J235" s="61" t="s">
        <v>59</v>
      </c>
      <c r="K235" s="53">
        <v>352508618</v>
      </c>
      <c r="L235" s="61">
        <v>9347726061</v>
      </c>
      <c r="M235" s="55" t="s">
        <v>1908</v>
      </c>
    </row>
    <row r="236" spans="1:13" x14ac:dyDescent="0.25">
      <c r="A236" s="53" t="s">
        <v>12</v>
      </c>
      <c r="B236" s="53" t="s">
        <v>13</v>
      </c>
      <c r="C236" s="53" t="s">
        <v>14</v>
      </c>
      <c r="D236" s="53" t="s">
        <v>108</v>
      </c>
      <c r="E236" s="53" t="s">
        <v>109</v>
      </c>
      <c r="F236" s="53" t="s">
        <v>110</v>
      </c>
      <c r="G236" s="53">
        <v>2000</v>
      </c>
      <c r="H236" s="62">
        <v>46109</v>
      </c>
      <c r="I236" s="61" t="s">
        <v>1777</v>
      </c>
      <c r="J236" s="61" t="s">
        <v>1778</v>
      </c>
      <c r="K236" s="53">
        <v>352508608</v>
      </c>
      <c r="L236" s="53">
        <v>7870570436</v>
      </c>
      <c r="M236" s="55" t="s">
        <v>1907</v>
      </c>
    </row>
    <row r="237" spans="1:13" x14ac:dyDescent="0.25">
      <c r="A237" s="53" t="s">
        <v>12</v>
      </c>
      <c r="B237" s="53" t="s">
        <v>13</v>
      </c>
      <c r="C237" s="53" t="s">
        <v>14</v>
      </c>
      <c r="D237" s="53" t="s">
        <v>108</v>
      </c>
      <c r="E237" s="53" t="s">
        <v>109</v>
      </c>
      <c r="F237" s="53" t="s">
        <v>110</v>
      </c>
      <c r="G237" s="53">
        <v>2000</v>
      </c>
      <c r="H237" s="62">
        <v>46109</v>
      </c>
      <c r="I237" s="61" t="s">
        <v>1777</v>
      </c>
      <c r="J237" s="61" t="s">
        <v>1778</v>
      </c>
      <c r="K237" s="53">
        <v>352508609</v>
      </c>
      <c r="L237" s="53">
        <v>7870570436</v>
      </c>
      <c r="M237" s="55" t="s">
        <v>1908</v>
      </c>
    </row>
    <row r="238" spans="1:13" x14ac:dyDescent="0.25">
      <c r="A238" s="53" t="s">
        <v>12</v>
      </c>
      <c r="B238" s="53" t="s">
        <v>13</v>
      </c>
      <c r="C238" s="53" t="s">
        <v>14</v>
      </c>
      <c r="D238" s="53" t="s">
        <v>108</v>
      </c>
      <c r="E238" s="53" t="s">
        <v>109</v>
      </c>
      <c r="F238" s="53" t="s">
        <v>110</v>
      </c>
      <c r="G238" s="53">
        <v>1500</v>
      </c>
      <c r="H238" s="62">
        <v>46109</v>
      </c>
      <c r="I238" s="61" t="s">
        <v>1777</v>
      </c>
      <c r="J238" s="61" t="s">
        <v>1778</v>
      </c>
      <c r="K238" s="53">
        <v>352508611</v>
      </c>
      <c r="L238" s="53">
        <v>7870570436</v>
      </c>
      <c r="M238" s="55" t="s">
        <v>1908</v>
      </c>
    </row>
    <row r="239" spans="1:13" x14ac:dyDescent="0.25">
      <c r="A239" s="53" t="s">
        <v>12</v>
      </c>
      <c r="B239" s="53" t="s">
        <v>13</v>
      </c>
      <c r="C239" s="53" t="s">
        <v>14</v>
      </c>
      <c r="D239" s="53" t="s">
        <v>95</v>
      </c>
      <c r="E239" s="53" t="s">
        <v>96</v>
      </c>
      <c r="F239" s="53" t="s">
        <v>33</v>
      </c>
      <c r="G239" s="53">
        <v>5000</v>
      </c>
      <c r="H239" s="62">
        <v>46109</v>
      </c>
      <c r="I239" s="61" t="s">
        <v>1483</v>
      </c>
      <c r="J239" s="61" t="s">
        <v>1484</v>
      </c>
      <c r="K239" s="53">
        <v>352508628</v>
      </c>
      <c r="L239" s="53">
        <v>8159025834</v>
      </c>
      <c r="M239" s="55" t="s">
        <v>1909</v>
      </c>
    </row>
    <row r="240" spans="1:13" x14ac:dyDescent="0.25">
      <c r="A240" s="53" t="s">
        <v>12</v>
      </c>
      <c r="B240" s="53" t="s">
        <v>13</v>
      </c>
      <c r="C240" s="53" t="s">
        <v>14</v>
      </c>
      <c r="D240" s="53" t="s">
        <v>435</v>
      </c>
      <c r="E240" s="53">
        <v>31095925572</v>
      </c>
      <c r="F240" s="60" t="s">
        <v>33</v>
      </c>
      <c r="G240" s="53">
        <v>7700</v>
      </c>
      <c r="H240" s="62">
        <v>46109</v>
      </c>
      <c r="I240" s="61" t="s">
        <v>1485</v>
      </c>
      <c r="J240" s="61" t="s">
        <v>1486</v>
      </c>
      <c r="K240" s="53">
        <v>352508626</v>
      </c>
      <c r="L240" s="60">
        <v>8084080392</v>
      </c>
      <c r="M240" s="55" t="s">
        <v>1910</v>
      </c>
    </row>
    <row r="241" spans="1:13" x14ac:dyDescent="0.25">
      <c r="A241" s="53" t="s">
        <v>12</v>
      </c>
      <c r="B241" s="53" t="s">
        <v>13</v>
      </c>
      <c r="C241" s="53" t="s">
        <v>14</v>
      </c>
      <c r="D241" s="53" t="s">
        <v>48</v>
      </c>
      <c r="E241" s="53" t="s">
        <v>49</v>
      </c>
      <c r="F241" s="53" t="s">
        <v>50</v>
      </c>
      <c r="G241" s="53">
        <v>5450</v>
      </c>
      <c r="H241" s="62">
        <v>46109</v>
      </c>
      <c r="I241" s="53" t="s">
        <v>1519</v>
      </c>
      <c r="J241" s="53" t="s">
        <v>1520</v>
      </c>
      <c r="K241" s="53">
        <v>352508575</v>
      </c>
      <c r="L241" s="53">
        <v>8520078561</v>
      </c>
      <c r="M241" s="55" t="s">
        <v>1911</v>
      </c>
    </row>
    <row r="242" spans="1:13" x14ac:dyDescent="0.25">
      <c r="A242" s="53" t="s">
        <v>12</v>
      </c>
      <c r="B242" s="53" t="s">
        <v>13</v>
      </c>
      <c r="C242" s="53" t="s">
        <v>14</v>
      </c>
      <c r="D242" s="53" t="s">
        <v>144</v>
      </c>
      <c r="E242" s="53">
        <v>44182579159</v>
      </c>
      <c r="F242" s="53" t="s">
        <v>145</v>
      </c>
      <c r="G242" s="53">
        <v>5450</v>
      </c>
      <c r="H242" s="62">
        <v>46109</v>
      </c>
      <c r="I242" s="53" t="s">
        <v>593</v>
      </c>
      <c r="J242" s="53" t="s">
        <v>76</v>
      </c>
      <c r="K242" s="53">
        <v>352508559</v>
      </c>
      <c r="L242" s="53">
        <v>7765824237</v>
      </c>
      <c r="M242" s="55" t="s">
        <v>1911</v>
      </c>
    </row>
    <row r="243" spans="1:13" x14ac:dyDescent="0.25">
      <c r="A243" s="53" t="s">
        <v>12</v>
      </c>
      <c r="B243" s="53" t="s">
        <v>13</v>
      </c>
      <c r="C243" s="53" t="s">
        <v>14</v>
      </c>
      <c r="D243" s="53" t="s">
        <v>993</v>
      </c>
      <c r="E243" s="69">
        <v>50100683547664</v>
      </c>
      <c r="F243" s="60" t="s">
        <v>994</v>
      </c>
      <c r="G243" s="53">
        <v>3950</v>
      </c>
      <c r="H243" s="62">
        <v>46109</v>
      </c>
      <c r="I243" s="61" t="s">
        <v>1497</v>
      </c>
      <c r="J243" s="61" t="s">
        <v>1498</v>
      </c>
      <c r="K243" s="53">
        <v>352508623</v>
      </c>
      <c r="L243" s="60">
        <v>8093441726</v>
      </c>
      <c r="M243" s="55" t="s">
        <v>1912</v>
      </c>
    </row>
    <row r="244" spans="1:13" x14ac:dyDescent="0.25">
      <c r="A244" s="53" t="s">
        <v>12</v>
      </c>
      <c r="B244" s="53" t="s">
        <v>13</v>
      </c>
      <c r="C244" s="53" t="s">
        <v>14</v>
      </c>
      <c r="D244" s="53" t="s">
        <v>1610</v>
      </c>
      <c r="E244" s="53">
        <v>33067706253</v>
      </c>
      <c r="F244" s="53" t="s">
        <v>1611</v>
      </c>
      <c r="G244" s="53">
        <v>5450</v>
      </c>
      <c r="H244" s="62">
        <v>46109</v>
      </c>
      <c r="I244" s="53" t="s">
        <v>1513</v>
      </c>
      <c r="J244" s="53" t="s">
        <v>1495</v>
      </c>
      <c r="K244" s="53">
        <v>352508577</v>
      </c>
      <c r="L244" s="53">
        <v>6381535643</v>
      </c>
      <c r="M244" s="55" t="s">
        <v>1911</v>
      </c>
    </row>
    <row r="245" spans="1:13" x14ac:dyDescent="0.25">
      <c r="A245" s="53" t="s">
        <v>12</v>
      </c>
      <c r="B245" s="53" t="s">
        <v>13</v>
      </c>
      <c r="C245" s="53" t="s">
        <v>14</v>
      </c>
      <c r="D245" s="53" t="s">
        <v>343</v>
      </c>
      <c r="E245" s="54">
        <v>37223550583</v>
      </c>
      <c r="F245" s="53" t="s">
        <v>33</v>
      </c>
      <c r="G245" s="53">
        <v>5450</v>
      </c>
      <c r="H245" s="62">
        <v>46109</v>
      </c>
      <c r="I245" s="61" t="s">
        <v>895</v>
      </c>
      <c r="J245" s="61" t="s">
        <v>896</v>
      </c>
      <c r="K245" s="53">
        <v>352508502</v>
      </c>
      <c r="L245" s="53">
        <v>9031258705</v>
      </c>
      <c r="M245" s="55" t="s">
        <v>1911</v>
      </c>
    </row>
    <row r="246" spans="1:13" x14ac:dyDescent="0.25">
      <c r="A246" s="53" t="s">
        <v>12</v>
      </c>
      <c r="B246" s="53" t="s">
        <v>13</v>
      </c>
      <c r="C246" s="53" t="s">
        <v>14</v>
      </c>
      <c r="D246" s="53" t="s">
        <v>1406</v>
      </c>
      <c r="E246" s="69">
        <v>645602010014653</v>
      </c>
      <c r="F246" s="53" t="s">
        <v>1407</v>
      </c>
      <c r="G246" s="53">
        <v>5200</v>
      </c>
      <c r="H246" s="62">
        <v>46109</v>
      </c>
      <c r="I246" s="53" t="s">
        <v>903</v>
      </c>
      <c r="J246" s="53" t="s">
        <v>904</v>
      </c>
      <c r="K246" s="53">
        <v>352508627</v>
      </c>
      <c r="L246" s="53">
        <v>8084480157</v>
      </c>
      <c r="M246" s="55" t="s">
        <v>1913</v>
      </c>
    </row>
    <row r="247" spans="1:13" x14ac:dyDescent="0.25">
      <c r="A247" s="53" t="s">
        <v>12</v>
      </c>
      <c r="B247" s="53" t="s">
        <v>13</v>
      </c>
      <c r="C247" s="53" t="s">
        <v>14</v>
      </c>
      <c r="D247" s="53" t="s">
        <v>343</v>
      </c>
      <c r="E247" s="54">
        <v>37223550583</v>
      </c>
      <c r="F247" s="53" t="s">
        <v>33</v>
      </c>
      <c r="G247" s="53">
        <v>1000</v>
      </c>
      <c r="H247" s="62">
        <v>46111</v>
      </c>
      <c r="I247" s="61" t="s">
        <v>895</v>
      </c>
      <c r="J247" s="61" t="s">
        <v>896</v>
      </c>
      <c r="K247" s="53">
        <v>352508635</v>
      </c>
      <c r="L247" s="53">
        <v>9031258705</v>
      </c>
      <c r="M247" s="55" t="s">
        <v>1914</v>
      </c>
    </row>
    <row r="248" spans="1:13" x14ac:dyDescent="0.25">
      <c r="A248" s="61" t="s">
        <v>12</v>
      </c>
      <c r="B248" s="61" t="s">
        <v>13</v>
      </c>
      <c r="C248" s="61" t="s">
        <v>14</v>
      </c>
      <c r="D248" s="61" t="s">
        <v>31</v>
      </c>
      <c r="E248" s="61" t="s">
        <v>32</v>
      </c>
      <c r="F248" s="61" t="s">
        <v>33</v>
      </c>
      <c r="G248" s="53">
        <v>2000</v>
      </c>
      <c r="H248" s="62">
        <v>46111</v>
      </c>
      <c r="I248" s="61" t="s">
        <v>571</v>
      </c>
      <c r="J248" s="61" t="s">
        <v>59</v>
      </c>
      <c r="K248" s="53">
        <v>352508691</v>
      </c>
      <c r="L248" s="61">
        <v>9347726061</v>
      </c>
      <c r="M248" s="55" t="s">
        <v>1915</v>
      </c>
    </row>
    <row r="249" spans="1:13" x14ac:dyDescent="0.25">
      <c r="A249" s="61" t="s">
        <v>12</v>
      </c>
      <c r="B249" s="61" t="s">
        <v>13</v>
      </c>
      <c r="C249" s="61" t="s">
        <v>14</v>
      </c>
      <c r="D249" s="61" t="s">
        <v>31</v>
      </c>
      <c r="E249" s="61" t="s">
        <v>32</v>
      </c>
      <c r="F249" s="61" t="s">
        <v>33</v>
      </c>
      <c r="G249" s="53">
        <v>1500</v>
      </c>
      <c r="H249" s="62">
        <v>46111</v>
      </c>
      <c r="I249" s="61" t="s">
        <v>571</v>
      </c>
      <c r="J249" s="61" t="s">
        <v>59</v>
      </c>
      <c r="K249" s="53">
        <v>352508692</v>
      </c>
      <c r="L249" s="61">
        <v>9347726061</v>
      </c>
      <c r="M249" s="55" t="s">
        <v>1915</v>
      </c>
    </row>
    <row r="250" spans="1:13" x14ac:dyDescent="0.25">
      <c r="A250" s="61" t="s">
        <v>12</v>
      </c>
      <c r="B250" s="61" t="s">
        <v>13</v>
      </c>
      <c r="C250" s="61" t="s">
        <v>14</v>
      </c>
      <c r="D250" s="61" t="s">
        <v>31</v>
      </c>
      <c r="E250" s="61" t="s">
        <v>32</v>
      </c>
      <c r="F250" s="61" t="s">
        <v>33</v>
      </c>
      <c r="G250" s="53">
        <v>2000</v>
      </c>
      <c r="H250" s="62">
        <v>46111</v>
      </c>
      <c r="I250" s="61" t="s">
        <v>571</v>
      </c>
      <c r="J250" s="61" t="s">
        <v>59</v>
      </c>
      <c r="K250" s="53">
        <v>352508693</v>
      </c>
      <c r="L250" s="61">
        <v>9347726061</v>
      </c>
      <c r="M250" s="55" t="s">
        <v>1916</v>
      </c>
    </row>
    <row r="251" spans="1:13" x14ac:dyDescent="0.25">
      <c r="A251" s="53" t="s">
        <v>12</v>
      </c>
      <c r="B251" s="53" t="s">
        <v>13</v>
      </c>
      <c r="C251" s="53" t="s">
        <v>14</v>
      </c>
      <c r="D251" s="53" t="s">
        <v>108</v>
      </c>
      <c r="E251" s="53" t="s">
        <v>109</v>
      </c>
      <c r="F251" s="53" t="s">
        <v>110</v>
      </c>
      <c r="G251" s="53">
        <v>2000</v>
      </c>
      <c r="H251" s="62">
        <v>46111</v>
      </c>
      <c r="I251" s="61" t="s">
        <v>1777</v>
      </c>
      <c r="J251" s="61" t="s">
        <v>1778</v>
      </c>
      <c r="K251" s="53">
        <v>352508689</v>
      </c>
      <c r="L251" s="53">
        <v>7870570436</v>
      </c>
      <c r="M251" s="55" t="s">
        <v>1915</v>
      </c>
    </row>
    <row r="252" spans="1:13" x14ac:dyDescent="0.25">
      <c r="A252" s="53" t="s">
        <v>12</v>
      </c>
      <c r="B252" s="53" t="s">
        <v>13</v>
      </c>
      <c r="C252" s="53" t="s">
        <v>14</v>
      </c>
      <c r="D252" s="53" t="s">
        <v>108</v>
      </c>
      <c r="E252" s="53" t="s">
        <v>109</v>
      </c>
      <c r="F252" s="53" t="s">
        <v>110</v>
      </c>
      <c r="G252" s="53">
        <v>1500</v>
      </c>
      <c r="H252" s="62">
        <v>46111</v>
      </c>
      <c r="I252" s="61" t="s">
        <v>1777</v>
      </c>
      <c r="J252" s="61" t="s">
        <v>1778</v>
      </c>
      <c r="K252" s="53">
        <v>352508690</v>
      </c>
      <c r="L252" s="53">
        <v>7870570436</v>
      </c>
      <c r="M252" s="55" t="s">
        <v>1915</v>
      </c>
    </row>
    <row r="253" spans="1:13" x14ac:dyDescent="0.25">
      <c r="A253" s="53" t="s">
        <v>12</v>
      </c>
      <c r="B253" s="53" t="s">
        <v>13</v>
      </c>
      <c r="C253" s="53" t="s">
        <v>14</v>
      </c>
      <c r="D253" s="53" t="s">
        <v>108</v>
      </c>
      <c r="E253" s="53" t="s">
        <v>109</v>
      </c>
      <c r="F253" s="53" t="s">
        <v>110</v>
      </c>
      <c r="G253" s="53">
        <v>2000</v>
      </c>
      <c r="H253" s="62">
        <v>46111</v>
      </c>
      <c r="I253" s="61" t="s">
        <v>1777</v>
      </c>
      <c r="J253" s="61" t="s">
        <v>1778</v>
      </c>
      <c r="K253" s="53">
        <v>352508694</v>
      </c>
      <c r="L253" s="53">
        <v>7870570436</v>
      </c>
      <c r="M253" s="55" t="s">
        <v>1916</v>
      </c>
    </row>
    <row r="254" spans="1:13" x14ac:dyDescent="0.25">
      <c r="A254" s="53" t="s">
        <v>12</v>
      </c>
      <c r="B254" s="53" t="s">
        <v>13</v>
      </c>
      <c r="C254" s="53" t="s">
        <v>14</v>
      </c>
      <c r="D254" s="53" t="s">
        <v>343</v>
      </c>
      <c r="E254" s="54">
        <v>37223550583</v>
      </c>
      <c r="F254" s="53" t="s">
        <v>33</v>
      </c>
      <c r="G254" s="53">
        <v>7700</v>
      </c>
      <c r="H254" s="62">
        <v>46111</v>
      </c>
      <c r="I254" s="61" t="s">
        <v>895</v>
      </c>
      <c r="J254" s="61" t="s">
        <v>896</v>
      </c>
      <c r="K254" s="53">
        <v>352508687</v>
      </c>
      <c r="L254" s="53">
        <v>9031258705</v>
      </c>
      <c r="M254" s="55" t="s">
        <v>1917</v>
      </c>
    </row>
    <row r="255" spans="1:13" x14ac:dyDescent="0.25">
      <c r="A255" s="53" t="s">
        <v>12</v>
      </c>
      <c r="B255" s="53" t="s">
        <v>13</v>
      </c>
      <c r="C255" s="53" t="s">
        <v>14</v>
      </c>
      <c r="D255" s="53" t="s">
        <v>36</v>
      </c>
      <c r="E255" s="53" t="s">
        <v>37</v>
      </c>
      <c r="F255" s="53" t="s">
        <v>38</v>
      </c>
      <c r="G255" s="53">
        <v>6000</v>
      </c>
      <c r="H255" s="62">
        <v>46111</v>
      </c>
      <c r="I255" s="53" t="s">
        <v>902</v>
      </c>
      <c r="J255" s="53" t="s">
        <v>901</v>
      </c>
      <c r="K255" s="53">
        <v>352508625</v>
      </c>
      <c r="L255" s="53">
        <v>9358936441</v>
      </c>
      <c r="M255" s="55" t="s">
        <v>1935</v>
      </c>
    </row>
    <row r="256" spans="1:13" x14ac:dyDescent="0.25">
      <c r="A256" s="53" t="s">
        <v>12</v>
      </c>
      <c r="B256" s="53" t="s">
        <v>13</v>
      </c>
      <c r="C256" s="53" t="s">
        <v>14</v>
      </c>
      <c r="D256" s="53" t="s">
        <v>48</v>
      </c>
      <c r="E256" s="53" t="s">
        <v>49</v>
      </c>
      <c r="F256" s="53" t="s">
        <v>50</v>
      </c>
      <c r="G256" s="53">
        <v>5000</v>
      </c>
      <c r="H256" s="62">
        <v>46111</v>
      </c>
      <c r="I256" s="53" t="s">
        <v>1519</v>
      </c>
      <c r="J256" s="53" t="s">
        <v>1520</v>
      </c>
      <c r="K256" s="53">
        <v>352508685</v>
      </c>
      <c r="L256" s="53">
        <v>8520078561</v>
      </c>
      <c r="M256" s="55" t="s">
        <v>1934</v>
      </c>
    </row>
    <row r="257" spans="1:13" x14ac:dyDescent="0.25">
      <c r="A257" s="53" t="s">
        <v>12</v>
      </c>
      <c r="B257" s="53" t="s">
        <v>13</v>
      </c>
      <c r="C257" s="53" t="s">
        <v>14</v>
      </c>
      <c r="D257" s="53" t="s">
        <v>1406</v>
      </c>
      <c r="E257" s="69">
        <v>645602010014653</v>
      </c>
      <c r="F257" s="53" t="s">
        <v>1407</v>
      </c>
      <c r="G257" s="53">
        <v>3950</v>
      </c>
      <c r="H257" s="62">
        <v>46111</v>
      </c>
      <c r="I257" s="53" t="s">
        <v>903</v>
      </c>
      <c r="J257" s="53" t="s">
        <v>904</v>
      </c>
      <c r="K257" s="53">
        <v>352508681</v>
      </c>
      <c r="L257" s="53">
        <v>8084480157</v>
      </c>
      <c r="M257" s="55" t="s">
        <v>1918</v>
      </c>
    </row>
    <row r="258" spans="1:13" x14ac:dyDescent="0.25">
      <c r="A258" s="53" t="s">
        <v>12</v>
      </c>
      <c r="B258" s="53" t="s">
        <v>13</v>
      </c>
      <c r="C258" s="53" t="s">
        <v>14</v>
      </c>
      <c r="D258" s="53" t="s">
        <v>144</v>
      </c>
      <c r="E258" s="53">
        <v>44182579159</v>
      </c>
      <c r="F258" s="53" t="s">
        <v>145</v>
      </c>
      <c r="G258" s="53">
        <v>5450</v>
      </c>
      <c r="H258" s="62">
        <v>46111</v>
      </c>
      <c r="I258" s="53" t="s">
        <v>593</v>
      </c>
      <c r="J258" s="53" t="s">
        <v>76</v>
      </c>
      <c r="K258" s="53">
        <v>352508684</v>
      </c>
      <c r="L258" s="53">
        <v>7765824237</v>
      </c>
      <c r="M258" s="55" t="s">
        <v>1919</v>
      </c>
    </row>
    <row r="259" spans="1:13" x14ac:dyDescent="0.25">
      <c r="A259" s="53" t="s">
        <v>12</v>
      </c>
      <c r="B259" s="53" t="s">
        <v>13</v>
      </c>
      <c r="C259" s="53" t="s">
        <v>14</v>
      </c>
      <c r="D259" s="53" t="s">
        <v>993</v>
      </c>
      <c r="E259" s="69">
        <v>50100683547664</v>
      </c>
      <c r="F259" s="60" t="s">
        <v>994</v>
      </c>
      <c r="G259" s="53">
        <v>5450</v>
      </c>
      <c r="H259" s="62">
        <v>46111</v>
      </c>
      <c r="I259" s="61" t="s">
        <v>1497</v>
      </c>
      <c r="J259" s="61" t="s">
        <v>1498</v>
      </c>
      <c r="K259" s="53">
        <v>352508686</v>
      </c>
      <c r="L259" s="60">
        <v>8093441726</v>
      </c>
      <c r="M259" s="55" t="s">
        <v>1919</v>
      </c>
    </row>
    <row r="260" spans="1:13" x14ac:dyDescent="0.25">
      <c r="A260" s="53" t="s">
        <v>12</v>
      </c>
      <c r="B260" s="53" t="s">
        <v>13</v>
      </c>
      <c r="C260" s="53" t="s">
        <v>14</v>
      </c>
      <c r="D260" s="53" t="s">
        <v>1610</v>
      </c>
      <c r="E260" s="53">
        <v>33067706253</v>
      </c>
      <c r="F260" s="53" t="s">
        <v>1611</v>
      </c>
      <c r="G260" s="53">
        <v>5450</v>
      </c>
      <c r="H260" s="62">
        <v>46111</v>
      </c>
      <c r="I260" s="53" t="s">
        <v>1513</v>
      </c>
      <c r="J260" s="53" t="s">
        <v>1495</v>
      </c>
      <c r="K260" s="53">
        <v>352508688</v>
      </c>
      <c r="L260" s="53">
        <v>6381535643</v>
      </c>
      <c r="M260" s="55" t="s">
        <v>1919</v>
      </c>
    </row>
    <row r="261" spans="1:13" x14ac:dyDescent="0.25">
      <c r="A261" s="53" t="s">
        <v>12</v>
      </c>
      <c r="B261" s="53" t="s">
        <v>13</v>
      </c>
      <c r="C261" s="53" t="s">
        <v>14</v>
      </c>
      <c r="D261" s="53" t="s">
        <v>95</v>
      </c>
      <c r="E261" s="53" t="s">
        <v>96</v>
      </c>
      <c r="F261" s="53" t="s">
        <v>33</v>
      </c>
      <c r="G261" s="53">
        <v>5450</v>
      </c>
      <c r="H261" s="62">
        <v>46111</v>
      </c>
      <c r="I261" s="61" t="s">
        <v>1483</v>
      </c>
      <c r="J261" s="61" t="s">
        <v>1484</v>
      </c>
      <c r="K261" s="53">
        <v>352508628</v>
      </c>
      <c r="L261" s="53">
        <v>8159025834</v>
      </c>
      <c r="M261" s="55" t="s">
        <v>1919</v>
      </c>
    </row>
    <row r="262" spans="1:13" x14ac:dyDescent="0.25">
      <c r="A262" s="53" t="s">
        <v>12</v>
      </c>
      <c r="B262" s="53" t="s">
        <v>13</v>
      </c>
      <c r="C262" s="53" t="s">
        <v>14</v>
      </c>
      <c r="D262" s="53" t="s">
        <v>95</v>
      </c>
      <c r="E262" s="53" t="s">
        <v>96</v>
      </c>
      <c r="F262" s="53" t="s">
        <v>33</v>
      </c>
      <c r="G262" s="53">
        <v>5450</v>
      </c>
      <c r="H262" s="62">
        <v>46111</v>
      </c>
      <c r="I262" s="61" t="s">
        <v>1483</v>
      </c>
      <c r="J262" s="61" t="s">
        <v>1484</v>
      </c>
      <c r="K262" s="53">
        <v>352508628</v>
      </c>
      <c r="L262" s="53">
        <v>8159025834</v>
      </c>
      <c r="M262" s="55" t="s">
        <v>1919</v>
      </c>
    </row>
    <row r="263" spans="1:13" x14ac:dyDescent="0.25">
      <c r="A263" s="53" t="s">
        <v>12</v>
      </c>
      <c r="B263" s="53" t="s">
        <v>13</v>
      </c>
      <c r="C263" s="53" t="s">
        <v>14</v>
      </c>
      <c r="D263" s="53" t="s">
        <v>435</v>
      </c>
      <c r="E263" s="53">
        <v>31095925572</v>
      </c>
      <c r="F263" s="60" t="s">
        <v>33</v>
      </c>
      <c r="G263" s="53">
        <v>7700</v>
      </c>
      <c r="H263" s="62">
        <v>46111</v>
      </c>
      <c r="I263" s="61" t="s">
        <v>1485</v>
      </c>
      <c r="J263" s="61" t="s">
        <v>1486</v>
      </c>
      <c r="K263" s="53">
        <v>352508683</v>
      </c>
      <c r="L263" s="60">
        <v>8084080392</v>
      </c>
      <c r="M263" s="55" t="s">
        <v>1917</v>
      </c>
    </row>
    <row r="264" spans="1:13" x14ac:dyDescent="0.25">
      <c r="A264" s="61" t="s">
        <v>12</v>
      </c>
      <c r="B264" s="61" t="s">
        <v>13</v>
      </c>
      <c r="C264" s="61" t="s">
        <v>14</v>
      </c>
      <c r="D264" s="61" t="s">
        <v>31</v>
      </c>
      <c r="E264" s="61" t="s">
        <v>32</v>
      </c>
      <c r="F264" s="61" t="s">
        <v>33</v>
      </c>
      <c r="G264" s="53">
        <v>2000</v>
      </c>
      <c r="H264" s="62">
        <v>46112</v>
      </c>
      <c r="I264" s="61" t="s">
        <v>571</v>
      </c>
      <c r="J264" s="61" t="s">
        <v>59</v>
      </c>
      <c r="K264" s="53">
        <v>352508737</v>
      </c>
      <c r="L264" s="61">
        <v>9347726061</v>
      </c>
      <c r="M264" s="55" t="s">
        <v>1920</v>
      </c>
    </row>
    <row r="265" spans="1:13" x14ac:dyDescent="0.25">
      <c r="A265" s="61" t="s">
        <v>12</v>
      </c>
      <c r="B265" s="61" t="s">
        <v>13</v>
      </c>
      <c r="C265" s="61" t="s">
        <v>14</v>
      </c>
      <c r="D265" s="61" t="s">
        <v>31</v>
      </c>
      <c r="E265" s="61" t="s">
        <v>32</v>
      </c>
      <c r="F265" s="61" t="s">
        <v>33</v>
      </c>
      <c r="G265" s="53">
        <v>1500</v>
      </c>
      <c r="H265" s="62">
        <v>46112</v>
      </c>
      <c r="I265" s="61" t="s">
        <v>571</v>
      </c>
      <c r="J265" s="61" t="s">
        <v>59</v>
      </c>
      <c r="K265" s="53">
        <v>352508739</v>
      </c>
      <c r="L265" s="61">
        <v>9347726061</v>
      </c>
      <c r="M265" s="55" t="s">
        <v>1920</v>
      </c>
    </row>
    <row r="266" spans="1:13" x14ac:dyDescent="0.25">
      <c r="A266" s="53" t="s">
        <v>12</v>
      </c>
      <c r="B266" s="53" t="s">
        <v>13</v>
      </c>
      <c r="C266" s="53" t="s">
        <v>14</v>
      </c>
      <c r="D266" s="53" t="s">
        <v>108</v>
      </c>
      <c r="E266" s="53" t="s">
        <v>109</v>
      </c>
      <c r="F266" s="53" t="s">
        <v>110</v>
      </c>
      <c r="G266" s="53">
        <v>2000</v>
      </c>
      <c r="H266" s="62">
        <v>46112</v>
      </c>
      <c r="I266" s="61" t="s">
        <v>1777</v>
      </c>
      <c r="J266" s="61" t="s">
        <v>1778</v>
      </c>
      <c r="K266" s="53">
        <v>352508738</v>
      </c>
      <c r="L266" s="53">
        <v>7870570436</v>
      </c>
      <c r="M266" s="55" t="s">
        <v>1920</v>
      </c>
    </row>
    <row r="267" spans="1:13" x14ac:dyDescent="0.25">
      <c r="A267" s="53" t="s">
        <v>12</v>
      </c>
      <c r="B267" s="53" t="s">
        <v>13</v>
      </c>
      <c r="C267" s="53" t="s">
        <v>14</v>
      </c>
      <c r="D267" s="53" t="s">
        <v>108</v>
      </c>
      <c r="E267" s="53" t="s">
        <v>109</v>
      </c>
      <c r="F267" s="53" t="s">
        <v>110</v>
      </c>
      <c r="G267" s="53">
        <v>1500</v>
      </c>
      <c r="H267" s="62">
        <v>46112</v>
      </c>
      <c r="I267" s="61" t="s">
        <v>1777</v>
      </c>
      <c r="J267" s="61" t="s">
        <v>1778</v>
      </c>
      <c r="K267" s="53">
        <v>352508740</v>
      </c>
      <c r="L267" s="53">
        <v>7870570436</v>
      </c>
      <c r="M267" s="55" t="s">
        <v>1920</v>
      </c>
    </row>
    <row r="268" spans="1:13" x14ac:dyDescent="0.25">
      <c r="A268" s="53" t="s">
        <v>12</v>
      </c>
      <c r="B268" s="53" t="s">
        <v>13</v>
      </c>
      <c r="C268" s="53" t="s">
        <v>14</v>
      </c>
      <c r="D268" s="53" t="s">
        <v>1610</v>
      </c>
      <c r="E268" s="53">
        <v>33067706253</v>
      </c>
      <c r="F268" s="53" t="s">
        <v>1611</v>
      </c>
      <c r="G268" s="53">
        <v>1500</v>
      </c>
      <c r="H268" s="62">
        <v>46112</v>
      </c>
      <c r="I268" s="53" t="s">
        <v>1513</v>
      </c>
      <c r="J268" s="53" t="s">
        <v>1495</v>
      </c>
      <c r="K268" s="53">
        <v>352508751</v>
      </c>
      <c r="L268" s="53">
        <v>6381535643</v>
      </c>
      <c r="M268" s="55" t="s">
        <v>1921</v>
      </c>
    </row>
    <row r="269" spans="1:13" x14ac:dyDescent="0.25">
      <c r="A269" s="53" t="s">
        <v>12</v>
      </c>
      <c r="B269" s="53" t="s">
        <v>13</v>
      </c>
      <c r="C269" s="53" t="s">
        <v>14</v>
      </c>
      <c r="D269" s="53" t="s">
        <v>1406</v>
      </c>
      <c r="E269" s="69">
        <v>645602010014653</v>
      </c>
      <c r="F269" s="53" t="s">
        <v>1407</v>
      </c>
      <c r="G269" s="53">
        <v>1500</v>
      </c>
      <c r="H269" s="62">
        <v>46112</v>
      </c>
      <c r="I269" s="53" t="s">
        <v>903</v>
      </c>
      <c r="J269" s="53" t="s">
        <v>904</v>
      </c>
      <c r="K269" s="53">
        <v>352508752</v>
      </c>
      <c r="L269" s="53">
        <v>8084480157</v>
      </c>
      <c r="M269" s="55" t="s">
        <v>1921</v>
      </c>
    </row>
    <row r="270" spans="1:13" x14ac:dyDescent="0.25">
      <c r="A270" s="53" t="s">
        <v>12</v>
      </c>
      <c r="B270" s="53" t="s">
        <v>13</v>
      </c>
      <c r="C270" s="53" t="s">
        <v>14</v>
      </c>
      <c r="D270" s="53" t="s">
        <v>435</v>
      </c>
      <c r="E270" s="53">
        <v>31095925572</v>
      </c>
      <c r="F270" s="60" t="s">
        <v>33</v>
      </c>
      <c r="G270" s="53">
        <v>4950</v>
      </c>
      <c r="H270" s="62">
        <v>46112</v>
      </c>
      <c r="I270" s="61" t="s">
        <v>1485</v>
      </c>
      <c r="J270" s="61" t="s">
        <v>1486</v>
      </c>
      <c r="K270" s="53">
        <v>352508729</v>
      </c>
      <c r="L270" s="60">
        <v>8084080392</v>
      </c>
      <c r="M270" s="55" t="s">
        <v>1922</v>
      </c>
    </row>
    <row r="271" spans="1:13" x14ac:dyDescent="0.25">
      <c r="A271" s="53" t="s">
        <v>12</v>
      </c>
      <c r="B271" s="53" t="s">
        <v>13</v>
      </c>
      <c r="C271" s="53" t="s">
        <v>14</v>
      </c>
      <c r="D271" s="53" t="s">
        <v>1610</v>
      </c>
      <c r="E271" s="53">
        <v>33067706253</v>
      </c>
      <c r="F271" s="53" t="s">
        <v>1611</v>
      </c>
      <c r="G271" s="53">
        <v>5200</v>
      </c>
      <c r="H271" s="62">
        <v>46112</v>
      </c>
      <c r="I271" s="53" t="s">
        <v>1513</v>
      </c>
      <c r="J271" s="53" t="s">
        <v>1495</v>
      </c>
      <c r="K271" s="53">
        <v>352508748</v>
      </c>
      <c r="L271" s="53">
        <v>6381535643</v>
      </c>
      <c r="M271" s="55" t="s">
        <v>1923</v>
      </c>
    </row>
    <row r="272" spans="1:13" x14ac:dyDescent="0.25">
      <c r="A272" s="53" t="s">
        <v>12</v>
      </c>
      <c r="B272" s="53" t="s">
        <v>13</v>
      </c>
      <c r="C272" s="53" t="s">
        <v>14</v>
      </c>
      <c r="D272" s="53" t="s">
        <v>144</v>
      </c>
      <c r="E272" s="53">
        <v>44182579159</v>
      </c>
      <c r="F272" s="53" t="s">
        <v>145</v>
      </c>
      <c r="G272" s="53">
        <v>2000</v>
      </c>
      <c r="H272" s="62">
        <v>46112</v>
      </c>
      <c r="I272" s="53" t="s">
        <v>593</v>
      </c>
      <c r="J272" s="53" t="s">
        <v>76</v>
      </c>
      <c r="K272" s="53">
        <v>352508747</v>
      </c>
      <c r="L272" s="53">
        <v>7765824237</v>
      </c>
      <c r="M272" s="55" t="s">
        <v>1924</v>
      </c>
    </row>
    <row r="273" spans="1:13" x14ac:dyDescent="0.25">
      <c r="A273" s="53" t="s">
        <v>12</v>
      </c>
      <c r="B273" s="53" t="s">
        <v>13</v>
      </c>
      <c r="C273" s="53" t="s">
        <v>14</v>
      </c>
      <c r="D273" s="53" t="s">
        <v>343</v>
      </c>
      <c r="E273" s="54">
        <v>37223550583</v>
      </c>
      <c r="F273" s="53" t="s">
        <v>33</v>
      </c>
      <c r="G273" s="53">
        <v>7500</v>
      </c>
      <c r="H273" s="62">
        <v>46112</v>
      </c>
      <c r="I273" s="61" t="s">
        <v>895</v>
      </c>
      <c r="J273" s="61" t="s">
        <v>896</v>
      </c>
      <c r="K273" s="53">
        <v>352508730</v>
      </c>
      <c r="L273" s="53">
        <v>9031258705</v>
      </c>
      <c r="M273" s="55" t="s">
        <v>1925</v>
      </c>
    </row>
    <row r="274" spans="1:13" x14ac:dyDescent="0.25">
      <c r="A274" s="53" t="s">
        <v>12</v>
      </c>
      <c r="B274" s="53" t="s">
        <v>13</v>
      </c>
      <c r="C274" s="53" t="s">
        <v>14</v>
      </c>
      <c r="D274" s="53" t="s">
        <v>993</v>
      </c>
      <c r="E274" s="69">
        <v>50100683547664</v>
      </c>
      <c r="F274" s="60" t="s">
        <v>994</v>
      </c>
      <c r="G274" s="53">
        <v>7500</v>
      </c>
      <c r="H274" s="62">
        <v>46112</v>
      </c>
      <c r="I274" s="61" t="s">
        <v>1497</v>
      </c>
      <c r="J274" s="61" t="s">
        <v>1498</v>
      </c>
      <c r="K274" s="53">
        <v>352508749</v>
      </c>
      <c r="L274" s="60">
        <v>8093441726</v>
      </c>
      <c r="M274" s="55" t="s">
        <v>1925</v>
      </c>
    </row>
    <row r="275" spans="1:13" x14ac:dyDescent="0.25">
      <c r="A275" s="53" t="s">
        <v>12</v>
      </c>
      <c r="B275" s="53" t="s">
        <v>13</v>
      </c>
      <c r="C275" s="53" t="s">
        <v>14</v>
      </c>
      <c r="D275" s="53" t="s">
        <v>1406</v>
      </c>
      <c r="E275" s="69">
        <v>645602010014653</v>
      </c>
      <c r="F275" s="53" t="s">
        <v>1407</v>
      </c>
      <c r="G275" s="53">
        <v>7500</v>
      </c>
      <c r="H275" s="62">
        <v>46112</v>
      </c>
      <c r="I275" s="53" t="s">
        <v>903</v>
      </c>
      <c r="J275" s="53" t="s">
        <v>904</v>
      </c>
      <c r="K275" s="53">
        <v>352508746</v>
      </c>
      <c r="L275" s="53">
        <v>8084480157</v>
      </c>
      <c r="M275" s="55" t="s">
        <v>1925</v>
      </c>
    </row>
    <row r="276" spans="1:13" x14ac:dyDescent="0.25">
      <c r="A276" s="61" t="s">
        <v>12</v>
      </c>
      <c r="B276" s="61" t="s">
        <v>13</v>
      </c>
      <c r="C276" s="61" t="s">
        <v>14</v>
      </c>
      <c r="D276" s="61" t="s">
        <v>31</v>
      </c>
      <c r="E276" s="61" t="s">
        <v>32</v>
      </c>
      <c r="F276" s="61" t="s">
        <v>33</v>
      </c>
      <c r="G276" s="53">
        <v>7500</v>
      </c>
      <c r="H276" s="62">
        <v>46112</v>
      </c>
      <c r="I276" s="61" t="s">
        <v>571</v>
      </c>
      <c r="J276" s="61" t="s">
        <v>59</v>
      </c>
      <c r="K276" s="53">
        <v>352508739</v>
      </c>
      <c r="L276" s="61">
        <v>9347726061</v>
      </c>
      <c r="M276" s="55" t="s">
        <v>1926</v>
      </c>
    </row>
    <row r="277" spans="1:13" x14ac:dyDescent="0.25">
      <c r="A277" s="53" t="s">
        <v>12</v>
      </c>
      <c r="B277" s="53" t="s">
        <v>13</v>
      </c>
      <c r="C277" s="53" t="s">
        <v>14</v>
      </c>
      <c r="D277" s="53" t="s">
        <v>108</v>
      </c>
      <c r="E277" s="53" t="s">
        <v>109</v>
      </c>
      <c r="F277" s="53" t="s">
        <v>110</v>
      </c>
      <c r="G277" s="53">
        <v>7500</v>
      </c>
      <c r="H277" s="62">
        <v>46112</v>
      </c>
      <c r="I277" s="61" t="s">
        <v>1777</v>
      </c>
      <c r="J277" s="61" t="s">
        <v>1778</v>
      </c>
      <c r="K277" s="53">
        <v>352508740</v>
      </c>
      <c r="L277" s="53">
        <v>7870570436</v>
      </c>
      <c r="M277" s="55" t="s">
        <v>1926</v>
      </c>
    </row>
    <row r="278" spans="1:13" x14ac:dyDescent="0.25">
      <c r="A278" s="61" t="s">
        <v>12</v>
      </c>
      <c r="B278" s="61" t="s">
        <v>13</v>
      </c>
      <c r="C278" s="61" t="s">
        <v>14</v>
      </c>
      <c r="D278" s="61" t="s">
        <v>31</v>
      </c>
      <c r="E278" s="61" t="s">
        <v>32</v>
      </c>
      <c r="F278" s="61" t="s">
        <v>33</v>
      </c>
      <c r="G278" s="53">
        <v>2000</v>
      </c>
      <c r="H278" s="62">
        <v>46113</v>
      </c>
      <c r="I278" s="61" t="s">
        <v>571</v>
      </c>
      <c r="J278" s="61" t="s">
        <v>59</v>
      </c>
      <c r="K278" s="53">
        <v>352508761</v>
      </c>
      <c r="L278" s="61">
        <v>9347726061</v>
      </c>
      <c r="M278" s="55" t="s">
        <v>1927</v>
      </c>
    </row>
    <row r="279" spans="1:13" x14ac:dyDescent="0.25">
      <c r="A279" s="53" t="s">
        <v>12</v>
      </c>
      <c r="B279" s="53" t="s">
        <v>13</v>
      </c>
      <c r="C279" s="53" t="s">
        <v>14</v>
      </c>
      <c r="D279" s="53" t="s">
        <v>108</v>
      </c>
      <c r="E279" s="53" t="s">
        <v>109</v>
      </c>
      <c r="F279" s="53" t="s">
        <v>110</v>
      </c>
      <c r="G279" s="53">
        <v>2000</v>
      </c>
      <c r="H279" s="62">
        <v>46113</v>
      </c>
      <c r="I279" s="61" t="s">
        <v>1777</v>
      </c>
      <c r="J279" s="61" t="s">
        <v>1778</v>
      </c>
      <c r="K279" s="53">
        <v>352508762</v>
      </c>
      <c r="L279" s="53">
        <v>7870570436</v>
      </c>
      <c r="M279" s="55" t="s">
        <v>1927</v>
      </c>
    </row>
    <row r="280" spans="1:13" x14ac:dyDescent="0.25">
      <c r="A280" s="53" t="s">
        <v>12</v>
      </c>
      <c r="B280" s="53" t="s">
        <v>13</v>
      </c>
      <c r="C280" s="53" t="s">
        <v>14</v>
      </c>
      <c r="D280" s="53" t="s">
        <v>108</v>
      </c>
      <c r="E280" s="53" t="s">
        <v>109</v>
      </c>
      <c r="F280" s="53" t="s">
        <v>110</v>
      </c>
      <c r="G280" s="53">
        <v>1500</v>
      </c>
      <c r="H280" s="62">
        <v>46113</v>
      </c>
      <c r="I280" s="61" t="s">
        <v>1777</v>
      </c>
      <c r="J280" s="61" t="s">
        <v>1778</v>
      </c>
      <c r="K280" s="53">
        <v>352508763</v>
      </c>
      <c r="L280" s="53">
        <v>7870570436</v>
      </c>
      <c r="M280" s="55" t="s">
        <v>1927</v>
      </c>
    </row>
    <row r="281" spans="1:13" x14ac:dyDescent="0.25">
      <c r="A281" s="53" t="s">
        <v>12</v>
      </c>
      <c r="B281" s="53" t="s">
        <v>13</v>
      </c>
      <c r="C281" s="53" t="s">
        <v>14</v>
      </c>
      <c r="D281" s="53" t="s">
        <v>36</v>
      </c>
      <c r="E281" s="53" t="s">
        <v>37</v>
      </c>
      <c r="F281" s="53" t="s">
        <v>38</v>
      </c>
      <c r="G281" s="53">
        <v>2000</v>
      </c>
      <c r="H281" s="62">
        <v>46113</v>
      </c>
      <c r="I281" s="53" t="s">
        <v>902</v>
      </c>
      <c r="J281" s="53" t="s">
        <v>901</v>
      </c>
      <c r="K281" s="53">
        <v>352508759</v>
      </c>
      <c r="L281" s="53">
        <v>9358936441</v>
      </c>
      <c r="M281" s="55" t="s">
        <v>1933</v>
      </c>
    </row>
    <row r="282" spans="1:13" x14ac:dyDescent="0.25">
      <c r="A282" s="53" t="s">
        <v>12</v>
      </c>
      <c r="B282" s="53" t="s">
        <v>13</v>
      </c>
      <c r="C282" s="53" t="s">
        <v>14</v>
      </c>
      <c r="D282" s="53" t="s">
        <v>95</v>
      </c>
      <c r="E282" s="53" t="s">
        <v>96</v>
      </c>
      <c r="F282" s="53" t="s">
        <v>33</v>
      </c>
      <c r="G282" s="53">
        <v>5200</v>
      </c>
      <c r="H282" s="62">
        <v>46113</v>
      </c>
      <c r="I282" s="61" t="s">
        <v>1483</v>
      </c>
      <c r="J282" s="61" t="s">
        <v>1484</v>
      </c>
      <c r="K282" s="53">
        <v>352508750</v>
      </c>
      <c r="L282" s="53">
        <v>8159025834</v>
      </c>
      <c r="M282" s="55" t="s">
        <v>1928</v>
      </c>
    </row>
    <row r="283" spans="1:13" x14ac:dyDescent="0.25">
      <c r="A283" s="53" t="s">
        <v>12</v>
      </c>
      <c r="B283" s="53" t="s">
        <v>13</v>
      </c>
      <c r="C283" s="53" t="s">
        <v>14</v>
      </c>
      <c r="D283" s="53" t="s">
        <v>144</v>
      </c>
      <c r="E283" s="53">
        <v>44182579159</v>
      </c>
      <c r="F283" s="53" t="s">
        <v>145</v>
      </c>
      <c r="G283" s="53">
        <v>6400</v>
      </c>
      <c r="H283" s="62">
        <v>46113</v>
      </c>
      <c r="I283" s="53" t="s">
        <v>593</v>
      </c>
      <c r="J283" s="53" t="s">
        <v>76</v>
      </c>
      <c r="K283" s="53">
        <v>352508747</v>
      </c>
      <c r="L283" s="53">
        <v>7765824237</v>
      </c>
      <c r="M283" s="55" t="s">
        <v>1929</v>
      </c>
    </row>
    <row r="284" spans="1:13" x14ac:dyDescent="0.25">
      <c r="A284" s="53" t="s">
        <v>12</v>
      </c>
      <c r="B284" s="53" t="s">
        <v>13</v>
      </c>
      <c r="C284" s="53" t="s">
        <v>14</v>
      </c>
      <c r="D284" s="53" t="s">
        <v>144</v>
      </c>
      <c r="E284" s="53">
        <v>44182579159</v>
      </c>
      <c r="F284" s="53" t="s">
        <v>145</v>
      </c>
      <c r="G284" s="53">
        <v>1000</v>
      </c>
      <c r="H284" s="62">
        <v>46114</v>
      </c>
      <c r="I284" s="53" t="s">
        <v>593</v>
      </c>
      <c r="J284" s="53" t="s">
        <v>76</v>
      </c>
      <c r="K284" s="53">
        <v>352508768</v>
      </c>
      <c r="L284" s="53">
        <v>7765824237</v>
      </c>
      <c r="M284" s="55" t="s">
        <v>1930</v>
      </c>
    </row>
    <row r="285" spans="1:13" x14ac:dyDescent="0.25">
      <c r="A285" s="53" t="s">
        <v>12</v>
      </c>
      <c r="B285" s="53" t="s">
        <v>13</v>
      </c>
      <c r="C285" s="53" t="s">
        <v>14</v>
      </c>
      <c r="D285" s="53" t="s">
        <v>48</v>
      </c>
      <c r="E285" s="53" t="s">
        <v>49</v>
      </c>
      <c r="F285" s="53" t="s">
        <v>50</v>
      </c>
      <c r="G285" s="53">
        <f>4400-900</f>
        <v>3500</v>
      </c>
      <c r="H285" s="62">
        <v>46114</v>
      </c>
      <c r="I285" s="53" t="s">
        <v>1519</v>
      </c>
      <c r="J285" s="53" t="s">
        <v>1520</v>
      </c>
      <c r="K285" s="53">
        <v>352508760</v>
      </c>
      <c r="L285" s="53">
        <v>8520078561</v>
      </c>
      <c r="M285" s="55" t="s">
        <v>1931</v>
      </c>
    </row>
    <row r="286" spans="1:13" x14ac:dyDescent="0.25">
      <c r="A286" s="53" t="s">
        <v>12</v>
      </c>
      <c r="B286" s="53" t="s">
        <v>13</v>
      </c>
      <c r="C286" s="53" t="s">
        <v>14</v>
      </c>
      <c r="D286" s="53" t="s">
        <v>993</v>
      </c>
      <c r="E286" s="69">
        <v>50100683547664</v>
      </c>
      <c r="F286" s="60" t="s">
        <v>994</v>
      </c>
      <c r="G286" s="53">
        <v>1000</v>
      </c>
      <c r="H286" s="62">
        <v>46115</v>
      </c>
      <c r="I286" s="61" t="s">
        <v>1497</v>
      </c>
      <c r="J286" s="61" t="s">
        <v>1498</v>
      </c>
      <c r="K286" s="53">
        <v>352600037</v>
      </c>
      <c r="L286" s="60">
        <v>8093441726</v>
      </c>
      <c r="M286" s="55" t="s">
        <v>1914</v>
      </c>
    </row>
    <row r="287" spans="1:13" x14ac:dyDescent="0.25">
      <c r="A287" s="53" t="s">
        <v>12</v>
      </c>
      <c r="B287" s="53" t="s">
        <v>13</v>
      </c>
      <c r="C287" s="53" t="s">
        <v>14</v>
      </c>
      <c r="D287" s="53" t="s">
        <v>36</v>
      </c>
      <c r="E287" s="53" t="s">
        <v>37</v>
      </c>
      <c r="F287" s="53" t="s">
        <v>38</v>
      </c>
      <c r="G287" s="53">
        <v>5000</v>
      </c>
      <c r="H287" s="62">
        <v>46115</v>
      </c>
      <c r="I287" s="53" t="s">
        <v>902</v>
      </c>
      <c r="J287" s="53" t="s">
        <v>901</v>
      </c>
      <c r="K287" s="53">
        <v>352508759</v>
      </c>
      <c r="L287" s="53">
        <v>9358936441</v>
      </c>
      <c r="M287" s="55" t="s">
        <v>1932</v>
      </c>
    </row>
    <row r="288" spans="1:13" x14ac:dyDescent="0.25">
      <c r="A288" s="53" t="s">
        <v>12</v>
      </c>
      <c r="B288" s="53" t="s">
        <v>13</v>
      </c>
      <c r="C288" s="53" t="s">
        <v>14</v>
      </c>
      <c r="D288" s="53" t="s">
        <v>48</v>
      </c>
      <c r="E288" s="53" t="s">
        <v>49</v>
      </c>
      <c r="F288" s="53" t="s">
        <v>50</v>
      </c>
      <c r="G288" s="53">
        <v>2600</v>
      </c>
      <c r="H288" s="62">
        <v>46115</v>
      </c>
      <c r="I288" s="53" t="s">
        <v>1519</v>
      </c>
      <c r="J288" s="53" t="s">
        <v>1520</v>
      </c>
      <c r="K288" s="53">
        <v>352508685</v>
      </c>
      <c r="L288" s="53">
        <v>8520078561</v>
      </c>
      <c r="M288" s="55" t="s">
        <v>1937</v>
      </c>
    </row>
    <row r="289" spans="1:13" x14ac:dyDescent="0.25">
      <c r="A289" s="53" t="s">
        <v>12</v>
      </c>
      <c r="B289" s="53" t="s">
        <v>13</v>
      </c>
      <c r="C289" s="53" t="s">
        <v>14</v>
      </c>
      <c r="D289" s="53" t="s">
        <v>95</v>
      </c>
      <c r="E289" s="53" t="s">
        <v>96</v>
      </c>
      <c r="F289" s="53" t="s">
        <v>33</v>
      </c>
      <c r="G289" s="53">
        <v>1900</v>
      </c>
      <c r="H289" s="62">
        <v>46115</v>
      </c>
      <c r="I289" s="61" t="s">
        <v>1483</v>
      </c>
      <c r="J289" s="61" t="s">
        <v>1484</v>
      </c>
      <c r="K289" s="53">
        <v>352600017</v>
      </c>
      <c r="L289" s="53">
        <v>8159025834</v>
      </c>
      <c r="M289" s="55" t="s">
        <v>1936</v>
      </c>
    </row>
    <row r="290" spans="1:13" x14ac:dyDescent="0.25">
      <c r="A290" s="53" t="s">
        <v>12</v>
      </c>
      <c r="B290" s="53" t="s">
        <v>13</v>
      </c>
      <c r="C290" s="53" t="s">
        <v>14</v>
      </c>
      <c r="D290" s="53" t="s">
        <v>1610</v>
      </c>
      <c r="E290" s="53">
        <v>33067706253</v>
      </c>
      <c r="F290" s="53" t="s">
        <v>1611</v>
      </c>
      <c r="G290" s="53">
        <v>1900</v>
      </c>
      <c r="H290" s="62">
        <v>46115</v>
      </c>
      <c r="I290" s="53" t="s">
        <v>1513</v>
      </c>
      <c r="J290" s="53" t="s">
        <v>1495</v>
      </c>
      <c r="K290" s="53">
        <v>352508751</v>
      </c>
      <c r="L290" s="53">
        <v>6381535643</v>
      </c>
      <c r="M290" s="55" t="s">
        <v>1936</v>
      </c>
    </row>
    <row r="291" spans="1:13" x14ac:dyDescent="0.25">
      <c r="A291" s="53" t="s">
        <v>12</v>
      </c>
      <c r="B291" s="53" t="s">
        <v>13</v>
      </c>
      <c r="C291" s="53" t="s">
        <v>14</v>
      </c>
      <c r="D291" s="53" t="s">
        <v>435</v>
      </c>
      <c r="E291" s="53">
        <v>31095925572</v>
      </c>
      <c r="F291" s="60" t="s">
        <v>33</v>
      </c>
      <c r="G291" s="53">
        <v>6000</v>
      </c>
      <c r="H291" s="62">
        <v>46115</v>
      </c>
      <c r="I291" s="61" t="s">
        <v>1485</v>
      </c>
      <c r="J291" s="61" t="s">
        <v>1486</v>
      </c>
      <c r="K291" s="53">
        <v>352508729</v>
      </c>
      <c r="L291" s="60">
        <v>8084080392</v>
      </c>
      <c r="M291" s="55" t="s">
        <v>1938</v>
      </c>
    </row>
    <row r="292" spans="1:13" x14ac:dyDescent="0.25">
      <c r="A292" s="53" t="s">
        <v>12</v>
      </c>
      <c r="B292" s="53" t="s">
        <v>13</v>
      </c>
      <c r="C292" s="53" t="s">
        <v>14</v>
      </c>
      <c r="D292" s="53" t="s">
        <v>144</v>
      </c>
      <c r="E292" s="53">
        <v>44182579159</v>
      </c>
      <c r="F292" s="53" t="s">
        <v>145</v>
      </c>
      <c r="G292" s="53">
        <v>6000</v>
      </c>
      <c r="H292" s="62">
        <v>46115</v>
      </c>
      <c r="I292" s="53" t="s">
        <v>593</v>
      </c>
      <c r="J292" s="53" t="s">
        <v>76</v>
      </c>
      <c r="K292" s="53">
        <v>352600036</v>
      </c>
      <c r="L292" s="53">
        <v>7765824237</v>
      </c>
      <c r="M292" s="55" t="s">
        <v>1938</v>
      </c>
    </row>
    <row r="293" spans="1:13" x14ac:dyDescent="0.25">
      <c r="A293" s="53" t="s">
        <v>12</v>
      </c>
      <c r="B293" s="53" t="s">
        <v>13</v>
      </c>
      <c r="C293" s="53" t="s">
        <v>14</v>
      </c>
      <c r="D293" s="53" t="s">
        <v>95</v>
      </c>
      <c r="E293" s="53" t="s">
        <v>96</v>
      </c>
      <c r="F293" s="53" t="s">
        <v>33</v>
      </c>
      <c r="G293" s="53">
        <v>5000</v>
      </c>
      <c r="H293" s="62">
        <v>46116</v>
      </c>
      <c r="I293" s="61" t="s">
        <v>1483</v>
      </c>
      <c r="J293" s="61" t="s">
        <v>1484</v>
      </c>
      <c r="K293" s="53">
        <v>352600017</v>
      </c>
      <c r="L293" s="53">
        <v>8159025834</v>
      </c>
      <c r="M293" s="55" t="s">
        <v>1939</v>
      </c>
    </row>
    <row r="294" spans="1:13" x14ac:dyDescent="0.25">
      <c r="A294" s="53" t="s">
        <v>12</v>
      </c>
      <c r="B294" s="53" t="s">
        <v>13</v>
      </c>
      <c r="C294" s="53" t="s">
        <v>14</v>
      </c>
      <c r="D294" s="53" t="s">
        <v>36</v>
      </c>
      <c r="E294" s="53" t="s">
        <v>37</v>
      </c>
      <c r="F294" s="53" t="s">
        <v>38</v>
      </c>
      <c r="G294" s="53">
        <v>4950</v>
      </c>
      <c r="H294" s="62">
        <v>46116</v>
      </c>
      <c r="I294" s="53" t="s">
        <v>902</v>
      </c>
      <c r="J294" s="53" t="s">
        <v>901</v>
      </c>
      <c r="K294" s="53">
        <v>352508759</v>
      </c>
      <c r="L294" s="53">
        <v>9358936441</v>
      </c>
      <c r="M294" s="55" t="s">
        <v>1940</v>
      </c>
    </row>
  </sheetData>
  <autoFilter ref="A1:M294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7"/>
  <sheetViews>
    <sheetView tabSelected="1" workbookViewId="0">
      <pane ySplit="1" topLeftCell="A1322" activePane="bottomLeft" state="frozen"/>
      <selection pane="bottomLeft" activeCell="A1338" sqref="A1338"/>
    </sheetView>
  </sheetViews>
  <sheetFormatPr defaultRowHeight="12" x14ac:dyDescent="0.25"/>
  <cols>
    <col min="1" max="1" width="10.5546875" style="82" bestFit="1" customWidth="1"/>
    <col min="2" max="2" width="10" style="82" bestFit="1" customWidth="1"/>
    <col min="3" max="3" width="10.77734375" style="82" bestFit="1" customWidth="1"/>
    <col min="4" max="4" width="58.88671875" style="89" bestFit="1" customWidth="1"/>
    <col min="5" max="5" width="10.88671875" style="82" bestFit="1" customWidth="1"/>
    <col min="6" max="6" width="61" style="82" bestFit="1" customWidth="1"/>
    <col min="7" max="7" width="41.6640625" style="82" bestFit="1" customWidth="1"/>
    <col min="8" max="16384" width="8.88671875" style="82"/>
  </cols>
  <sheetData>
    <row r="1" spans="1:8" x14ac:dyDescent="0.25">
      <c r="A1" s="84" t="s">
        <v>1941</v>
      </c>
      <c r="B1" s="84" t="s">
        <v>1942</v>
      </c>
      <c r="C1" s="84" t="s">
        <v>1943</v>
      </c>
      <c r="D1" s="84" t="s">
        <v>1944</v>
      </c>
      <c r="E1" s="84" t="s">
        <v>1945</v>
      </c>
      <c r="F1" s="84"/>
      <c r="G1" s="84" t="s">
        <v>1988</v>
      </c>
      <c r="H1" s="84" t="s">
        <v>1986</v>
      </c>
    </row>
    <row r="2" spans="1:8" x14ac:dyDescent="0.25">
      <c r="A2" s="85">
        <v>46129</v>
      </c>
      <c r="B2" s="86" t="s">
        <v>901</v>
      </c>
      <c r="C2" s="86">
        <v>7700</v>
      </c>
      <c r="D2" s="83" t="s">
        <v>141</v>
      </c>
      <c r="E2" s="87" t="s">
        <v>1946</v>
      </c>
      <c r="F2" s="90"/>
    </row>
    <row r="3" spans="1:8" x14ac:dyDescent="0.25">
      <c r="A3" s="85">
        <v>46129</v>
      </c>
      <c r="B3" s="86" t="s">
        <v>1495</v>
      </c>
      <c r="C3" s="86">
        <v>5200</v>
      </c>
      <c r="D3" s="83" t="s">
        <v>335</v>
      </c>
      <c r="E3" s="87" t="s">
        <v>1946</v>
      </c>
      <c r="F3" s="90"/>
    </row>
    <row r="4" spans="1:8" x14ac:dyDescent="0.25">
      <c r="A4" s="85">
        <v>46129</v>
      </c>
      <c r="B4" s="86" t="s">
        <v>1498</v>
      </c>
      <c r="C4" s="86">
        <v>5200</v>
      </c>
      <c r="D4" s="55" t="s">
        <v>35</v>
      </c>
      <c r="E4" s="87" t="s">
        <v>1946</v>
      </c>
      <c r="F4" s="90"/>
    </row>
    <row r="5" spans="1:8" x14ac:dyDescent="0.25">
      <c r="A5" s="85">
        <v>46129</v>
      </c>
      <c r="B5" s="86" t="s">
        <v>904</v>
      </c>
      <c r="C5" s="86">
        <v>1500</v>
      </c>
      <c r="D5" s="55" t="s">
        <v>1947</v>
      </c>
      <c r="E5" s="87" t="s">
        <v>1946</v>
      </c>
      <c r="F5" s="90"/>
    </row>
    <row r="6" spans="1:8" x14ac:dyDescent="0.25">
      <c r="A6" s="85">
        <v>46129</v>
      </c>
      <c r="B6" s="86" t="s">
        <v>1520</v>
      </c>
      <c r="C6" s="86">
        <v>3500</v>
      </c>
      <c r="D6" s="55" t="s">
        <v>1948</v>
      </c>
      <c r="E6" s="87" t="s">
        <v>1946</v>
      </c>
      <c r="F6" s="90"/>
    </row>
    <row r="7" spans="1:8" x14ac:dyDescent="0.25">
      <c r="A7" s="85">
        <v>46129</v>
      </c>
      <c r="B7" s="86" t="s">
        <v>1484</v>
      </c>
      <c r="C7" s="86">
        <v>5450</v>
      </c>
      <c r="D7" s="55" t="s">
        <v>69</v>
      </c>
      <c r="E7" s="87" t="s">
        <v>1946</v>
      </c>
      <c r="F7" s="90"/>
    </row>
    <row r="8" spans="1:8" x14ac:dyDescent="0.25">
      <c r="A8" s="85">
        <v>46129</v>
      </c>
      <c r="B8" s="86" t="s">
        <v>1520</v>
      </c>
      <c r="C8" s="86">
        <v>800</v>
      </c>
      <c r="D8" s="88" t="s">
        <v>1949</v>
      </c>
      <c r="E8" s="87" t="s">
        <v>1946</v>
      </c>
      <c r="F8" s="90"/>
    </row>
    <row r="9" spans="1:8" x14ac:dyDescent="0.25">
      <c r="A9" s="85">
        <v>46130</v>
      </c>
      <c r="B9" s="86" t="s">
        <v>59</v>
      </c>
      <c r="C9" s="86">
        <v>1000</v>
      </c>
      <c r="D9" s="55" t="s">
        <v>1950</v>
      </c>
      <c r="E9" s="87" t="s">
        <v>1946</v>
      </c>
      <c r="F9" s="90"/>
    </row>
    <row r="10" spans="1:8" x14ac:dyDescent="0.25">
      <c r="A10" s="85">
        <v>46130</v>
      </c>
      <c r="B10" s="86" t="s">
        <v>76</v>
      </c>
      <c r="C10" s="86">
        <v>1000</v>
      </c>
      <c r="D10" s="55" t="s">
        <v>1950</v>
      </c>
      <c r="E10" s="87" t="s">
        <v>1946</v>
      </c>
      <c r="F10" s="90"/>
    </row>
    <row r="11" spans="1:8" x14ac:dyDescent="0.25">
      <c r="A11" s="85">
        <v>46130</v>
      </c>
      <c r="B11" s="86" t="s">
        <v>1486</v>
      </c>
      <c r="C11" s="86">
        <v>5450</v>
      </c>
      <c r="D11" s="55" t="s">
        <v>69</v>
      </c>
      <c r="E11" s="87" t="s">
        <v>1946</v>
      </c>
      <c r="F11" s="90"/>
    </row>
    <row r="12" spans="1:8" x14ac:dyDescent="0.25">
      <c r="A12" s="85">
        <v>46130</v>
      </c>
      <c r="B12" s="86" t="s">
        <v>896</v>
      </c>
      <c r="C12" s="86">
        <v>5450</v>
      </c>
      <c r="D12" s="55" t="s">
        <v>69</v>
      </c>
      <c r="E12" s="87" t="s">
        <v>1946</v>
      </c>
      <c r="F12" s="90"/>
    </row>
    <row r="13" spans="1:8" x14ac:dyDescent="0.25">
      <c r="A13" s="85">
        <v>46130</v>
      </c>
      <c r="B13" s="86" t="s">
        <v>1484</v>
      </c>
      <c r="C13" s="86">
        <v>5200</v>
      </c>
      <c r="D13" s="55" t="s">
        <v>35</v>
      </c>
      <c r="E13" s="87" t="s">
        <v>1946</v>
      </c>
      <c r="F13" s="90"/>
    </row>
    <row r="14" spans="1:8" x14ac:dyDescent="0.25">
      <c r="A14" s="85">
        <v>46130</v>
      </c>
      <c r="B14" s="86" t="s">
        <v>904</v>
      </c>
      <c r="C14" s="86">
        <v>1000</v>
      </c>
      <c r="D14" s="55" t="s">
        <v>1951</v>
      </c>
      <c r="E14" s="87" t="s">
        <v>1946</v>
      </c>
      <c r="F14" s="90"/>
    </row>
    <row r="15" spans="1:8" x14ac:dyDescent="0.25">
      <c r="A15" s="85">
        <v>46130</v>
      </c>
      <c r="B15" s="86" t="s">
        <v>904</v>
      </c>
      <c r="C15" s="86">
        <v>700</v>
      </c>
      <c r="D15" s="55" t="s">
        <v>1951</v>
      </c>
      <c r="E15" s="87" t="s">
        <v>1946</v>
      </c>
      <c r="F15" s="90"/>
    </row>
    <row r="16" spans="1:8" x14ac:dyDescent="0.25">
      <c r="A16" s="85">
        <v>46132</v>
      </c>
      <c r="B16" s="86" t="s">
        <v>896</v>
      </c>
      <c r="C16" s="86">
        <v>1900</v>
      </c>
      <c r="D16" s="55" t="s">
        <v>1952</v>
      </c>
      <c r="E16" s="87" t="s">
        <v>1946</v>
      </c>
      <c r="F16" s="90"/>
    </row>
    <row r="17" spans="1:6" x14ac:dyDescent="0.25">
      <c r="A17" s="85">
        <v>46132</v>
      </c>
      <c r="B17" s="86" t="s">
        <v>1486</v>
      </c>
      <c r="C17" s="86">
        <v>1900</v>
      </c>
      <c r="D17" s="55" t="s">
        <v>1952</v>
      </c>
      <c r="E17" s="87" t="s">
        <v>1946</v>
      </c>
      <c r="F17" s="90"/>
    </row>
    <row r="18" spans="1:6" x14ac:dyDescent="0.25">
      <c r="A18" s="85">
        <v>46132</v>
      </c>
      <c r="B18" s="86" t="s">
        <v>59</v>
      </c>
      <c r="C18" s="86">
        <v>1750</v>
      </c>
      <c r="D18" s="88" t="s">
        <v>1953</v>
      </c>
      <c r="E18" s="87" t="s">
        <v>1946</v>
      </c>
      <c r="F18" s="90"/>
    </row>
    <row r="19" spans="1:6" x14ac:dyDescent="0.25">
      <c r="A19" s="85">
        <v>46132</v>
      </c>
      <c r="B19" s="86" t="s">
        <v>59</v>
      </c>
      <c r="C19" s="86">
        <v>400</v>
      </c>
      <c r="D19" s="88" t="s">
        <v>1954</v>
      </c>
      <c r="E19" s="87" t="s">
        <v>1946</v>
      </c>
      <c r="F19" s="90"/>
    </row>
    <row r="20" spans="1:6" x14ac:dyDescent="0.25">
      <c r="A20" s="85">
        <v>46132</v>
      </c>
      <c r="B20" s="86" t="s">
        <v>1778</v>
      </c>
      <c r="C20" s="86">
        <v>7700</v>
      </c>
      <c r="D20" s="83" t="s">
        <v>141</v>
      </c>
      <c r="E20" s="87" t="s">
        <v>1946</v>
      </c>
      <c r="F20" s="90"/>
    </row>
    <row r="21" spans="1:6" x14ac:dyDescent="0.25">
      <c r="A21" s="85">
        <v>46132</v>
      </c>
      <c r="B21" s="86" t="s">
        <v>1520</v>
      </c>
      <c r="C21" s="86">
        <v>5450</v>
      </c>
      <c r="D21" s="55" t="s">
        <v>69</v>
      </c>
      <c r="E21" s="87" t="s">
        <v>1946</v>
      </c>
      <c r="F21" s="90"/>
    </row>
    <row r="22" spans="1:6" x14ac:dyDescent="0.25">
      <c r="A22" s="85">
        <v>46132</v>
      </c>
      <c r="B22" s="86" t="s">
        <v>76</v>
      </c>
      <c r="C22" s="86">
        <v>5450</v>
      </c>
      <c r="D22" s="55" t="s">
        <v>69</v>
      </c>
      <c r="E22" s="87" t="s">
        <v>1946</v>
      </c>
      <c r="F22" s="90"/>
    </row>
    <row r="23" spans="1:6" x14ac:dyDescent="0.25">
      <c r="A23" s="85">
        <v>46132</v>
      </c>
      <c r="B23" s="86" t="s">
        <v>76</v>
      </c>
      <c r="C23" s="86">
        <v>600</v>
      </c>
      <c r="D23" s="88" t="s">
        <v>1954</v>
      </c>
      <c r="E23" s="87" t="s">
        <v>1946</v>
      </c>
      <c r="F23" s="90"/>
    </row>
    <row r="24" spans="1:6" x14ac:dyDescent="0.25">
      <c r="A24" s="85">
        <v>46132</v>
      </c>
      <c r="B24" s="86" t="s">
        <v>904</v>
      </c>
      <c r="C24" s="86">
        <v>3500</v>
      </c>
      <c r="D24" s="55" t="s">
        <v>1955</v>
      </c>
      <c r="E24" s="87" t="s">
        <v>1946</v>
      </c>
      <c r="F24" s="90"/>
    </row>
    <row r="25" spans="1:6" x14ac:dyDescent="0.25">
      <c r="A25" s="85">
        <v>46133</v>
      </c>
      <c r="B25" s="86" t="s">
        <v>904</v>
      </c>
      <c r="C25" s="86">
        <v>1000</v>
      </c>
      <c r="D25" s="55" t="s">
        <v>1951</v>
      </c>
      <c r="E25" s="87" t="s">
        <v>1946</v>
      </c>
      <c r="F25" s="90"/>
    </row>
    <row r="26" spans="1:6" x14ac:dyDescent="0.25">
      <c r="A26" s="85">
        <v>46133</v>
      </c>
      <c r="B26" s="86" t="s">
        <v>904</v>
      </c>
      <c r="C26" s="86">
        <v>700</v>
      </c>
      <c r="D26" s="55" t="s">
        <v>1951</v>
      </c>
      <c r="E26" s="87" t="s">
        <v>1946</v>
      </c>
      <c r="F26" s="90"/>
    </row>
    <row r="27" spans="1:6" x14ac:dyDescent="0.25">
      <c r="A27" s="85">
        <v>46133</v>
      </c>
      <c r="B27" s="86" t="s">
        <v>901</v>
      </c>
      <c r="C27" s="86">
        <v>5450</v>
      </c>
      <c r="D27" s="55" t="s">
        <v>69</v>
      </c>
      <c r="E27" s="87" t="s">
        <v>1946</v>
      </c>
      <c r="F27" s="90"/>
    </row>
    <row r="28" spans="1:6" x14ac:dyDescent="0.25">
      <c r="A28" s="85">
        <v>46133</v>
      </c>
      <c r="B28" s="86" t="s">
        <v>1495</v>
      </c>
      <c r="C28" s="86">
        <v>5450</v>
      </c>
      <c r="D28" s="55" t="s">
        <v>69</v>
      </c>
      <c r="E28" s="87" t="s">
        <v>1946</v>
      </c>
      <c r="F28" s="90"/>
    </row>
    <row r="29" spans="1:6" x14ac:dyDescent="0.25">
      <c r="A29" s="85">
        <v>46133</v>
      </c>
      <c r="B29" s="86" t="s">
        <v>896</v>
      </c>
      <c r="C29" s="86">
        <v>5450</v>
      </c>
      <c r="D29" s="55" t="s">
        <v>69</v>
      </c>
      <c r="E29" s="87" t="s">
        <v>1946</v>
      </c>
      <c r="F29" s="90"/>
    </row>
    <row r="30" spans="1:6" x14ac:dyDescent="0.25">
      <c r="A30" s="85">
        <v>46133</v>
      </c>
      <c r="B30" s="86" t="s">
        <v>1486</v>
      </c>
      <c r="C30" s="86">
        <v>7700</v>
      </c>
      <c r="D30" s="83" t="s">
        <v>141</v>
      </c>
      <c r="E30" s="87" t="s">
        <v>1946</v>
      </c>
      <c r="F30" s="90"/>
    </row>
    <row r="31" spans="1:6" x14ac:dyDescent="0.25">
      <c r="A31" s="85">
        <v>46133</v>
      </c>
      <c r="B31" s="86" t="s">
        <v>59</v>
      </c>
      <c r="C31" s="86">
        <v>500</v>
      </c>
      <c r="D31" s="88" t="s">
        <v>1956</v>
      </c>
      <c r="E31" s="87" t="s">
        <v>1946</v>
      </c>
      <c r="F31" s="90"/>
    </row>
    <row r="32" spans="1:6" x14ac:dyDescent="0.25">
      <c r="A32" s="85">
        <v>46134</v>
      </c>
      <c r="B32" s="86" t="s">
        <v>1498</v>
      </c>
      <c r="C32" s="86">
        <v>5200</v>
      </c>
      <c r="D32" s="83" t="s">
        <v>335</v>
      </c>
      <c r="E32" s="87" t="s">
        <v>1946</v>
      </c>
      <c r="F32" s="90"/>
    </row>
    <row r="33" spans="1:6" x14ac:dyDescent="0.25">
      <c r="A33" s="85">
        <v>46134</v>
      </c>
      <c r="B33" s="86" t="s">
        <v>1484</v>
      </c>
      <c r="C33" s="86">
        <v>1000</v>
      </c>
      <c r="D33" s="55" t="s">
        <v>1951</v>
      </c>
      <c r="E33" s="87" t="s">
        <v>1946</v>
      </c>
      <c r="F33" s="90"/>
    </row>
    <row r="34" spans="1:6" x14ac:dyDescent="0.25">
      <c r="A34" s="85">
        <v>46134</v>
      </c>
      <c r="B34" s="86" t="s">
        <v>1484</v>
      </c>
      <c r="C34" s="86">
        <v>700</v>
      </c>
      <c r="D34" s="55" t="s">
        <v>1951</v>
      </c>
      <c r="E34" s="87" t="s">
        <v>1946</v>
      </c>
      <c r="F34" s="90"/>
    </row>
    <row r="35" spans="1:6" x14ac:dyDescent="0.25">
      <c r="A35" s="85">
        <v>46134</v>
      </c>
      <c r="B35" s="86" t="s">
        <v>904</v>
      </c>
      <c r="C35" s="86">
        <v>7700</v>
      </c>
      <c r="D35" s="83" t="s">
        <v>141</v>
      </c>
      <c r="E35" s="87" t="s">
        <v>1946</v>
      </c>
      <c r="F35" s="90"/>
    </row>
    <row r="36" spans="1:6" x14ac:dyDescent="0.25">
      <c r="A36" s="85">
        <v>46134</v>
      </c>
      <c r="B36" s="86" t="s">
        <v>896</v>
      </c>
      <c r="C36" s="86">
        <v>5200</v>
      </c>
      <c r="D36" s="55" t="s">
        <v>35</v>
      </c>
      <c r="E36" s="87" t="s">
        <v>1946</v>
      </c>
      <c r="F36" s="90"/>
    </row>
    <row r="37" spans="1:6" x14ac:dyDescent="0.25">
      <c r="A37" s="85">
        <v>46134</v>
      </c>
      <c r="B37" s="86" t="s">
        <v>1520</v>
      </c>
      <c r="C37" s="86">
        <v>5450</v>
      </c>
      <c r="D37" s="55" t="s">
        <v>69</v>
      </c>
      <c r="E37" s="87" t="s">
        <v>1946</v>
      </c>
      <c r="F37" s="90"/>
    </row>
    <row r="38" spans="1:6" x14ac:dyDescent="0.25">
      <c r="A38" s="85">
        <v>46134</v>
      </c>
      <c r="B38" s="86" t="s">
        <v>76</v>
      </c>
      <c r="C38" s="86">
        <v>5450</v>
      </c>
      <c r="D38" s="55" t="s">
        <v>69</v>
      </c>
      <c r="E38" s="87" t="s">
        <v>1946</v>
      </c>
      <c r="F38" s="90"/>
    </row>
    <row r="39" spans="1:6" x14ac:dyDescent="0.25">
      <c r="A39" s="85">
        <v>46134</v>
      </c>
      <c r="B39" s="86" t="s">
        <v>1486</v>
      </c>
      <c r="C39" s="86">
        <v>5450</v>
      </c>
      <c r="D39" s="55" t="s">
        <v>69</v>
      </c>
      <c r="E39" s="87" t="s">
        <v>1946</v>
      </c>
      <c r="F39" s="90"/>
    </row>
    <row r="40" spans="1:6" x14ac:dyDescent="0.25">
      <c r="A40" s="85">
        <v>46134</v>
      </c>
      <c r="B40" s="86" t="s">
        <v>901</v>
      </c>
      <c r="C40" s="86">
        <v>1900</v>
      </c>
      <c r="D40" s="55" t="s">
        <v>1952</v>
      </c>
      <c r="E40" s="87" t="s">
        <v>1946</v>
      </c>
      <c r="F40" s="90"/>
    </row>
    <row r="41" spans="1:6" x14ac:dyDescent="0.25">
      <c r="A41" s="85">
        <v>46135</v>
      </c>
      <c r="B41" s="86" t="s">
        <v>1778</v>
      </c>
      <c r="C41" s="86">
        <v>5300</v>
      </c>
      <c r="D41" s="55" t="s">
        <v>1967</v>
      </c>
      <c r="E41" s="87" t="s">
        <v>1946</v>
      </c>
      <c r="F41" s="90"/>
    </row>
    <row r="42" spans="1:6" x14ac:dyDescent="0.25">
      <c r="A42" s="85">
        <v>46135</v>
      </c>
      <c r="B42" s="86" t="s">
        <v>904</v>
      </c>
      <c r="C42" s="86">
        <v>5300</v>
      </c>
      <c r="D42" s="55" t="s">
        <v>1967</v>
      </c>
      <c r="E42" s="87" t="s">
        <v>1946</v>
      </c>
      <c r="F42" s="90"/>
    </row>
    <row r="43" spans="1:6" x14ac:dyDescent="0.25">
      <c r="A43" s="85">
        <v>46135</v>
      </c>
      <c r="B43" s="86" t="s">
        <v>1520</v>
      </c>
      <c r="C43" s="86">
        <f>7700+500-5450</f>
        <v>2750</v>
      </c>
      <c r="D43" s="55" t="s">
        <v>1958</v>
      </c>
      <c r="E43" s="87" t="s">
        <v>1946</v>
      </c>
      <c r="F43" s="90"/>
    </row>
    <row r="44" spans="1:6" x14ac:dyDescent="0.25">
      <c r="A44" s="85">
        <v>46135</v>
      </c>
      <c r="B44" s="86" t="s">
        <v>1486</v>
      </c>
      <c r="C44" s="86">
        <f>7700+500-5450</f>
        <v>2750</v>
      </c>
      <c r="D44" s="55" t="s">
        <v>1958</v>
      </c>
      <c r="E44" s="87" t="s">
        <v>1946</v>
      </c>
      <c r="F44" s="90"/>
    </row>
    <row r="45" spans="1:6" x14ac:dyDescent="0.25">
      <c r="A45" s="85">
        <v>46135</v>
      </c>
      <c r="B45" s="86" t="s">
        <v>1495</v>
      </c>
      <c r="C45" s="86">
        <v>1500</v>
      </c>
      <c r="D45" s="55" t="s">
        <v>1952</v>
      </c>
      <c r="E45" s="87" t="s">
        <v>1946</v>
      </c>
      <c r="F45" s="90"/>
    </row>
    <row r="46" spans="1:6" x14ac:dyDescent="0.25">
      <c r="A46" s="85">
        <v>46135</v>
      </c>
      <c r="B46" s="86" t="s">
        <v>901</v>
      </c>
      <c r="C46" s="86">
        <v>2000</v>
      </c>
      <c r="D46" s="55" t="s">
        <v>1952</v>
      </c>
      <c r="E46" s="87" t="s">
        <v>1946</v>
      </c>
      <c r="F46" s="90"/>
    </row>
    <row r="47" spans="1:6" x14ac:dyDescent="0.25">
      <c r="A47" s="85">
        <v>46135</v>
      </c>
      <c r="B47" s="86" t="s">
        <v>901</v>
      </c>
      <c r="C47" s="86">
        <v>5450</v>
      </c>
      <c r="D47" s="55" t="s">
        <v>69</v>
      </c>
      <c r="E47" s="87" t="s">
        <v>1946</v>
      </c>
      <c r="F47" s="90"/>
    </row>
    <row r="48" spans="1:6" x14ac:dyDescent="0.25">
      <c r="A48" s="85">
        <v>46135</v>
      </c>
      <c r="B48" s="86" t="s">
        <v>1495</v>
      </c>
      <c r="C48" s="86">
        <v>5450</v>
      </c>
      <c r="D48" s="55" t="s">
        <v>69</v>
      </c>
      <c r="E48" s="87" t="s">
        <v>1946</v>
      </c>
      <c r="F48" s="90"/>
    </row>
    <row r="49" spans="1:6" x14ac:dyDescent="0.25">
      <c r="A49" s="85">
        <v>46135</v>
      </c>
      <c r="B49" s="86" t="s">
        <v>1498</v>
      </c>
      <c r="C49" s="86">
        <v>1500</v>
      </c>
      <c r="D49" s="55" t="s">
        <v>1947</v>
      </c>
      <c r="E49" s="87" t="s">
        <v>1946</v>
      </c>
      <c r="F49" s="90"/>
    </row>
    <row r="50" spans="1:6" x14ac:dyDescent="0.25">
      <c r="A50" s="85">
        <v>46136</v>
      </c>
      <c r="B50" s="86" t="s">
        <v>76</v>
      </c>
      <c r="C50" s="86">
        <f>7500+500-5450</f>
        <v>2550</v>
      </c>
      <c r="D50" s="55" t="s">
        <v>1959</v>
      </c>
      <c r="E50" s="87" t="s">
        <v>1946</v>
      </c>
      <c r="F50" s="90"/>
    </row>
    <row r="51" spans="1:6" x14ac:dyDescent="0.25">
      <c r="A51" s="85">
        <v>46136</v>
      </c>
      <c r="B51" s="86" t="s">
        <v>76</v>
      </c>
      <c r="C51" s="86">
        <v>1000</v>
      </c>
      <c r="D51" s="55" t="s">
        <v>1950</v>
      </c>
      <c r="E51" s="87" t="s">
        <v>1946</v>
      </c>
      <c r="F51" s="90"/>
    </row>
    <row r="52" spans="1:6" x14ac:dyDescent="0.25">
      <c r="A52" s="85">
        <v>46136</v>
      </c>
      <c r="B52" s="86" t="s">
        <v>59</v>
      </c>
      <c r="C52" s="86">
        <v>6400</v>
      </c>
      <c r="D52" s="55" t="s">
        <v>30</v>
      </c>
      <c r="E52" s="87" t="s">
        <v>1946</v>
      </c>
      <c r="F52" s="90"/>
    </row>
    <row r="53" spans="1:6" x14ac:dyDescent="0.25">
      <c r="A53" s="85">
        <v>46136</v>
      </c>
      <c r="B53" s="86" t="s">
        <v>901</v>
      </c>
      <c r="C53" s="86">
        <v>7700</v>
      </c>
      <c r="D53" s="55" t="s">
        <v>141</v>
      </c>
      <c r="E53" s="87" t="s">
        <v>1946</v>
      </c>
      <c r="F53" s="90"/>
    </row>
    <row r="54" spans="1:6" x14ac:dyDescent="0.25">
      <c r="A54" s="85">
        <v>46136</v>
      </c>
      <c r="B54" s="86" t="s">
        <v>1495</v>
      </c>
      <c r="C54" s="86">
        <v>7500</v>
      </c>
      <c r="D54" s="88" t="s">
        <v>1960</v>
      </c>
      <c r="E54" s="87" t="s">
        <v>1946</v>
      </c>
      <c r="F54" s="90"/>
    </row>
    <row r="55" spans="1:6" x14ac:dyDescent="0.25">
      <c r="A55" s="85">
        <v>46136</v>
      </c>
      <c r="B55" s="86" t="s">
        <v>896</v>
      </c>
      <c r="C55" s="86">
        <v>7500</v>
      </c>
      <c r="D55" s="88" t="s">
        <v>1961</v>
      </c>
      <c r="E55" s="87" t="s">
        <v>1946</v>
      </c>
      <c r="F55" s="90"/>
    </row>
    <row r="56" spans="1:6" x14ac:dyDescent="0.25">
      <c r="A56" s="85">
        <v>46136</v>
      </c>
      <c r="B56" s="86" t="s">
        <v>1520</v>
      </c>
      <c r="C56" s="86">
        <v>1500</v>
      </c>
      <c r="D56" s="55" t="s">
        <v>1947</v>
      </c>
      <c r="E56" s="87" t="s">
        <v>1946</v>
      </c>
      <c r="F56" s="90"/>
    </row>
    <row r="57" spans="1:6" x14ac:dyDescent="0.25">
      <c r="A57" s="85">
        <v>46136</v>
      </c>
      <c r="B57" s="86" t="s">
        <v>1498</v>
      </c>
      <c r="C57" s="86">
        <v>1000</v>
      </c>
      <c r="D57" s="55" t="s">
        <v>1951</v>
      </c>
      <c r="E57" s="87" t="s">
        <v>1946</v>
      </c>
      <c r="F57" s="90"/>
    </row>
    <row r="58" spans="1:6" x14ac:dyDescent="0.25">
      <c r="A58" s="85">
        <v>46136</v>
      </c>
      <c r="B58" s="86" t="s">
        <v>1498</v>
      </c>
      <c r="C58" s="86">
        <v>700</v>
      </c>
      <c r="D58" s="55" t="s">
        <v>1951</v>
      </c>
      <c r="E58" s="87" t="s">
        <v>1946</v>
      </c>
      <c r="F58" s="90"/>
    </row>
    <row r="59" spans="1:6" x14ac:dyDescent="0.25">
      <c r="A59" s="85">
        <v>46137</v>
      </c>
      <c r="B59" s="86" t="s">
        <v>1486</v>
      </c>
      <c r="C59" s="86">
        <v>6400</v>
      </c>
      <c r="D59" s="55" t="s">
        <v>30</v>
      </c>
      <c r="E59" s="87" t="s">
        <v>1946</v>
      </c>
      <c r="F59" s="90"/>
    </row>
    <row r="60" spans="1:6" x14ac:dyDescent="0.25">
      <c r="A60" s="85">
        <v>46137</v>
      </c>
      <c r="B60" s="86" t="s">
        <v>76</v>
      </c>
      <c r="C60" s="86">
        <v>6400</v>
      </c>
      <c r="D60" s="55" t="s">
        <v>30</v>
      </c>
      <c r="E60" s="87" t="s">
        <v>1946</v>
      </c>
      <c r="F60" s="90"/>
    </row>
    <row r="61" spans="1:6" x14ac:dyDescent="0.25">
      <c r="A61" s="85">
        <v>46137</v>
      </c>
      <c r="B61" s="86" t="s">
        <v>59</v>
      </c>
      <c r="C61" s="86">
        <v>6400</v>
      </c>
      <c r="D61" s="55" t="s">
        <v>30</v>
      </c>
      <c r="E61" s="87" t="s">
        <v>1946</v>
      </c>
      <c r="F61" s="90"/>
    </row>
    <row r="62" spans="1:6" x14ac:dyDescent="0.25">
      <c r="A62" s="85">
        <v>46137</v>
      </c>
      <c r="B62" s="86" t="s">
        <v>1486</v>
      </c>
      <c r="C62" s="86">
        <v>5450</v>
      </c>
      <c r="D62" s="55" t="s">
        <v>69</v>
      </c>
      <c r="E62" s="87" t="s">
        <v>1946</v>
      </c>
      <c r="F62" s="90"/>
    </row>
    <row r="63" spans="1:6" x14ac:dyDescent="0.25">
      <c r="A63" s="85">
        <v>46137</v>
      </c>
      <c r="B63" s="86" t="s">
        <v>901</v>
      </c>
      <c r="C63" s="86">
        <v>5450</v>
      </c>
      <c r="D63" s="55" t="s">
        <v>69</v>
      </c>
      <c r="E63" s="87" t="s">
        <v>1946</v>
      </c>
      <c r="F63" s="90"/>
    </row>
    <row r="64" spans="1:6" x14ac:dyDescent="0.25">
      <c r="A64" s="85">
        <v>46137</v>
      </c>
      <c r="B64" s="86" t="s">
        <v>904</v>
      </c>
      <c r="C64" s="86">
        <v>2000</v>
      </c>
      <c r="D64" s="55" t="s">
        <v>1962</v>
      </c>
      <c r="E64" s="87" t="s">
        <v>1946</v>
      </c>
      <c r="F64" s="90"/>
    </row>
    <row r="65" spans="1:6" x14ac:dyDescent="0.25">
      <c r="A65" s="85">
        <v>46139</v>
      </c>
      <c r="B65" s="86" t="s">
        <v>76</v>
      </c>
      <c r="C65" s="86">
        <v>1500</v>
      </c>
      <c r="D65" s="88" t="s">
        <v>1963</v>
      </c>
      <c r="E65" s="87" t="s">
        <v>1946</v>
      </c>
      <c r="F65" s="90"/>
    </row>
    <row r="66" spans="1:6" x14ac:dyDescent="0.25">
      <c r="A66" s="85">
        <v>46139</v>
      </c>
      <c r="B66" s="86" t="s">
        <v>76</v>
      </c>
      <c r="C66" s="86">
        <v>5450</v>
      </c>
      <c r="D66" s="55" t="s">
        <v>69</v>
      </c>
      <c r="E66" s="87" t="s">
        <v>1946</v>
      </c>
      <c r="F66" s="90"/>
    </row>
    <row r="67" spans="1:6" x14ac:dyDescent="0.25">
      <c r="A67" s="85">
        <v>46139</v>
      </c>
      <c r="B67" s="86" t="s">
        <v>1484</v>
      </c>
      <c r="C67" s="86">
        <v>6100</v>
      </c>
      <c r="D67" s="88" t="s">
        <v>1964</v>
      </c>
      <c r="E67" s="87" t="s">
        <v>1946</v>
      </c>
      <c r="F67" s="90"/>
    </row>
    <row r="68" spans="1:6" x14ac:dyDescent="0.25">
      <c r="A68" s="85">
        <v>46139</v>
      </c>
      <c r="B68" s="86" t="s">
        <v>1778</v>
      </c>
      <c r="C68" s="86">
        <v>2000</v>
      </c>
      <c r="D68" s="55" t="s">
        <v>1962</v>
      </c>
      <c r="E68" s="87" t="s">
        <v>1946</v>
      </c>
      <c r="F68" s="90"/>
    </row>
    <row r="69" spans="1:6" x14ac:dyDescent="0.25">
      <c r="A69" s="85">
        <v>46139</v>
      </c>
      <c r="B69" s="86" t="s">
        <v>1486</v>
      </c>
      <c r="C69" s="86">
        <v>5450</v>
      </c>
      <c r="D69" s="55" t="s">
        <v>69</v>
      </c>
      <c r="E69" s="87" t="s">
        <v>1946</v>
      </c>
      <c r="F69" s="90"/>
    </row>
    <row r="70" spans="1:6" x14ac:dyDescent="0.25">
      <c r="A70" s="85">
        <v>46139</v>
      </c>
      <c r="B70" s="86" t="s">
        <v>901</v>
      </c>
      <c r="C70" s="86">
        <v>5450</v>
      </c>
      <c r="D70" s="55" t="s">
        <v>69</v>
      </c>
      <c r="E70" s="87" t="s">
        <v>1946</v>
      </c>
      <c r="F70" s="90"/>
    </row>
    <row r="71" spans="1:6" x14ac:dyDescent="0.25">
      <c r="A71" s="85">
        <v>46139</v>
      </c>
      <c r="B71" s="86" t="s">
        <v>1495</v>
      </c>
      <c r="C71" s="86">
        <v>5450</v>
      </c>
      <c r="D71" s="55" t="s">
        <v>69</v>
      </c>
      <c r="E71" s="87" t="s">
        <v>1946</v>
      </c>
      <c r="F71" s="90"/>
    </row>
    <row r="72" spans="1:6" x14ac:dyDescent="0.25">
      <c r="A72" s="85">
        <v>46139</v>
      </c>
      <c r="B72" s="86" t="s">
        <v>896</v>
      </c>
      <c r="C72" s="86">
        <v>5450</v>
      </c>
      <c r="D72" s="55" t="s">
        <v>69</v>
      </c>
      <c r="E72" s="87" t="s">
        <v>1946</v>
      </c>
      <c r="F72" s="90"/>
    </row>
    <row r="73" spans="1:6" x14ac:dyDescent="0.25">
      <c r="A73" s="85">
        <v>46139</v>
      </c>
      <c r="B73" s="86" t="s">
        <v>896</v>
      </c>
      <c r="C73" s="86">
        <v>1000</v>
      </c>
      <c r="D73" s="55" t="s">
        <v>1950</v>
      </c>
      <c r="E73" s="87" t="s">
        <v>1946</v>
      </c>
      <c r="F73" s="90"/>
    </row>
    <row r="74" spans="1:6" x14ac:dyDescent="0.25">
      <c r="A74" s="85">
        <v>46139</v>
      </c>
      <c r="B74" s="86" t="s">
        <v>1495</v>
      </c>
      <c r="C74" s="86">
        <v>1000</v>
      </c>
      <c r="D74" s="55" t="s">
        <v>1950</v>
      </c>
      <c r="E74" s="87" t="s">
        <v>1946</v>
      </c>
      <c r="F74" s="90"/>
    </row>
    <row r="75" spans="1:6" x14ac:dyDescent="0.25">
      <c r="A75" s="85">
        <v>46140</v>
      </c>
      <c r="B75" s="86" t="s">
        <v>76</v>
      </c>
      <c r="C75" s="86">
        <v>2000</v>
      </c>
      <c r="D75" s="55" t="s">
        <v>1962</v>
      </c>
      <c r="E75" s="87" t="s">
        <v>1946</v>
      </c>
      <c r="F75" s="90"/>
    </row>
    <row r="76" spans="1:6" x14ac:dyDescent="0.25">
      <c r="A76" s="85">
        <v>46140</v>
      </c>
      <c r="B76" s="86" t="s">
        <v>1495</v>
      </c>
      <c r="C76" s="86">
        <v>5450</v>
      </c>
      <c r="D76" s="55" t="s">
        <v>69</v>
      </c>
      <c r="E76" s="87" t="s">
        <v>1946</v>
      </c>
      <c r="F76" s="90"/>
    </row>
    <row r="77" spans="1:6" x14ac:dyDescent="0.25">
      <c r="A77" s="85">
        <v>46140</v>
      </c>
      <c r="B77" s="86" t="s">
        <v>896</v>
      </c>
      <c r="C77" s="86">
        <v>1500</v>
      </c>
      <c r="D77" s="55" t="s">
        <v>1952</v>
      </c>
      <c r="E77" s="87" t="s">
        <v>1946</v>
      </c>
      <c r="F77" s="90"/>
    </row>
    <row r="78" spans="1:6" x14ac:dyDescent="0.25">
      <c r="A78" s="85">
        <v>46140</v>
      </c>
      <c r="B78" s="86" t="s">
        <v>896</v>
      </c>
      <c r="C78" s="86">
        <v>5450</v>
      </c>
      <c r="D78" s="55" t="s">
        <v>69</v>
      </c>
      <c r="E78" s="87" t="s">
        <v>1946</v>
      </c>
      <c r="F78" s="90"/>
    </row>
    <row r="79" spans="1:6" x14ac:dyDescent="0.25">
      <c r="A79" s="85">
        <v>46140</v>
      </c>
      <c r="B79" s="86" t="s">
        <v>1486</v>
      </c>
      <c r="C79" s="86">
        <v>5450</v>
      </c>
      <c r="D79" s="55" t="s">
        <v>69</v>
      </c>
      <c r="E79" s="87" t="s">
        <v>1946</v>
      </c>
      <c r="F79" s="90"/>
    </row>
    <row r="80" spans="1:6" x14ac:dyDescent="0.25">
      <c r="A80" s="85">
        <v>46140</v>
      </c>
      <c r="B80" s="86" t="s">
        <v>901</v>
      </c>
      <c r="C80" s="86">
        <v>5450</v>
      </c>
      <c r="D80" s="55" t="s">
        <v>69</v>
      </c>
      <c r="E80" s="87" t="s">
        <v>1946</v>
      </c>
      <c r="F80" s="90"/>
    </row>
    <row r="81" spans="1:6" x14ac:dyDescent="0.25">
      <c r="A81" s="85">
        <v>46140</v>
      </c>
      <c r="B81" s="86" t="s">
        <v>1498</v>
      </c>
      <c r="C81" s="86">
        <v>3500</v>
      </c>
      <c r="D81" s="55" t="s">
        <v>1955</v>
      </c>
      <c r="E81" s="87" t="s">
        <v>1946</v>
      </c>
      <c r="F81" s="90"/>
    </row>
    <row r="82" spans="1:6" x14ac:dyDescent="0.25">
      <c r="A82" s="85">
        <v>46141</v>
      </c>
      <c r="B82" s="86" t="s">
        <v>1495</v>
      </c>
      <c r="C82" s="86">
        <v>7700</v>
      </c>
      <c r="D82" s="55" t="s">
        <v>106</v>
      </c>
      <c r="E82" s="87" t="s">
        <v>1946</v>
      </c>
      <c r="F82" s="90"/>
    </row>
    <row r="83" spans="1:6" x14ac:dyDescent="0.25">
      <c r="A83" s="85">
        <v>46141</v>
      </c>
      <c r="B83" s="86" t="s">
        <v>896</v>
      </c>
      <c r="C83" s="86">
        <v>7700</v>
      </c>
      <c r="D83" s="55" t="s">
        <v>106</v>
      </c>
      <c r="E83" s="87" t="s">
        <v>1946</v>
      </c>
      <c r="F83" s="90"/>
    </row>
    <row r="84" spans="1:6" x14ac:dyDescent="0.25">
      <c r="A84" s="85">
        <v>46141</v>
      </c>
      <c r="B84" s="86" t="s">
        <v>901</v>
      </c>
      <c r="C84" s="86">
        <v>7700</v>
      </c>
      <c r="D84" s="55" t="s">
        <v>106</v>
      </c>
      <c r="E84" s="87" t="s">
        <v>1946</v>
      </c>
      <c r="F84" s="90"/>
    </row>
    <row r="85" spans="1:6" x14ac:dyDescent="0.25">
      <c r="A85" s="85">
        <v>46141</v>
      </c>
      <c r="B85" s="86" t="s">
        <v>1498</v>
      </c>
      <c r="C85" s="86">
        <v>7700</v>
      </c>
      <c r="D85" s="55" t="s">
        <v>106</v>
      </c>
      <c r="E85" s="87" t="s">
        <v>1946</v>
      </c>
      <c r="F85" s="90"/>
    </row>
    <row r="86" spans="1:6" x14ac:dyDescent="0.25">
      <c r="A86" s="85">
        <v>46142</v>
      </c>
      <c r="B86" s="86" t="s">
        <v>1486</v>
      </c>
      <c r="C86" s="86">
        <v>2000</v>
      </c>
      <c r="D86" s="55" t="s">
        <v>1962</v>
      </c>
      <c r="E86" s="87" t="s">
        <v>1946</v>
      </c>
      <c r="F86" s="90"/>
    </row>
    <row r="87" spans="1:6" x14ac:dyDescent="0.25">
      <c r="A87" s="85">
        <v>46142</v>
      </c>
      <c r="B87" s="86" t="s">
        <v>1498</v>
      </c>
      <c r="C87" s="86">
        <v>1500</v>
      </c>
      <c r="D87" s="55" t="s">
        <v>1952</v>
      </c>
      <c r="E87" s="87" t="s">
        <v>1946</v>
      </c>
      <c r="F87" s="90"/>
    </row>
    <row r="88" spans="1:6" x14ac:dyDescent="0.25">
      <c r="A88" s="85">
        <v>46142</v>
      </c>
      <c r="B88" s="86" t="s">
        <v>1498</v>
      </c>
      <c r="C88" s="86">
        <v>4950</v>
      </c>
      <c r="D88" s="88" t="s">
        <v>1965</v>
      </c>
      <c r="E88" s="87" t="s">
        <v>1946</v>
      </c>
      <c r="F88" s="90"/>
    </row>
    <row r="89" spans="1:6" x14ac:dyDescent="0.25">
      <c r="A89" s="85">
        <v>46142</v>
      </c>
      <c r="B89" s="86" t="s">
        <v>896</v>
      </c>
      <c r="C89" s="86">
        <v>2800</v>
      </c>
      <c r="D89" s="55" t="s">
        <v>218</v>
      </c>
      <c r="E89" s="87" t="s">
        <v>1946</v>
      </c>
      <c r="F89" s="90"/>
    </row>
    <row r="90" spans="1:6" x14ac:dyDescent="0.25">
      <c r="A90" s="85">
        <v>46142</v>
      </c>
      <c r="B90" s="86" t="s">
        <v>896</v>
      </c>
      <c r="C90" s="86">
        <v>1500</v>
      </c>
      <c r="D90" s="55" t="s">
        <v>1952</v>
      </c>
      <c r="E90" s="87" t="s">
        <v>1946</v>
      </c>
      <c r="F90" s="90"/>
    </row>
    <row r="91" spans="1:6" x14ac:dyDescent="0.25">
      <c r="A91" s="85">
        <v>46142</v>
      </c>
      <c r="B91" s="86" t="s">
        <v>896</v>
      </c>
      <c r="C91" s="86">
        <v>5000</v>
      </c>
      <c r="D91" s="55" t="s">
        <v>1957</v>
      </c>
      <c r="E91" s="87" t="s">
        <v>1946</v>
      </c>
      <c r="F91" s="90"/>
    </row>
    <row r="92" spans="1:6" x14ac:dyDescent="0.25">
      <c r="A92" s="85">
        <v>46142</v>
      </c>
      <c r="B92" s="86" t="s">
        <v>1495</v>
      </c>
      <c r="C92" s="86">
        <v>2800</v>
      </c>
      <c r="D92" s="55" t="s">
        <v>218</v>
      </c>
      <c r="E92" s="87" t="s">
        <v>1946</v>
      </c>
      <c r="F92" s="90"/>
    </row>
    <row r="93" spans="1:6" x14ac:dyDescent="0.25">
      <c r="A93" s="85">
        <v>46142</v>
      </c>
      <c r="B93" s="86" t="s">
        <v>1495</v>
      </c>
      <c r="C93" s="86">
        <v>1900</v>
      </c>
      <c r="D93" s="55" t="s">
        <v>1952</v>
      </c>
      <c r="E93" s="87" t="s">
        <v>1946</v>
      </c>
      <c r="F93" s="90"/>
    </row>
    <row r="94" spans="1:6" x14ac:dyDescent="0.25">
      <c r="A94" s="85">
        <v>46142</v>
      </c>
      <c r="B94" s="86" t="s">
        <v>901</v>
      </c>
      <c r="C94" s="86">
        <v>2800</v>
      </c>
      <c r="D94" s="55" t="s">
        <v>218</v>
      </c>
      <c r="E94" s="87" t="s">
        <v>1946</v>
      </c>
      <c r="F94" s="90"/>
    </row>
    <row r="95" spans="1:6" x14ac:dyDescent="0.25">
      <c r="A95" s="85">
        <v>46142</v>
      </c>
      <c r="B95" s="86" t="s">
        <v>1498</v>
      </c>
      <c r="C95" s="86">
        <v>2800</v>
      </c>
      <c r="D95" s="55" t="s">
        <v>218</v>
      </c>
      <c r="E95" s="87" t="s">
        <v>1946</v>
      </c>
      <c r="F95" s="90"/>
    </row>
    <row r="96" spans="1:6" x14ac:dyDescent="0.25">
      <c r="A96" s="85">
        <v>46143</v>
      </c>
      <c r="B96" s="86" t="s">
        <v>1520</v>
      </c>
      <c r="C96" s="86">
        <v>5000</v>
      </c>
      <c r="D96" s="55" t="s">
        <v>1966</v>
      </c>
      <c r="E96" s="87" t="s">
        <v>1946</v>
      </c>
      <c r="F96" s="90"/>
    </row>
    <row r="97" spans="1:6" x14ac:dyDescent="0.25">
      <c r="A97" s="85">
        <v>46144</v>
      </c>
      <c r="B97" s="86" t="s">
        <v>1778</v>
      </c>
      <c r="C97" s="86">
        <v>3500</v>
      </c>
      <c r="D97" s="55" t="s">
        <v>1955</v>
      </c>
      <c r="E97" s="87" t="s">
        <v>1946</v>
      </c>
      <c r="F97" s="90"/>
    </row>
    <row r="98" spans="1:6" x14ac:dyDescent="0.25">
      <c r="A98" s="85">
        <v>46144</v>
      </c>
      <c r="B98" s="86" t="s">
        <v>1520</v>
      </c>
      <c r="C98" s="86">
        <v>5450</v>
      </c>
      <c r="D98" s="55" t="s">
        <v>69</v>
      </c>
      <c r="E98" s="87" t="s">
        <v>1946</v>
      </c>
      <c r="F98" s="90"/>
    </row>
    <row r="99" spans="1:6" x14ac:dyDescent="0.25">
      <c r="A99" s="85">
        <v>46144</v>
      </c>
      <c r="B99" s="86" t="s">
        <v>896</v>
      </c>
      <c r="C99" s="86">
        <v>5450</v>
      </c>
      <c r="D99" s="55" t="s">
        <v>69</v>
      </c>
      <c r="E99" s="87" t="s">
        <v>1946</v>
      </c>
      <c r="F99" s="90"/>
    </row>
    <row r="100" spans="1:6" x14ac:dyDescent="0.25">
      <c r="A100" s="85">
        <v>46144</v>
      </c>
      <c r="B100" s="86" t="s">
        <v>1495</v>
      </c>
      <c r="C100" s="86">
        <v>5200</v>
      </c>
      <c r="D100" s="88" t="s">
        <v>35</v>
      </c>
      <c r="E100" s="87" t="s">
        <v>1946</v>
      </c>
      <c r="F100" s="90"/>
    </row>
    <row r="101" spans="1:6" x14ac:dyDescent="0.25">
      <c r="A101" s="85">
        <v>46144</v>
      </c>
      <c r="B101" s="86" t="s">
        <v>1498</v>
      </c>
      <c r="C101" s="86">
        <v>5500</v>
      </c>
      <c r="D101" s="88" t="s">
        <v>107</v>
      </c>
      <c r="E101" s="87" t="s">
        <v>1946</v>
      </c>
      <c r="F101" s="90"/>
    </row>
    <row r="102" spans="1:6" x14ac:dyDescent="0.25">
      <c r="A102" s="85">
        <v>46144</v>
      </c>
      <c r="B102" s="86" t="s">
        <v>1484</v>
      </c>
      <c r="C102" s="86">
        <v>1000</v>
      </c>
      <c r="D102" s="88" t="s">
        <v>1968</v>
      </c>
      <c r="E102" s="87" t="s">
        <v>1946</v>
      </c>
      <c r="F102" s="90"/>
    </row>
    <row r="103" spans="1:6" x14ac:dyDescent="0.25">
      <c r="A103" s="85">
        <v>46145</v>
      </c>
      <c r="B103" s="86" t="s">
        <v>1484</v>
      </c>
      <c r="C103" s="86">
        <v>1000</v>
      </c>
      <c r="D103" s="88" t="s">
        <v>1969</v>
      </c>
      <c r="E103" s="87" t="s">
        <v>1946</v>
      </c>
      <c r="F103" s="90"/>
    </row>
    <row r="104" spans="1:6" x14ac:dyDescent="0.25">
      <c r="A104" s="85">
        <v>46145</v>
      </c>
      <c r="B104" s="86" t="s">
        <v>904</v>
      </c>
      <c r="C104" s="86">
        <v>3500</v>
      </c>
      <c r="D104" s="55" t="s">
        <v>1955</v>
      </c>
      <c r="E104" s="87" t="s">
        <v>1946</v>
      </c>
      <c r="F104" s="90"/>
    </row>
    <row r="105" spans="1:6" x14ac:dyDescent="0.25">
      <c r="A105" s="85">
        <v>46146</v>
      </c>
      <c r="B105" s="86" t="s">
        <v>904</v>
      </c>
      <c r="C105" s="86">
        <v>5200</v>
      </c>
      <c r="D105" s="88" t="s">
        <v>35</v>
      </c>
      <c r="E105" s="87" t="s">
        <v>1946</v>
      </c>
      <c r="F105" s="90"/>
    </row>
    <row r="106" spans="1:6" x14ac:dyDescent="0.25">
      <c r="A106" s="85">
        <v>46146</v>
      </c>
      <c r="B106" s="86" t="s">
        <v>1778</v>
      </c>
      <c r="C106" s="86">
        <v>7700</v>
      </c>
      <c r="D106" s="88" t="s">
        <v>106</v>
      </c>
      <c r="E106" s="87" t="s">
        <v>1946</v>
      </c>
      <c r="F106" s="90"/>
    </row>
    <row r="107" spans="1:6" x14ac:dyDescent="0.25">
      <c r="A107" s="85">
        <v>46146</v>
      </c>
      <c r="B107" s="86" t="s">
        <v>1495</v>
      </c>
      <c r="C107" s="86">
        <v>5500</v>
      </c>
      <c r="D107" s="88" t="s">
        <v>107</v>
      </c>
      <c r="E107" s="87" t="s">
        <v>1946</v>
      </c>
      <c r="F107" s="90"/>
    </row>
    <row r="108" spans="1:6" x14ac:dyDescent="0.25">
      <c r="A108" s="85">
        <v>46146</v>
      </c>
      <c r="B108" s="86" t="s">
        <v>896</v>
      </c>
      <c r="C108" s="86">
        <v>7700</v>
      </c>
      <c r="D108" s="88" t="s">
        <v>106</v>
      </c>
      <c r="E108" s="87" t="s">
        <v>1946</v>
      </c>
      <c r="F108" s="90"/>
    </row>
    <row r="109" spans="1:6" x14ac:dyDescent="0.25">
      <c r="A109" s="85">
        <v>46146</v>
      </c>
      <c r="B109" s="86" t="s">
        <v>1520</v>
      </c>
      <c r="C109" s="86">
        <v>7700</v>
      </c>
      <c r="D109" s="88" t="s">
        <v>106</v>
      </c>
      <c r="E109" s="87" t="s">
        <v>1946</v>
      </c>
      <c r="F109" s="90"/>
    </row>
    <row r="110" spans="1:6" x14ac:dyDescent="0.25">
      <c r="A110" s="85">
        <v>46146</v>
      </c>
      <c r="B110" s="86" t="s">
        <v>1484</v>
      </c>
      <c r="C110" s="86">
        <v>1500</v>
      </c>
      <c r="D110" s="55" t="s">
        <v>1970</v>
      </c>
      <c r="E110" s="87" t="s">
        <v>1946</v>
      </c>
      <c r="F110" s="90"/>
    </row>
    <row r="111" spans="1:6" x14ac:dyDescent="0.25">
      <c r="A111" s="85">
        <v>46146</v>
      </c>
      <c r="B111" s="86" t="s">
        <v>76</v>
      </c>
      <c r="C111" s="86">
        <v>3500</v>
      </c>
      <c r="D111" s="88" t="s">
        <v>1955</v>
      </c>
      <c r="E111" s="87" t="s">
        <v>1946</v>
      </c>
      <c r="F111" s="90"/>
    </row>
    <row r="112" spans="1:6" x14ac:dyDescent="0.25">
      <c r="A112" s="85">
        <v>46147</v>
      </c>
      <c r="B112" s="86" t="s">
        <v>1498</v>
      </c>
      <c r="C112" s="86">
        <v>5450</v>
      </c>
      <c r="D112" s="88" t="s">
        <v>69</v>
      </c>
      <c r="E112" s="87" t="s">
        <v>1946</v>
      </c>
      <c r="F112" s="90"/>
    </row>
    <row r="113" spans="1:6" x14ac:dyDescent="0.25">
      <c r="A113" s="85">
        <v>46147</v>
      </c>
      <c r="B113" s="86" t="s">
        <v>76</v>
      </c>
      <c r="C113" s="86">
        <v>1000</v>
      </c>
      <c r="D113" s="88" t="s">
        <v>1951</v>
      </c>
      <c r="E113" s="87" t="s">
        <v>1946</v>
      </c>
      <c r="F113" s="90"/>
    </row>
    <row r="114" spans="1:6" x14ac:dyDescent="0.25">
      <c r="A114" s="85">
        <v>46147</v>
      </c>
      <c r="B114" s="86" t="s">
        <v>1520</v>
      </c>
      <c r="C114" s="86">
        <v>1500</v>
      </c>
      <c r="D114" s="55" t="s">
        <v>1952</v>
      </c>
      <c r="E114" s="87" t="s">
        <v>1946</v>
      </c>
      <c r="F114" s="90"/>
    </row>
    <row r="115" spans="1:6" x14ac:dyDescent="0.25">
      <c r="A115" s="85">
        <v>46147</v>
      </c>
      <c r="B115" s="86" t="s">
        <v>1498</v>
      </c>
      <c r="C115" s="86">
        <v>5450</v>
      </c>
      <c r="D115" s="88" t="s">
        <v>69</v>
      </c>
      <c r="E115" s="87" t="s">
        <v>1946</v>
      </c>
      <c r="F115" s="90"/>
    </row>
    <row r="116" spans="1:6" x14ac:dyDescent="0.25">
      <c r="A116" s="85">
        <v>46147</v>
      </c>
      <c r="B116" s="86" t="s">
        <v>896</v>
      </c>
      <c r="C116" s="86">
        <v>5450</v>
      </c>
      <c r="D116" s="88" t="s">
        <v>69</v>
      </c>
      <c r="E116" s="87" t="s">
        <v>1946</v>
      </c>
      <c r="F116" s="90"/>
    </row>
    <row r="117" spans="1:6" x14ac:dyDescent="0.25">
      <c r="A117" s="85">
        <v>46147</v>
      </c>
      <c r="B117" s="86" t="s">
        <v>1520</v>
      </c>
      <c r="C117" s="86">
        <v>5450</v>
      </c>
      <c r="D117" s="88" t="s">
        <v>69</v>
      </c>
      <c r="E117" s="87" t="s">
        <v>1946</v>
      </c>
      <c r="F117" s="90"/>
    </row>
    <row r="118" spans="1:6" x14ac:dyDescent="0.25">
      <c r="A118" s="85">
        <v>46147</v>
      </c>
      <c r="B118" s="86" t="s">
        <v>904</v>
      </c>
      <c r="C118" s="86">
        <v>5500</v>
      </c>
      <c r="D118" s="88" t="s">
        <v>106</v>
      </c>
      <c r="E118" s="87" t="s">
        <v>1946</v>
      </c>
      <c r="F118" s="90"/>
    </row>
    <row r="119" spans="1:6" x14ac:dyDescent="0.25">
      <c r="A119" s="85">
        <v>46147</v>
      </c>
      <c r="B119" s="86" t="s">
        <v>1495</v>
      </c>
      <c r="C119" s="86">
        <v>7700</v>
      </c>
      <c r="D119" s="88" t="s">
        <v>106</v>
      </c>
      <c r="E119" s="87" t="s">
        <v>1946</v>
      </c>
      <c r="F119" s="90"/>
    </row>
    <row r="120" spans="1:6" x14ac:dyDescent="0.25">
      <c r="A120" s="85">
        <v>46147</v>
      </c>
      <c r="B120" s="86" t="s">
        <v>76</v>
      </c>
      <c r="C120" s="86">
        <v>7700</v>
      </c>
      <c r="D120" s="88" t="s">
        <v>106</v>
      </c>
      <c r="E120" s="87" t="s">
        <v>1946</v>
      </c>
      <c r="F120" s="90"/>
    </row>
    <row r="121" spans="1:6" x14ac:dyDescent="0.25">
      <c r="A121" s="85">
        <v>46147</v>
      </c>
      <c r="B121" s="86" t="s">
        <v>1778</v>
      </c>
      <c r="C121" s="86">
        <v>7700</v>
      </c>
      <c r="D121" s="88" t="s">
        <v>106</v>
      </c>
      <c r="E121" s="87" t="s">
        <v>1946</v>
      </c>
      <c r="F121" s="90"/>
    </row>
    <row r="122" spans="1:6" x14ac:dyDescent="0.25">
      <c r="A122" s="85">
        <v>46148</v>
      </c>
      <c r="B122" s="86" t="s">
        <v>76</v>
      </c>
      <c r="C122" s="86">
        <v>1500</v>
      </c>
      <c r="D122" s="55" t="s">
        <v>1952</v>
      </c>
      <c r="E122" s="87" t="s">
        <v>1946</v>
      </c>
      <c r="F122" s="90"/>
    </row>
    <row r="123" spans="1:6" x14ac:dyDescent="0.25">
      <c r="A123" s="85">
        <v>46148</v>
      </c>
      <c r="B123" s="86" t="s">
        <v>904</v>
      </c>
      <c r="C123" s="86">
        <v>5450</v>
      </c>
      <c r="D123" s="88" t="s">
        <v>69</v>
      </c>
      <c r="E123" s="87" t="s">
        <v>1946</v>
      </c>
      <c r="F123" s="90"/>
    </row>
    <row r="124" spans="1:6" x14ac:dyDescent="0.25">
      <c r="A124" s="85">
        <v>46148</v>
      </c>
      <c r="B124" s="86" t="s">
        <v>1495</v>
      </c>
      <c r="C124" s="86">
        <v>5450</v>
      </c>
      <c r="D124" s="88" t="s">
        <v>69</v>
      </c>
      <c r="E124" s="87" t="s">
        <v>1946</v>
      </c>
      <c r="F124" s="90"/>
    </row>
    <row r="125" spans="1:6" x14ac:dyDescent="0.25">
      <c r="A125" s="85">
        <v>46148</v>
      </c>
      <c r="B125" s="86" t="s">
        <v>1778</v>
      </c>
      <c r="C125" s="86">
        <v>5450</v>
      </c>
      <c r="D125" s="88" t="s">
        <v>69</v>
      </c>
      <c r="E125" s="87" t="s">
        <v>1946</v>
      </c>
      <c r="F125" s="90"/>
    </row>
    <row r="126" spans="1:6" x14ac:dyDescent="0.25">
      <c r="A126" s="85">
        <v>46148</v>
      </c>
      <c r="B126" s="86" t="s">
        <v>1520</v>
      </c>
      <c r="C126" s="86">
        <v>5450</v>
      </c>
      <c r="D126" s="88" t="s">
        <v>69</v>
      </c>
      <c r="E126" s="87" t="s">
        <v>1946</v>
      </c>
      <c r="F126" s="90"/>
    </row>
    <row r="127" spans="1:6" x14ac:dyDescent="0.25">
      <c r="A127" s="85">
        <v>46148</v>
      </c>
      <c r="B127" s="86" t="s">
        <v>1498</v>
      </c>
      <c r="C127" s="86">
        <v>4950</v>
      </c>
      <c r="D127" s="55" t="s">
        <v>139</v>
      </c>
      <c r="E127" s="87" t="s">
        <v>1946</v>
      </c>
      <c r="F127" s="90"/>
    </row>
    <row r="128" spans="1:6" x14ac:dyDescent="0.25">
      <c r="A128" s="85">
        <v>46148</v>
      </c>
      <c r="B128" s="86" t="s">
        <v>896</v>
      </c>
      <c r="C128" s="86">
        <v>7500</v>
      </c>
      <c r="D128" s="88" t="s">
        <v>1960</v>
      </c>
      <c r="E128" s="87" t="s">
        <v>1946</v>
      </c>
      <c r="F128" s="90"/>
    </row>
    <row r="129" spans="1:6" x14ac:dyDescent="0.25">
      <c r="A129" s="85">
        <v>46148</v>
      </c>
      <c r="B129" s="86" t="s">
        <v>59</v>
      </c>
      <c r="C129" s="86">
        <v>5900</v>
      </c>
      <c r="D129" s="88" t="s">
        <v>1964</v>
      </c>
      <c r="E129" s="87" t="s">
        <v>1946</v>
      </c>
      <c r="F129" s="90"/>
    </row>
    <row r="130" spans="1:6" x14ac:dyDescent="0.25">
      <c r="A130" s="85">
        <v>46148</v>
      </c>
      <c r="B130" s="86" t="s">
        <v>76</v>
      </c>
      <c r="C130" s="86">
        <v>5200</v>
      </c>
      <c r="D130" s="88" t="s">
        <v>35</v>
      </c>
      <c r="E130" s="87" t="s">
        <v>1946</v>
      </c>
      <c r="F130" s="90"/>
    </row>
    <row r="131" spans="1:6" x14ac:dyDescent="0.25">
      <c r="A131" s="85">
        <v>46149</v>
      </c>
      <c r="B131" s="86" t="s">
        <v>1520</v>
      </c>
      <c r="C131" s="86">
        <v>1500</v>
      </c>
      <c r="D131" s="55" t="s">
        <v>1952</v>
      </c>
      <c r="E131" s="87" t="s">
        <v>1946</v>
      </c>
      <c r="F131" s="90"/>
    </row>
    <row r="132" spans="1:6" x14ac:dyDescent="0.25">
      <c r="A132" s="85">
        <v>46149</v>
      </c>
      <c r="B132" s="86" t="s">
        <v>904</v>
      </c>
      <c r="C132" s="86">
        <v>5450</v>
      </c>
      <c r="D132" s="88" t="s">
        <v>69</v>
      </c>
      <c r="E132" s="87" t="s">
        <v>1946</v>
      </c>
      <c r="F132" s="90"/>
    </row>
    <row r="133" spans="1:6" x14ac:dyDescent="0.25">
      <c r="A133" s="85">
        <v>46149</v>
      </c>
      <c r="B133" s="86" t="s">
        <v>1498</v>
      </c>
      <c r="C133" s="86">
        <v>3750</v>
      </c>
      <c r="D133" s="88" t="s">
        <v>1972</v>
      </c>
      <c r="E133" s="87" t="s">
        <v>1946</v>
      </c>
      <c r="F133" s="90"/>
    </row>
    <row r="134" spans="1:6" x14ac:dyDescent="0.25">
      <c r="A134" s="85">
        <v>46149</v>
      </c>
      <c r="B134" s="86" t="s">
        <v>1486</v>
      </c>
      <c r="C134" s="86">
        <v>7700</v>
      </c>
      <c r="D134" s="88" t="s">
        <v>1971</v>
      </c>
      <c r="E134" s="87" t="s">
        <v>1946</v>
      </c>
      <c r="F134" s="90"/>
    </row>
    <row r="135" spans="1:6" x14ac:dyDescent="0.25">
      <c r="A135" s="85">
        <v>46149</v>
      </c>
      <c r="B135" s="86" t="s">
        <v>1520</v>
      </c>
      <c r="C135" s="86">
        <v>5200</v>
      </c>
      <c r="D135" s="88" t="s">
        <v>35</v>
      </c>
      <c r="E135" s="87" t="s">
        <v>1946</v>
      </c>
      <c r="F135" s="90"/>
    </row>
    <row r="136" spans="1:6" x14ac:dyDescent="0.25">
      <c r="A136" s="85">
        <v>46150</v>
      </c>
      <c r="B136" s="86" t="s">
        <v>1486</v>
      </c>
      <c r="C136" s="86">
        <v>1000</v>
      </c>
      <c r="D136" s="88" t="s">
        <v>1951</v>
      </c>
      <c r="E136" s="87" t="s">
        <v>1946</v>
      </c>
      <c r="F136" s="90"/>
    </row>
    <row r="137" spans="1:6" x14ac:dyDescent="0.25">
      <c r="A137" s="85">
        <v>46150</v>
      </c>
      <c r="B137" s="86" t="s">
        <v>59</v>
      </c>
      <c r="C137" s="86">
        <v>1000</v>
      </c>
      <c r="D137" s="55" t="s">
        <v>1950</v>
      </c>
      <c r="E137" s="87" t="s">
        <v>1946</v>
      </c>
      <c r="F137" s="90"/>
    </row>
    <row r="138" spans="1:6" x14ac:dyDescent="0.25">
      <c r="A138" s="85">
        <v>46150</v>
      </c>
      <c r="B138" s="86" t="s">
        <v>1484</v>
      </c>
      <c r="C138" s="86">
        <v>1000</v>
      </c>
      <c r="D138" s="88" t="s">
        <v>1951</v>
      </c>
      <c r="E138" s="87" t="s">
        <v>1946</v>
      </c>
      <c r="F138" s="90"/>
    </row>
    <row r="139" spans="1:6" x14ac:dyDescent="0.25">
      <c r="A139" s="85">
        <v>46150</v>
      </c>
      <c r="B139" s="86" t="s">
        <v>1498</v>
      </c>
      <c r="C139" s="86">
        <v>4950</v>
      </c>
      <c r="D139" s="55" t="s">
        <v>139</v>
      </c>
      <c r="E139" s="87" t="s">
        <v>1946</v>
      </c>
      <c r="F139" s="90"/>
    </row>
    <row r="140" spans="1:6" x14ac:dyDescent="0.25">
      <c r="A140" s="85">
        <v>46150</v>
      </c>
      <c r="B140" s="86" t="s">
        <v>1495</v>
      </c>
      <c r="C140" s="86">
        <v>1900</v>
      </c>
      <c r="D140" s="55" t="s">
        <v>1952</v>
      </c>
      <c r="E140" s="87" t="s">
        <v>1946</v>
      </c>
      <c r="F140" s="90"/>
    </row>
    <row r="141" spans="1:6" x14ac:dyDescent="0.25">
      <c r="A141" s="85">
        <v>46150</v>
      </c>
      <c r="B141" s="86" t="s">
        <v>1495</v>
      </c>
      <c r="C141" s="86">
        <v>2000</v>
      </c>
      <c r="D141" s="88" t="s">
        <v>1973</v>
      </c>
      <c r="E141" s="87" t="s">
        <v>1946</v>
      </c>
      <c r="F141" s="90"/>
    </row>
    <row r="142" spans="1:6" x14ac:dyDescent="0.25">
      <c r="A142" s="85">
        <v>46150</v>
      </c>
      <c r="B142" s="86" t="s">
        <v>1778</v>
      </c>
      <c r="C142" s="86">
        <v>1500</v>
      </c>
      <c r="D142" s="55" t="s">
        <v>1952</v>
      </c>
      <c r="E142" s="87" t="s">
        <v>1946</v>
      </c>
      <c r="F142" s="90"/>
    </row>
    <row r="143" spans="1:6" x14ac:dyDescent="0.25">
      <c r="A143" s="85">
        <v>46150</v>
      </c>
      <c r="B143" s="86" t="s">
        <v>1778</v>
      </c>
      <c r="C143" s="86">
        <v>5200</v>
      </c>
      <c r="D143" s="88" t="s">
        <v>35</v>
      </c>
      <c r="E143" s="87" t="s">
        <v>1946</v>
      </c>
      <c r="F143" s="90"/>
    </row>
    <row r="144" spans="1:6" x14ac:dyDescent="0.25">
      <c r="A144" s="85">
        <v>46151</v>
      </c>
      <c r="B144" s="86" t="s">
        <v>1484</v>
      </c>
      <c r="C144" s="86">
        <v>1000</v>
      </c>
      <c r="D144" s="88" t="s">
        <v>1951</v>
      </c>
      <c r="E144" s="87" t="s">
        <v>1946</v>
      </c>
      <c r="F144" s="90"/>
    </row>
    <row r="145" spans="1:6" x14ac:dyDescent="0.25">
      <c r="A145" s="85">
        <v>46151</v>
      </c>
      <c r="B145" s="86" t="s">
        <v>904</v>
      </c>
      <c r="C145" s="86">
        <v>5200</v>
      </c>
      <c r="D145" s="88" t="s">
        <v>35</v>
      </c>
      <c r="E145" s="87" t="s">
        <v>1946</v>
      </c>
      <c r="F145" s="90"/>
    </row>
    <row r="146" spans="1:6" x14ac:dyDescent="0.25">
      <c r="A146" s="85">
        <v>46151</v>
      </c>
      <c r="B146" s="86" t="s">
        <v>896</v>
      </c>
      <c r="C146" s="86">
        <v>1000</v>
      </c>
      <c r="D146" s="55" t="s">
        <v>1950</v>
      </c>
      <c r="E146" s="87" t="s">
        <v>1946</v>
      </c>
      <c r="F146" s="90"/>
    </row>
    <row r="147" spans="1:6" x14ac:dyDescent="0.25">
      <c r="A147" s="85">
        <v>46151</v>
      </c>
      <c r="B147" s="86" t="s">
        <v>904</v>
      </c>
      <c r="C147" s="86">
        <v>700</v>
      </c>
      <c r="D147" s="88" t="s">
        <v>1969</v>
      </c>
      <c r="E147" s="87" t="s">
        <v>1946</v>
      </c>
      <c r="F147" s="90"/>
    </row>
    <row r="148" spans="1:6" x14ac:dyDescent="0.25">
      <c r="A148" s="85">
        <v>46151</v>
      </c>
      <c r="B148" s="86" t="s">
        <v>1486</v>
      </c>
      <c r="C148" s="86">
        <v>5450</v>
      </c>
      <c r="D148" s="88" t="s">
        <v>69</v>
      </c>
      <c r="E148" s="87" t="s">
        <v>1946</v>
      </c>
      <c r="F148" s="90"/>
    </row>
    <row r="149" spans="1:6" x14ac:dyDescent="0.25">
      <c r="A149" s="85">
        <v>46151</v>
      </c>
      <c r="B149" s="86" t="s">
        <v>76</v>
      </c>
      <c r="C149" s="86">
        <v>3950</v>
      </c>
      <c r="D149" s="88" t="s">
        <v>1972</v>
      </c>
      <c r="E149" s="87" t="s">
        <v>1946</v>
      </c>
      <c r="F149" s="90"/>
    </row>
    <row r="150" spans="1:6" x14ac:dyDescent="0.25">
      <c r="A150" s="85">
        <v>46151</v>
      </c>
      <c r="B150" s="86" t="s">
        <v>1495</v>
      </c>
      <c r="C150" s="86">
        <v>5450</v>
      </c>
      <c r="D150" s="88" t="s">
        <v>69</v>
      </c>
      <c r="E150" s="87" t="s">
        <v>1946</v>
      </c>
      <c r="F150" s="90"/>
    </row>
    <row r="151" spans="1:6" x14ac:dyDescent="0.25">
      <c r="A151" s="85">
        <v>46151</v>
      </c>
      <c r="B151" s="86" t="s">
        <v>1778</v>
      </c>
      <c r="C151" s="86">
        <f>5450-4800</f>
        <v>650</v>
      </c>
      <c r="D151" s="88" t="s">
        <v>69</v>
      </c>
      <c r="E151" s="87" t="s">
        <v>1946</v>
      </c>
      <c r="F151" s="90"/>
    </row>
    <row r="152" spans="1:6" x14ac:dyDescent="0.25">
      <c r="A152" s="85">
        <v>46151</v>
      </c>
      <c r="B152" s="86" t="s">
        <v>1520</v>
      </c>
      <c r="C152" s="86">
        <v>3950</v>
      </c>
      <c r="D152" s="88" t="s">
        <v>1972</v>
      </c>
      <c r="E152" s="87" t="s">
        <v>1946</v>
      </c>
      <c r="F152" s="90"/>
    </row>
    <row r="153" spans="1:6" x14ac:dyDescent="0.25">
      <c r="A153" s="85">
        <v>46151</v>
      </c>
      <c r="B153" s="86" t="s">
        <v>1484</v>
      </c>
      <c r="C153" s="86">
        <v>6100</v>
      </c>
      <c r="D153" s="88" t="s">
        <v>1964</v>
      </c>
      <c r="E153" s="87" t="s">
        <v>1946</v>
      </c>
      <c r="F153" s="90"/>
    </row>
    <row r="154" spans="1:6" x14ac:dyDescent="0.25">
      <c r="A154" s="85">
        <v>46151</v>
      </c>
      <c r="B154" s="86" t="s">
        <v>59</v>
      </c>
      <c r="C154" s="86">
        <v>4500</v>
      </c>
      <c r="D154" s="88" t="s">
        <v>1961</v>
      </c>
      <c r="E154" s="87" t="s">
        <v>1946</v>
      </c>
      <c r="F154" s="90"/>
    </row>
    <row r="155" spans="1:6" x14ac:dyDescent="0.25">
      <c r="A155" s="85">
        <v>46153</v>
      </c>
      <c r="B155" s="86" t="s">
        <v>1498</v>
      </c>
      <c r="C155" s="86">
        <v>5200</v>
      </c>
      <c r="D155" s="88" t="s">
        <v>35</v>
      </c>
      <c r="E155" s="87" t="s">
        <v>1946</v>
      </c>
      <c r="F155" s="90"/>
    </row>
    <row r="156" spans="1:6" x14ac:dyDescent="0.25">
      <c r="A156" s="85">
        <v>46153</v>
      </c>
      <c r="B156" s="86" t="s">
        <v>1484</v>
      </c>
      <c r="C156" s="86">
        <v>1000</v>
      </c>
      <c r="D156" s="88" t="s">
        <v>1951</v>
      </c>
      <c r="E156" s="87" t="s">
        <v>1946</v>
      </c>
      <c r="F156" s="90"/>
    </row>
    <row r="157" spans="1:6" x14ac:dyDescent="0.25">
      <c r="A157" s="85">
        <v>46153</v>
      </c>
      <c r="B157" s="86" t="s">
        <v>1484</v>
      </c>
      <c r="C157" s="86">
        <v>700</v>
      </c>
      <c r="D157" s="88" t="s">
        <v>1951</v>
      </c>
      <c r="E157" s="87" t="s">
        <v>1946</v>
      </c>
      <c r="F157" s="90"/>
    </row>
    <row r="158" spans="1:6" x14ac:dyDescent="0.25">
      <c r="A158" s="85">
        <v>46153</v>
      </c>
      <c r="B158" s="86" t="s">
        <v>896</v>
      </c>
      <c r="C158" s="86">
        <v>5450</v>
      </c>
      <c r="D158" s="88" t="s">
        <v>69</v>
      </c>
      <c r="E158" s="87" t="s">
        <v>1946</v>
      </c>
      <c r="F158" s="90"/>
    </row>
    <row r="159" spans="1:6" x14ac:dyDescent="0.25">
      <c r="A159" s="85">
        <v>46153</v>
      </c>
      <c r="B159" s="86" t="s">
        <v>904</v>
      </c>
      <c r="C159" s="86">
        <v>3950</v>
      </c>
      <c r="D159" s="88" t="s">
        <v>1972</v>
      </c>
      <c r="E159" s="87" t="s">
        <v>1946</v>
      </c>
      <c r="F159" s="90"/>
    </row>
    <row r="160" spans="1:6" x14ac:dyDescent="0.25">
      <c r="A160" s="85">
        <v>46153</v>
      </c>
      <c r="B160" s="86" t="s">
        <v>59</v>
      </c>
      <c r="C160" s="86">
        <v>1000</v>
      </c>
      <c r="D160" s="55" t="s">
        <v>1950</v>
      </c>
      <c r="E160" s="87" t="s">
        <v>1946</v>
      </c>
      <c r="F160" s="90"/>
    </row>
    <row r="161" spans="1:6" x14ac:dyDescent="0.25">
      <c r="A161" s="85">
        <v>46154</v>
      </c>
      <c r="B161" s="86" t="s">
        <v>1486</v>
      </c>
      <c r="C161" s="86">
        <v>5450</v>
      </c>
      <c r="D161" s="88" t="s">
        <v>69</v>
      </c>
      <c r="E161" s="87" t="s">
        <v>1946</v>
      </c>
      <c r="F161" s="90"/>
    </row>
    <row r="162" spans="1:6" x14ac:dyDescent="0.25">
      <c r="A162" s="85">
        <v>46154</v>
      </c>
      <c r="B162" s="86" t="s">
        <v>76</v>
      </c>
      <c r="C162" s="86">
        <v>5450</v>
      </c>
      <c r="D162" s="88" t="s">
        <v>69</v>
      </c>
      <c r="E162" s="87" t="s">
        <v>1946</v>
      </c>
      <c r="F162" s="90"/>
    </row>
    <row r="163" spans="1:6" x14ac:dyDescent="0.25">
      <c r="A163" s="85">
        <v>46154</v>
      </c>
      <c r="B163" s="86" t="s">
        <v>1520</v>
      </c>
      <c r="C163" s="86">
        <v>5450</v>
      </c>
      <c r="D163" s="88" t="s">
        <v>69</v>
      </c>
      <c r="E163" s="87" t="s">
        <v>1946</v>
      </c>
      <c r="F163" s="90"/>
    </row>
    <row r="164" spans="1:6" x14ac:dyDescent="0.25">
      <c r="A164" s="85">
        <v>46154</v>
      </c>
      <c r="B164" s="86" t="s">
        <v>1495</v>
      </c>
      <c r="C164" s="86">
        <v>1900</v>
      </c>
      <c r="D164" s="55" t="s">
        <v>1952</v>
      </c>
      <c r="E164" s="87" t="s">
        <v>1946</v>
      </c>
      <c r="F164" s="90"/>
    </row>
    <row r="165" spans="1:6" x14ac:dyDescent="0.25">
      <c r="A165" s="85">
        <v>46154</v>
      </c>
      <c r="B165" s="86" t="s">
        <v>1778</v>
      </c>
      <c r="C165" s="86">
        <v>1900</v>
      </c>
      <c r="D165" s="55" t="s">
        <v>1952</v>
      </c>
      <c r="E165" s="87" t="s">
        <v>1946</v>
      </c>
      <c r="F165" s="90"/>
    </row>
    <row r="166" spans="1:6" x14ac:dyDescent="0.25">
      <c r="A166" s="85">
        <v>46155</v>
      </c>
      <c r="B166" s="86" t="s">
        <v>1778</v>
      </c>
      <c r="C166" s="86">
        <v>5200</v>
      </c>
      <c r="D166" s="88" t="s">
        <v>35</v>
      </c>
      <c r="E166" s="87" t="s">
        <v>1946</v>
      </c>
      <c r="F166" s="90"/>
    </row>
    <row r="167" spans="1:6" x14ac:dyDescent="0.25">
      <c r="A167" s="85">
        <v>46155</v>
      </c>
      <c r="B167" s="86" t="s">
        <v>1498</v>
      </c>
      <c r="C167" s="86">
        <v>6000</v>
      </c>
      <c r="D167" s="88" t="s">
        <v>1972</v>
      </c>
      <c r="E167" s="87" t="s">
        <v>1946</v>
      </c>
      <c r="F167" s="90"/>
    </row>
    <row r="168" spans="1:6" x14ac:dyDescent="0.25">
      <c r="A168" s="85">
        <v>46155</v>
      </c>
      <c r="B168" s="86" t="s">
        <v>904</v>
      </c>
      <c r="C168" s="86">
        <v>5450</v>
      </c>
      <c r="D168" s="88" t="s">
        <v>69</v>
      </c>
      <c r="E168" s="87" t="s">
        <v>1946</v>
      </c>
      <c r="F168" s="90"/>
    </row>
    <row r="169" spans="1:6" x14ac:dyDescent="0.25">
      <c r="A169" s="85">
        <v>46155</v>
      </c>
      <c r="B169" s="86" t="s">
        <v>1486</v>
      </c>
      <c r="C169" s="86">
        <v>5450</v>
      </c>
      <c r="D169" s="88" t="s">
        <v>69</v>
      </c>
      <c r="E169" s="87" t="s">
        <v>1946</v>
      </c>
      <c r="F169" s="90"/>
    </row>
    <row r="170" spans="1:6" x14ac:dyDescent="0.25">
      <c r="A170" s="85">
        <v>46155</v>
      </c>
      <c r="B170" s="86" t="s">
        <v>896</v>
      </c>
      <c r="C170" s="86">
        <v>5450</v>
      </c>
      <c r="D170" s="88" t="s">
        <v>69</v>
      </c>
      <c r="E170" s="87" t="s">
        <v>1946</v>
      </c>
      <c r="F170" s="90"/>
    </row>
    <row r="171" spans="1:6" x14ac:dyDescent="0.25">
      <c r="A171" s="85">
        <v>46155</v>
      </c>
      <c r="B171" s="86" t="s">
        <v>1495</v>
      </c>
      <c r="C171" s="86">
        <v>7500</v>
      </c>
      <c r="D171" s="88" t="s">
        <v>1960</v>
      </c>
      <c r="E171" s="87" t="s">
        <v>1946</v>
      </c>
      <c r="F171" s="90"/>
    </row>
    <row r="172" spans="1:6" x14ac:dyDescent="0.25">
      <c r="A172" s="85">
        <v>46155</v>
      </c>
      <c r="B172" s="86" t="s">
        <v>1520</v>
      </c>
      <c r="C172" s="86">
        <v>5000</v>
      </c>
      <c r="D172" s="55" t="s">
        <v>1957</v>
      </c>
      <c r="E172" s="87" t="s">
        <v>1946</v>
      </c>
      <c r="F172" s="90"/>
    </row>
    <row r="173" spans="1:6" x14ac:dyDescent="0.25">
      <c r="A173" s="85">
        <v>46155</v>
      </c>
      <c r="B173" s="86" t="s">
        <v>76</v>
      </c>
      <c r="C173" s="86">
        <v>4950</v>
      </c>
      <c r="D173" s="88" t="s">
        <v>139</v>
      </c>
      <c r="E173" s="87" t="s">
        <v>1946</v>
      </c>
      <c r="F173" s="90"/>
    </row>
    <row r="174" spans="1:6" x14ac:dyDescent="0.25">
      <c r="A174" s="85">
        <v>46155</v>
      </c>
      <c r="B174" s="86" t="s">
        <v>1484</v>
      </c>
      <c r="C174" s="86">
        <v>1000</v>
      </c>
      <c r="D174" s="55" t="s">
        <v>1950</v>
      </c>
      <c r="E174" s="87" t="s">
        <v>1946</v>
      </c>
      <c r="F174" s="90"/>
    </row>
    <row r="175" spans="1:6" x14ac:dyDescent="0.25">
      <c r="A175" s="85">
        <v>46156</v>
      </c>
      <c r="B175" s="86" t="s">
        <v>904</v>
      </c>
      <c r="C175" s="86">
        <v>1500</v>
      </c>
      <c r="D175" s="55" t="s">
        <v>1952</v>
      </c>
      <c r="E175" s="87" t="s">
        <v>1946</v>
      </c>
      <c r="F175" s="90"/>
    </row>
    <row r="176" spans="1:6" x14ac:dyDescent="0.25">
      <c r="A176" s="85">
        <v>46156</v>
      </c>
      <c r="B176" s="86" t="s">
        <v>904</v>
      </c>
      <c r="C176" s="86">
        <v>5200</v>
      </c>
      <c r="D176" s="88" t="s">
        <v>35</v>
      </c>
      <c r="E176" s="87" t="s">
        <v>1946</v>
      </c>
      <c r="F176" s="90"/>
    </row>
    <row r="177" spans="1:6" x14ac:dyDescent="0.25">
      <c r="A177" s="85">
        <v>46156</v>
      </c>
      <c r="B177" s="86" t="s">
        <v>896</v>
      </c>
      <c r="C177" s="86">
        <v>5000</v>
      </c>
      <c r="D177" s="55" t="s">
        <v>1957</v>
      </c>
      <c r="E177" s="87" t="s">
        <v>1946</v>
      </c>
      <c r="F177" s="90"/>
    </row>
    <row r="178" spans="1:6" x14ac:dyDescent="0.25">
      <c r="A178" s="85">
        <v>46156</v>
      </c>
      <c r="B178" s="86" t="s">
        <v>1520</v>
      </c>
      <c r="C178" s="86">
        <v>3500</v>
      </c>
      <c r="D178" s="55" t="s">
        <v>1948</v>
      </c>
      <c r="E178" s="87" t="s">
        <v>1946</v>
      </c>
      <c r="F178" s="90"/>
    </row>
    <row r="179" spans="1:6" x14ac:dyDescent="0.25">
      <c r="A179" s="85">
        <v>46156</v>
      </c>
      <c r="B179" s="86" t="s">
        <v>1484</v>
      </c>
      <c r="C179" s="86">
        <v>5450</v>
      </c>
      <c r="D179" s="88" t="s">
        <v>69</v>
      </c>
      <c r="E179" s="87" t="s">
        <v>1946</v>
      </c>
      <c r="F179" s="90"/>
    </row>
    <row r="180" spans="1:6" x14ac:dyDescent="0.25">
      <c r="A180" s="85">
        <v>46156</v>
      </c>
      <c r="B180" s="86" t="s">
        <v>1486</v>
      </c>
      <c r="C180" s="86">
        <v>5450</v>
      </c>
      <c r="D180" s="88" t="s">
        <v>69</v>
      </c>
      <c r="E180" s="87" t="s">
        <v>1946</v>
      </c>
      <c r="F180" s="90"/>
    </row>
    <row r="181" spans="1:6" x14ac:dyDescent="0.25">
      <c r="A181" s="85">
        <v>46156</v>
      </c>
      <c r="B181" s="86" t="s">
        <v>1498</v>
      </c>
      <c r="C181" s="86">
        <v>4950</v>
      </c>
      <c r="D181" s="88" t="s">
        <v>139</v>
      </c>
      <c r="E181" s="87" t="s">
        <v>1946</v>
      </c>
      <c r="F181" s="90"/>
    </row>
    <row r="182" spans="1:6" x14ac:dyDescent="0.25">
      <c r="A182" s="85">
        <v>46156</v>
      </c>
      <c r="B182" s="86" t="s">
        <v>59</v>
      </c>
      <c r="C182" s="86">
        <v>1000</v>
      </c>
      <c r="D182" s="88" t="s">
        <v>1951</v>
      </c>
      <c r="E182" s="87" t="s">
        <v>1946</v>
      </c>
      <c r="F182" s="90"/>
    </row>
    <row r="183" spans="1:6" x14ac:dyDescent="0.25">
      <c r="A183" s="85">
        <v>46156</v>
      </c>
      <c r="B183" s="86" t="s">
        <v>59</v>
      </c>
      <c r="C183" s="86">
        <v>700</v>
      </c>
      <c r="D183" s="88" t="s">
        <v>1951</v>
      </c>
      <c r="E183" s="87" t="s">
        <v>1946</v>
      </c>
      <c r="F183" s="90"/>
    </row>
    <row r="184" spans="1:6" x14ac:dyDescent="0.25">
      <c r="A184" s="85">
        <v>46156</v>
      </c>
      <c r="B184" s="86" t="s">
        <v>59</v>
      </c>
      <c r="C184" s="86">
        <v>700</v>
      </c>
      <c r="D184" s="88" t="s">
        <v>1951</v>
      </c>
      <c r="E184" s="87" t="s">
        <v>1946</v>
      </c>
      <c r="F184" s="90"/>
    </row>
    <row r="185" spans="1:6" x14ac:dyDescent="0.25">
      <c r="A185" s="85">
        <v>46157</v>
      </c>
      <c r="B185" s="86" t="s">
        <v>76</v>
      </c>
      <c r="C185" s="86">
        <v>5200</v>
      </c>
      <c r="D185" s="55" t="s">
        <v>335</v>
      </c>
      <c r="E185" s="87" t="s">
        <v>1946</v>
      </c>
      <c r="F185" s="90"/>
    </row>
    <row r="186" spans="1:6" x14ac:dyDescent="0.25">
      <c r="A186" s="85">
        <v>46157</v>
      </c>
      <c r="B186" s="86" t="s">
        <v>1484</v>
      </c>
      <c r="C186" s="86">
        <v>1000</v>
      </c>
      <c r="D186" s="88" t="s">
        <v>1968</v>
      </c>
      <c r="E186" s="87" t="s">
        <v>1946</v>
      </c>
      <c r="F186" s="90"/>
    </row>
    <row r="187" spans="1:6" x14ac:dyDescent="0.25">
      <c r="A187" s="85">
        <v>46157</v>
      </c>
      <c r="B187" s="86" t="s">
        <v>1484</v>
      </c>
      <c r="C187" s="86">
        <v>5450</v>
      </c>
      <c r="D187" s="88" t="s">
        <v>69</v>
      </c>
      <c r="E187" s="87" t="s">
        <v>1946</v>
      </c>
      <c r="F187" s="90"/>
    </row>
    <row r="188" spans="1:6" x14ac:dyDescent="0.25">
      <c r="A188" s="85">
        <v>46157</v>
      </c>
      <c r="B188" s="86" t="s">
        <v>1498</v>
      </c>
      <c r="C188" s="86">
        <v>3950</v>
      </c>
      <c r="D188" s="88" t="s">
        <v>1972</v>
      </c>
      <c r="E188" s="87" t="s">
        <v>1946</v>
      </c>
      <c r="F188" s="90"/>
    </row>
    <row r="189" spans="1:6" x14ac:dyDescent="0.25">
      <c r="A189" s="85">
        <v>46157</v>
      </c>
      <c r="B189" s="86" t="s">
        <v>1486</v>
      </c>
      <c r="C189" s="86">
        <v>1900</v>
      </c>
      <c r="D189" s="55" t="s">
        <v>1952</v>
      </c>
      <c r="E189" s="87" t="s">
        <v>1946</v>
      </c>
      <c r="F189" s="90"/>
    </row>
    <row r="190" spans="1:6" x14ac:dyDescent="0.25">
      <c r="A190" s="85">
        <v>46158</v>
      </c>
      <c r="B190" s="86" t="s">
        <v>1495</v>
      </c>
      <c r="C190" s="86">
        <v>1000</v>
      </c>
      <c r="D190" s="55" t="s">
        <v>1950</v>
      </c>
      <c r="E190" s="87" t="s">
        <v>1946</v>
      </c>
      <c r="F190" s="90"/>
    </row>
    <row r="191" spans="1:6" x14ac:dyDescent="0.25">
      <c r="A191" s="85">
        <v>46158</v>
      </c>
      <c r="B191" s="86" t="s">
        <v>1495</v>
      </c>
      <c r="C191" s="86">
        <v>5450</v>
      </c>
      <c r="D191" s="88" t="s">
        <v>69</v>
      </c>
      <c r="E191" s="87" t="s">
        <v>1946</v>
      </c>
      <c r="F191" s="90"/>
    </row>
    <row r="192" spans="1:6" x14ac:dyDescent="0.25">
      <c r="A192" s="85">
        <v>46158</v>
      </c>
      <c r="B192" s="86" t="s">
        <v>1486</v>
      </c>
      <c r="C192" s="86">
        <v>5450</v>
      </c>
      <c r="D192" s="88" t="s">
        <v>69</v>
      </c>
      <c r="E192" s="87" t="s">
        <v>1946</v>
      </c>
      <c r="F192" s="90"/>
    </row>
    <row r="193" spans="1:9" x14ac:dyDescent="0.25">
      <c r="A193" s="85">
        <v>46158</v>
      </c>
      <c r="B193" s="86" t="s">
        <v>1520</v>
      </c>
      <c r="C193" s="86">
        <v>5450</v>
      </c>
      <c r="D193" s="88" t="s">
        <v>69</v>
      </c>
      <c r="E193" s="87" t="s">
        <v>1946</v>
      </c>
      <c r="F193" s="90"/>
    </row>
    <row r="194" spans="1:9" x14ac:dyDescent="0.25">
      <c r="A194" s="85">
        <v>46159</v>
      </c>
      <c r="B194" s="86" t="s">
        <v>1778</v>
      </c>
      <c r="C194" s="86">
        <v>3950</v>
      </c>
      <c r="D194" s="88" t="s">
        <v>1972</v>
      </c>
      <c r="E194" s="87" t="s">
        <v>1946</v>
      </c>
      <c r="F194" s="90"/>
    </row>
    <row r="195" spans="1:9" x14ac:dyDescent="0.25">
      <c r="A195" s="85">
        <v>46159</v>
      </c>
      <c r="B195" s="86" t="s">
        <v>896</v>
      </c>
      <c r="C195" s="86">
        <v>5450</v>
      </c>
      <c r="D195" s="88" t="s">
        <v>69</v>
      </c>
      <c r="E195" s="87" t="s">
        <v>1946</v>
      </c>
      <c r="F195" s="90"/>
    </row>
    <row r="196" spans="1:9" x14ac:dyDescent="0.25">
      <c r="A196" s="85">
        <v>46159</v>
      </c>
      <c r="B196" s="86" t="s">
        <v>76</v>
      </c>
      <c r="C196" s="86">
        <v>3000</v>
      </c>
      <c r="D196" s="55" t="s">
        <v>1974</v>
      </c>
      <c r="E196" s="87" t="s">
        <v>1946</v>
      </c>
      <c r="F196" s="90"/>
    </row>
    <row r="197" spans="1:9" x14ac:dyDescent="0.25">
      <c r="A197" s="85">
        <v>46160</v>
      </c>
      <c r="B197" s="86" t="s">
        <v>59</v>
      </c>
      <c r="C197" s="86">
        <v>1000</v>
      </c>
      <c r="D197" s="55" t="s">
        <v>1950</v>
      </c>
      <c r="E197" s="87" t="s">
        <v>1946</v>
      </c>
      <c r="F197" s="91">
        <v>0</v>
      </c>
    </row>
    <row r="198" spans="1:9" x14ac:dyDescent="0.25">
      <c r="A198" s="85">
        <v>46160</v>
      </c>
      <c r="B198" s="86" t="s">
        <v>1484</v>
      </c>
      <c r="C198" s="86">
        <v>5200</v>
      </c>
      <c r="D198" s="55" t="s">
        <v>35</v>
      </c>
      <c r="E198" s="87" t="s">
        <v>1946</v>
      </c>
      <c r="F198" s="91">
        <v>100</v>
      </c>
      <c r="G198" s="82" t="s">
        <v>1987</v>
      </c>
      <c r="H198" s="82">
        <v>100</v>
      </c>
      <c r="I198" s="82">
        <f>33*5</f>
        <v>165</v>
      </c>
    </row>
    <row r="199" spans="1:9" x14ac:dyDescent="0.25">
      <c r="A199" s="85">
        <v>46160</v>
      </c>
      <c r="B199" s="86" t="s">
        <v>1778</v>
      </c>
      <c r="C199" s="86">
        <v>5000</v>
      </c>
      <c r="D199" s="55" t="s">
        <v>1957</v>
      </c>
      <c r="E199" s="87" t="s">
        <v>1946</v>
      </c>
      <c r="F199" s="91">
        <v>100</v>
      </c>
      <c r="G199" s="82" t="s">
        <v>1989</v>
      </c>
      <c r="H199" s="82">
        <v>90</v>
      </c>
      <c r="I199" s="82">
        <f>30*5</f>
        <v>150</v>
      </c>
    </row>
    <row r="200" spans="1:9" x14ac:dyDescent="0.25">
      <c r="A200" s="85">
        <v>46160</v>
      </c>
      <c r="B200" s="86" t="s">
        <v>904</v>
      </c>
      <c r="C200" s="86">
        <v>1000</v>
      </c>
      <c r="D200" s="88" t="s">
        <v>1951</v>
      </c>
      <c r="E200" s="87" t="s">
        <v>1946</v>
      </c>
      <c r="F200" s="91">
        <v>0</v>
      </c>
      <c r="G200" s="82">
        <v>0</v>
      </c>
      <c r="H200" s="82">
        <v>0</v>
      </c>
      <c r="I200" s="82">
        <v>0</v>
      </c>
    </row>
    <row r="201" spans="1:9" x14ac:dyDescent="0.25">
      <c r="A201" s="85">
        <v>46160</v>
      </c>
      <c r="B201" s="86" t="s">
        <v>904</v>
      </c>
      <c r="C201" s="86">
        <v>700</v>
      </c>
      <c r="D201" s="88" t="s">
        <v>1951</v>
      </c>
      <c r="E201" s="87" t="s">
        <v>1946</v>
      </c>
      <c r="F201" s="91">
        <v>0</v>
      </c>
      <c r="G201" s="82">
        <v>0</v>
      </c>
      <c r="H201" s="82">
        <v>0</v>
      </c>
      <c r="I201" s="82">
        <v>0</v>
      </c>
    </row>
    <row r="202" spans="1:9" x14ac:dyDescent="0.25">
      <c r="A202" s="85">
        <v>46160</v>
      </c>
      <c r="B202" s="86" t="s">
        <v>904</v>
      </c>
      <c r="C202" s="86">
        <v>700</v>
      </c>
      <c r="D202" s="88" t="s">
        <v>1951</v>
      </c>
      <c r="E202" s="87" t="s">
        <v>1946</v>
      </c>
      <c r="F202" s="91">
        <v>0</v>
      </c>
      <c r="G202" s="82">
        <v>0</v>
      </c>
      <c r="H202" s="82">
        <v>0</v>
      </c>
      <c r="I202" s="82">
        <v>0</v>
      </c>
    </row>
    <row r="203" spans="1:9" x14ac:dyDescent="0.25">
      <c r="A203" s="85">
        <v>46160</v>
      </c>
      <c r="B203" s="86" t="s">
        <v>904</v>
      </c>
      <c r="C203" s="86">
        <v>3500</v>
      </c>
      <c r="D203" s="88" t="s">
        <v>1955</v>
      </c>
      <c r="E203" s="87" t="s">
        <v>1946</v>
      </c>
      <c r="F203" s="91">
        <v>50</v>
      </c>
      <c r="G203" s="82" t="s">
        <v>1990</v>
      </c>
      <c r="H203" s="82">
        <v>82</v>
      </c>
      <c r="I203" s="82">
        <f>27*5</f>
        <v>135</v>
      </c>
    </row>
    <row r="204" spans="1:9" x14ac:dyDescent="0.25">
      <c r="A204" s="85">
        <v>46160</v>
      </c>
      <c r="B204" s="86" t="s">
        <v>1520</v>
      </c>
      <c r="C204" s="86">
        <v>1900</v>
      </c>
      <c r="D204" s="55" t="s">
        <v>1952</v>
      </c>
      <c r="E204" s="87" t="s">
        <v>1946</v>
      </c>
      <c r="F204" s="91">
        <v>0</v>
      </c>
      <c r="G204" s="82" t="s">
        <v>2003</v>
      </c>
      <c r="H204" s="82">
        <v>24</v>
      </c>
      <c r="I204" s="82">
        <f>8*5</f>
        <v>40</v>
      </c>
    </row>
    <row r="205" spans="1:9" x14ac:dyDescent="0.25">
      <c r="A205" s="85">
        <v>46160</v>
      </c>
      <c r="B205" s="86" t="s">
        <v>896</v>
      </c>
      <c r="C205" s="86">
        <v>1900</v>
      </c>
      <c r="D205" s="55" t="s">
        <v>1952</v>
      </c>
      <c r="E205" s="87" t="s">
        <v>1946</v>
      </c>
      <c r="F205" s="91">
        <v>0</v>
      </c>
      <c r="G205" s="82" t="s">
        <v>2003</v>
      </c>
      <c r="H205" s="82">
        <v>24</v>
      </c>
      <c r="I205" s="82">
        <f>8*5</f>
        <v>40</v>
      </c>
    </row>
    <row r="206" spans="1:9" x14ac:dyDescent="0.25">
      <c r="A206" s="85">
        <v>46160</v>
      </c>
      <c r="B206" s="86" t="s">
        <v>1498</v>
      </c>
      <c r="C206" s="86">
        <v>5200</v>
      </c>
      <c r="D206" s="55" t="s">
        <v>35</v>
      </c>
      <c r="E206" s="87" t="s">
        <v>1946</v>
      </c>
      <c r="F206" s="91">
        <v>100</v>
      </c>
      <c r="G206" s="82" t="s">
        <v>1987</v>
      </c>
      <c r="H206" s="82">
        <v>100</v>
      </c>
      <c r="I206" s="82">
        <v>165</v>
      </c>
    </row>
    <row r="207" spans="1:9" x14ac:dyDescent="0.25">
      <c r="A207" s="85">
        <v>46161</v>
      </c>
      <c r="B207" s="86" t="s">
        <v>1495</v>
      </c>
      <c r="C207" s="86">
        <v>1900</v>
      </c>
      <c r="D207" s="55" t="s">
        <v>1975</v>
      </c>
      <c r="E207" s="87" t="s">
        <v>1946</v>
      </c>
      <c r="F207" s="91">
        <v>0</v>
      </c>
      <c r="G207" s="82">
        <v>0</v>
      </c>
      <c r="H207" s="82">
        <v>0</v>
      </c>
      <c r="I207" s="82">
        <v>0</v>
      </c>
    </row>
    <row r="208" spans="1:9" x14ac:dyDescent="0.25">
      <c r="A208" s="85">
        <v>46161</v>
      </c>
      <c r="B208" s="86" t="s">
        <v>59</v>
      </c>
      <c r="C208" s="86">
        <v>1500</v>
      </c>
      <c r="D208" s="55" t="s">
        <v>1947</v>
      </c>
      <c r="E208" s="87" t="s">
        <v>1946</v>
      </c>
      <c r="F208" s="91">
        <v>100</v>
      </c>
      <c r="G208" s="82" t="s">
        <v>1992</v>
      </c>
      <c r="H208" s="82">
        <v>52</v>
      </c>
      <c r="I208" s="82">
        <f>17*5</f>
        <v>85</v>
      </c>
    </row>
    <row r="209" spans="1:9" x14ac:dyDescent="0.25">
      <c r="A209" s="85">
        <v>46161</v>
      </c>
      <c r="B209" s="86" t="s">
        <v>1486</v>
      </c>
      <c r="C209" s="86">
        <v>5450</v>
      </c>
      <c r="D209" s="88" t="s">
        <v>69</v>
      </c>
      <c r="E209" s="87" t="s">
        <v>1946</v>
      </c>
      <c r="F209" s="91">
        <v>100</v>
      </c>
      <c r="G209" s="82" t="s">
        <v>1993</v>
      </c>
      <c r="H209" s="82">
        <v>130</v>
      </c>
      <c r="I209" s="82">
        <f>44*5</f>
        <v>220</v>
      </c>
    </row>
    <row r="210" spans="1:9" x14ac:dyDescent="0.25">
      <c r="A210" s="85">
        <v>46161</v>
      </c>
      <c r="B210" s="86" t="s">
        <v>76</v>
      </c>
      <c r="C210" s="86">
        <v>5000</v>
      </c>
      <c r="D210" s="88" t="s">
        <v>1976</v>
      </c>
      <c r="E210" s="87" t="s">
        <v>1946</v>
      </c>
      <c r="F210" s="82">
        <v>0</v>
      </c>
      <c r="G210" s="82">
        <v>0</v>
      </c>
      <c r="H210" s="82">
        <v>0</v>
      </c>
      <c r="I210" s="82">
        <v>0</v>
      </c>
    </row>
    <row r="211" spans="1:9" x14ac:dyDescent="0.25">
      <c r="A211" s="85">
        <v>46162</v>
      </c>
      <c r="B211" s="86" t="s">
        <v>1486</v>
      </c>
      <c r="C211" s="86">
        <v>1900</v>
      </c>
      <c r="D211" s="55" t="s">
        <v>1952</v>
      </c>
      <c r="E211" s="87" t="s">
        <v>1946</v>
      </c>
      <c r="F211" s="91">
        <v>0</v>
      </c>
      <c r="G211" s="82" t="s">
        <v>2003</v>
      </c>
      <c r="H211" s="82">
        <v>24</v>
      </c>
      <c r="I211" s="82">
        <f>8*5</f>
        <v>40</v>
      </c>
    </row>
    <row r="212" spans="1:9" x14ac:dyDescent="0.25">
      <c r="A212" s="85">
        <v>46162</v>
      </c>
      <c r="B212" s="86" t="s">
        <v>1484</v>
      </c>
      <c r="C212" s="86">
        <v>3950</v>
      </c>
      <c r="D212" s="88" t="s">
        <v>1972</v>
      </c>
      <c r="E212" s="87" t="s">
        <v>1946</v>
      </c>
      <c r="F212" s="91">
        <v>50</v>
      </c>
      <c r="G212" s="82" t="s">
        <v>1991</v>
      </c>
      <c r="H212" s="82">
        <v>125</v>
      </c>
      <c r="I212" s="82">
        <f>42*5</f>
        <v>210</v>
      </c>
    </row>
    <row r="213" spans="1:9" x14ac:dyDescent="0.25">
      <c r="A213" s="85">
        <v>46162</v>
      </c>
      <c r="B213" s="86" t="s">
        <v>1495</v>
      </c>
      <c r="C213" s="86">
        <v>5450</v>
      </c>
      <c r="D213" s="88" t="s">
        <v>69</v>
      </c>
      <c r="E213" s="87" t="s">
        <v>1946</v>
      </c>
      <c r="F213" s="91">
        <v>100</v>
      </c>
      <c r="G213" s="82" t="s">
        <v>1993</v>
      </c>
      <c r="H213" s="82">
        <v>130</v>
      </c>
      <c r="I213" s="82">
        <v>220</v>
      </c>
    </row>
    <row r="214" spans="1:9" x14ac:dyDescent="0.25">
      <c r="A214" s="85">
        <v>46162</v>
      </c>
      <c r="B214" s="86" t="s">
        <v>1778</v>
      </c>
      <c r="C214" s="86">
        <v>5450</v>
      </c>
      <c r="D214" s="88" t="s">
        <v>69</v>
      </c>
      <c r="E214" s="87" t="s">
        <v>1946</v>
      </c>
      <c r="F214" s="91">
        <v>100</v>
      </c>
      <c r="G214" s="82" t="s">
        <v>1993</v>
      </c>
      <c r="H214" s="82">
        <v>130</v>
      </c>
      <c r="I214" s="82">
        <v>22</v>
      </c>
    </row>
    <row r="215" spans="1:9" x14ac:dyDescent="0.25">
      <c r="A215" s="85">
        <v>46162</v>
      </c>
      <c r="B215" s="86" t="s">
        <v>1520</v>
      </c>
      <c r="C215" s="86">
        <v>7500</v>
      </c>
      <c r="D215" s="88" t="s">
        <v>1960</v>
      </c>
      <c r="E215" s="87" t="s">
        <v>1946</v>
      </c>
      <c r="F215" s="91">
        <v>100</v>
      </c>
      <c r="G215" s="82" t="s">
        <v>1994</v>
      </c>
      <c r="H215" s="82">
        <v>150</v>
      </c>
      <c r="I215" s="82">
        <f>50*5</f>
        <v>250</v>
      </c>
    </row>
    <row r="216" spans="1:9" x14ac:dyDescent="0.25">
      <c r="A216" s="85">
        <v>46162</v>
      </c>
      <c r="B216" s="86" t="s">
        <v>896</v>
      </c>
      <c r="C216" s="86">
        <v>7500</v>
      </c>
      <c r="D216" s="88" t="s">
        <v>1960</v>
      </c>
      <c r="E216" s="87" t="s">
        <v>1946</v>
      </c>
      <c r="F216" s="91">
        <v>100</v>
      </c>
      <c r="G216" s="82" t="s">
        <v>1994</v>
      </c>
      <c r="H216" s="82">
        <v>150</v>
      </c>
      <c r="I216" s="82">
        <v>250</v>
      </c>
    </row>
    <row r="217" spans="1:9" x14ac:dyDescent="0.25">
      <c r="A217" s="85">
        <v>46163</v>
      </c>
      <c r="B217" s="86" t="s">
        <v>59</v>
      </c>
      <c r="C217" s="86">
        <v>1000</v>
      </c>
      <c r="D217" s="88" t="s">
        <v>1951</v>
      </c>
      <c r="E217" s="87" t="s">
        <v>1946</v>
      </c>
      <c r="F217" s="91">
        <v>0</v>
      </c>
      <c r="G217" s="82">
        <v>0</v>
      </c>
      <c r="H217" s="82">
        <v>0</v>
      </c>
      <c r="I217" s="82">
        <v>0</v>
      </c>
    </row>
    <row r="218" spans="1:9" x14ac:dyDescent="0.25">
      <c r="A218" s="85">
        <v>46163</v>
      </c>
      <c r="B218" s="86" t="s">
        <v>59</v>
      </c>
      <c r="C218" s="86">
        <v>1000</v>
      </c>
      <c r="D218" s="88" t="s">
        <v>1951</v>
      </c>
      <c r="E218" s="87" t="s">
        <v>1946</v>
      </c>
      <c r="F218" s="91">
        <v>0</v>
      </c>
      <c r="G218" s="82">
        <v>0</v>
      </c>
      <c r="H218" s="82">
        <v>0</v>
      </c>
      <c r="I218" s="82">
        <v>0</v>
      </c>
    </row>
    <row r="219" spans="1:9" x14ac:dyDescent="0.25">
      <c r="A219" s="85">
        <v>46163</v>
      </c>
      <c r="B219" s="86" t="s">
        <v>904</v>
      </c>
      <c r="C219" s="86">
        <v>3500</v>
      </c>
      <c r="D219" s="55" t="s">
        <v>1977</v>
      </c>
      <c r="E219" s="87" t="s">
        <v>1946</v>
      </c>
      <c r="F219" s="91">
        <v>0</v>
      </c>
      <c r="G219" s="82">
        <v>0</v>
      </c>
      <c r="H219" s="82">
        <v>0</v>
      </c>
      <c r="I219" s="82">
        <v>0</v>
      </c>
    </row>
    <row r="220" spans="1:9" x14ac:dyDescent="0.25">
      <c r="A220" s="85">
        <v>46163</v>
      </c>
      <c r="B220" s="86" t="s">
        <v>904</v>
      </c>
      <c r="C220" s="86">
        <v>1000</v>
      </c>
      <c r="D220" s="55" t="s">
        <v>2026</v>
      </c>
      <c r="E220" s="87" t="s">
        <v>1946</v>
      </c>
      <c r="F220" s="91">
        <v>0</v>
      </c>
      <c r="G220" s="82">
        <v>0</v>
      </c>
      <c r="H220" s="82">
        <v>0</v>
      </c>
      <c r="I220" s="82">
        <v>0</v>
      </c>
    </row>
    <row r="221" spans="1:9" x14ac:dyDescent="0.25">
      <c r="A221" s="85">
        <v>46163</v>
      </c>
      <c r="B221" s="86" t="s">
        <v>1778</v>
      </c>
      <c r="C221" s="86">
        <v>3500</v>
      </c>
      <c r="D221" s="55" t="s">
        <v>1977</v>
      </c>
      <c r="E221" s="87" t="s">
        <v>1946</v>
      </c>
      <c r="F221" s="91">
        <v>0</v>
      </c>
      <c r="G221" s="82">
        <v>0</v>
      </c>
      <c r="H221" s="82">
        <v>0</v>
      </c>
      <c r="I221" s="82">
        <v>0</v>
      </c>
    </row>
    <row r="222" spans="1:9" x14ac:dyDescent="0.25">
      <c r="A222" s="85">
        <v>46163</v>
      </c>
      <c r="B222" s="86" t="s">
        <v>76</v>
      </c>
      <c r="C222" s="86">
        <v>11000</v>
      </c>
      <c r="D222" s="88" t="s">
        <v>1976</v>
      </c>
      <c r="E222" s="87" t="s">
        <v>1946</v>
      </c>
      <c r="F222" s="82">
        <v>0</v>
      </c>
      <c r="G222" s="82">
        <v>0</v>
      </c>
      <c r="H222" s="82">
        <v>0</v>
      </c>
      <c r="I222" s="82">
        <v>0</v>
      </c>
    </row>
    <row r="223" spans="1:9" x14ac:dyDescent="0.25">
      <c r="A223" s="85">
        <v>46163</v>
      </c>
      <c r="B223" s="86" t="s">
        <v>59</v>
      </c>
      <c r="C223" s="86">
        <v>1000</v>
      </c>
      <c r="D223" s="88" t="s">
        <v>1951</v>
      </c>
      <c r="E223" s="87" t="s">
        <v>1946</v>
      </c>
      <c r="F223" s="91">
        <v>0</v>
      </c>
      <c r="G223" s="82">
        <v>0</v>
      </c>
      <c r="H223" s="82">
        <v>0</v>
      </c>
      <c r="I223" s="82">
        <v>0</v>
      </c>
    </row>
    <row r="224" spans="1:9" x14ac:dyDescent="0.25">
      <c r="A224" s="85">
        <v>46163</v>
      </c>
      <c r="B224" s="86" t="s">
        <v>59</v>
      </c>
      <c r="C224" s="86">
        <v>3500</v>
      </c>
      <c r="D224" s="88" t="s">
        <v>1955</v>
      </c>
      <c r="E224" s="87" t="s">
        <v>1946</v>
      </c>
      <c r="F224" s="91">
        <v>100</v>
      </c>
      <c r="G224" s="82" t="s">
        <v>1990</v>
      </c>
      <c r="H224" s="82">
        <v>82</v>
      </c>
      <c r="I224" s="82">
        <v>135</v>
      </c>
    </row>
    <row r="225" spans="1:9" x14ac:dyDescent="0.25">
      <c r="A225" s="85">
        <v>46163</v>
      </c>
      <c r="B225" s="86" t="s">
        <v>1486</v>
      </c>
      <c r="C225" s="86">
        <v>5450</v>
      </c>
      <c r="D225" s="88" t="s">
        <v>69</v>
      </c>
      <c r="E225" s="87" t="s">
        <v>1946</v>
      </c>
      <c r="F225" s="91">
        <v>200</v>
      </c>
      <c r="G225" s="82" t="s">
        <v>1993</v>
      </c>
      <c r="H225" s="82">
        <v>130</v>
      </c>
      <c r="I225" s="82">
        <v>220</v>
      </c>
    </row>
    <row r="226" spans="1:9" x14ac:dyDescent="0.25">
      <c r="A226" s="85">
        <v>46164</v>
      </c>
      <c r="B226" s="86" t="s">
        <v>1498</v>
      </c>
      <c r="C226" s="86">
        <v>3950</v>
      </c>
      <c r="D226" s="88" t="s">
        <v>1972</v>
      </c>
      <c r="E226" s="87" t="s">
        <v>1946</v>
      </c>
      <c r="F226" s="91">
        <v>100</v>
      </c>
      <c r="G226" s="82" t="s">
        <v>1991</v>
      </c>
      <c r="H226" s="82">
        <v>125</v>
      </c>
      <c r="I226" s="82">
        <v>210</v>
      </c>
    </row>
    <row r="227" spans="1:9" x14ac:dyDescent="0.25">
      <c r="A227" s="85">
        <v>46164</v>
      </c>
      <c r="B227" s="86" t="s">
        <v>1778</v>
      </c>
      <c r="C227" s="86">
        <v>4000</v>
      </c>
      <c r="D227" s="88" t="s">
        <v>1960</v>
      </c>
      <c r="E227" s="87" t="s">
        <v>1946</v>
      </c>
      <c r="F227" s="91">
        <v>200</v>
      </c>
      <c r="G227" s="82" t="s">
        <v>1994</v>
      </c>
      <c r="H227" s="82">
        <v>150</v>
      </c>
      <c r="I227" s="82">
        <v>250</v>
      </c>
    </row>
    <row r="228" spans="1:9" x14ac:dyDescent="0.25">
      <c r="A228" s="85">
        <v>46164</v>
      </c>
      <c r="B228" s="86" t="s">
        <v>1495</v>
      </c>
      <c r="C228" s="86">
        <v>7500</v>
      </c>
      <c r="D228" s="88" t="s">
        <v>1960</v>
      </c>
      <c r="E228" s="87" t="s">
        <v>1946</v>
      </c>
      <c r="F228" s="91">
        <v>200</v>
      </c>
      <c r="G228" s="82" t="s">
        <v>1994</v>
      </c>
      <c r="H228" s="82">
        <v>150</v>
      </c>
      <c r="I228" s="82">
        <v>250</v>
      </c>
    </row>
    <row r="229" spans="1:9" x14ac:dyDescent="0.25">
      <c r="A229" s="85">
        <v>46164</v>
      </c>
      <c r="B229" s="86" t="s">
        <v>1484</v>
      </c>
      <c r="C229" s="86">
        <v>1900</v>
      </c>
      <c r="D229" s="55" t="s">
        <v>1952</v>
      </c>
      <c r="E229" s="87" t="s">
        <v>1946</v>
      </c>
      <c r="F229" s="91">
        <v>0</v>
      </c>
      <c r="G229" s="82" t="s">
        <v>2003</v>
      </c>
      <c r="H229" s="82">
        <v>24</v>
      </c>
      <c r="I229" s="82">
        <f>8*5</f>
        <v>40</v>
      </c>
    </row>
    <row r="230" spans="1:9" x14ac:dyDescent="0.25">
      <c r="A230" s="85">
        <v>46164</v>
      </c>
      <c r="B230" s="86" t="s">
        <v>896</v>
      </c>
      <c r="C230" s="86">
        <v>1000</v>
      </c>
      <c r="D230" s="55" t="s">
        <v>1950</v>
      </c>
      <c r="E230" s="87" t="s">
        <v>1946</v>
      </c>
      <c r="F230" s="91">
        <v>0</v>
      </c>
      <c r="G230" s="82">
        <v>0</v>
      </c>
      <c r="H230" s="82">
        <v>0</v>
      </c>
      <c r="I230" s="82">
        <v>0</v>
      </c>
    </row>
    <row r="231" spans="1:9" x14ac:dyDescent="0.25">
      <c r="A231" s="85">
        <v>46164</v>
      </c>
      <c r="B231" s="86" t="s">
        <v>1520</v>
      </c>
      <c r="C231" s="86">
        <v>1000</v>
      </c>
      <c r="D231" s="55" t="s">
        <v>1950</v>
      </c>
      <c r="E231" s="87" t="s">
        <v>1946</v>
      </c>
      <c r="F231" s="91">
        <v>0</v>
      </c>
      <c r="G231" s="82">
        <v>0</v>
      </c>
      <c r="H231" s="82">
        <v>0</v>
      </c>
      <c r="I231" s="82">
        <v>0</v>
      </c>
    </row>
    <row r="232" spans="1:9" x14ac:dyDescent="0.25">
      <c r="A232" s="85">
        <v>46164</v>
      </c>
      <c r="B232" s="86" t="s">
        <v>59</v>
      </c>
      <c r="C232" s="86">
        <v>1900</v>
      </c>
      <c r="D232" s="55" t="s">
        <v>1952</v>
      </c>
      <c r="E232" s="87" t="s">
        <v>1946</v>
      </c>
      <c r="F232" s="91">
        <v>0</v>
      </c>
      <c r="G232" s="82" t="s">
        <v>2003</v>
      </c>
      <c r="H232" s="82">
        <v>24</v>
      </c>
      <c r="I232" s="82">
        <f>8*5</f>
        <v>40</v>
      </c>
    </row>
    <row r="233" spans="1:9" x14ac:dyDescent="0.25">
      <c r="A233" s="85">
        <v>46164</v>
      </c>
      <c r="B233" s="86" t="s">
        <v>1486</v>
      </c>
      <c r="C233" s="86">
        <v>1900</v>
      </c>
      <c r="D233" s="55" t="s">
        <v>1952</v>
      </c>
      <c r="E233" s="87" t="s">
        <v>1946</v>
      </c>
      <c r="F233" s="91">
        <v>0</v>
      </c>
      <c r="G233" s="82" t="s">
        <v>2003</v>
      </c>
      <c r="H233" s="82">
        <v>24</v>
      </c>
      <c r="I233" s="82">
        <f>8*5</f>
        <v>40</v>
      </c>
    </row>
    <row r="234" spans="1:9" x14ac:dyDescent="0.25">
      <c r="A234" s="85">
        <v>46164</v>
      </c>
      <c r="B234" s="86" t="s">
        <v>904</v>
      </c>
      <c r="C234" s="86">
        <v>2000</v>
      </c>
      <c r="D234" s="88" t="s">
        <v>1978</v>
      </c>
      <c r="E234" s="87" t="s">
        <v>1946</v>
      </c>
      <c r="F234" s="91">
        <v>100</v>
      </c>
      <c r="G234" s="82">
        <v>0</v>
      </c>
      <c r="H234" s="82">
        <v>0</v>
      </c>
      <c r="I234" s="82">
        <v>0</v>
      </c>
    </row>
    <row r="235" spans="1:9" x14ac:dyDescent="0.25">
      <c r="A235" s="85">
        <v>46164</v>
      </c>
      <c r="B235" s="86" t="s">
        <v>1498</v>
      </c>
      <c r="C235" s="86">
        <v>2000</v>
      </c>
      <c r="D235" s="88" t="s">
        <v>1978</v>
      </c>
      <c r="E235" s="87" t="s">
        <v>1946</v>
      </c>
      <c r="F235" s="91">
        <v>100</v>
      </c>
      <c r="G235" s="82">
        <v>0</v>
      </c>
      <c r="H235" s="82">
        <v>0</v>
      </c>
      <c r="I235" s="82">
        <v>0</v>
      </c>
    </row>
    <row r="236" spans="1:9" x14ac:dyDescent="0.25">
      <c r="A236" s="85">
        <v>46164</v>
      </c>
      <c r="B236" s="86" t="s">
        <v>1484</v>
      </c>
      <c r="C236" s="86">
        <v>5450</v>
      </c>
      <c r="D236" s="88" t="s">
        <v>69</v>
      </c>
      <c r="E236" s="87" t="s">
        <v>1946</v>
      </c>
      <c r="F236" s="91">
        <v>200</v>
      </c>
      <c r="G236" s="82" t="s">
        <v>1993</v>
      </c>
      <c r="H236" s="82">
        <v>130</v>
      </c>
      <c r="I236" s="82">
        <v>220</v>
      </c>
    </row>
    <row r="237" spans="1:9" x14ac:dyDescent="0.25">
      <c r="A237" s="85">
        <v>46164</v>
      </c>
      <c r="B237" s="86" t="s">
        <v>904</v>
      </c>
      <c r="C237" s="86">
        <v>5450</v>
      </c>
      <c r="D237" s="88" t="s">
        <v>69</v>
      </c>
      <c r="E237" s="87" t="s">
        <v>1946</v>
      </c>
      <c r="F237" s="91">
        <v>200</v>
      </c>
      <c r="G237" s="82" t="s">
        <v>1993</v>
      </c>
      <c r="H237" s="82">
        <v>130</v>
      </c>
      <c r="I237" s="82">
        <v>220</v>
      </c>
    </row>
    <row r="238" spans="1:9" x14ac:dyDescent="0.25">
      <c r="A238" s="85">
        <v>46164</v>
      </c>
      <c r="B238" s="86" t="s">
        <v>1498</v>
      </c>
      <c r="C238" s="86">
        <v>5450</v>
      </c>
      <c r="D238" s="88" t="s">
        <v>69</v>
      </c>
      <c r="E238" s="87" t="s">
        <v>1946</v>
      </c>
      <c r="F238" s="91">
        <v>200</v>
      </c>
      <c r="G238" s="82" t="s">
        <v>1993</v>
      </c>
      <c r="H238" s="82">
        <v>130</v>
      </c>
      <c r="I238" s="82">
        <v>220</v>
      </c>
    </row>
    <row r="239" spans="1:9" x14ac:dyDescent="0.25">
      <c r="A239" s="85">
        <v>46165</v>
      </c>
      <c r="B239" s="86" t="s">
        <v>59</v>
      </c>
      <c r="C239" s="86">
        <v>5450</v>
      </c>
      <c r="D239" s="88" t="s">
        <v>69</v>
      </c>
      <c r="E239" s="87" t="s">
        <v>1946</v>
      </c>
      <c r="F239" s="91">
        <v>200</v>
      </c>
      <c r="G239" s="82" t="s">
        <v>1993</v>
      </c>
      <c r="H239" s="82">
        <v>130</v>
      </c>
      <c r="I239" s="82">
        <v>220</v>
      </c>
    </row>
    <row r="240" spans="1:9" x14ac:dyDescent="0.25">
      <c r="A240" s="85">
        <v>46165</v>
      </c>
      <c r="B240" s="86" t="s">
        <v>1486</v>
      </c>
      <c r="C240" s="86">
        <v>5450</v>
      </c>
      <c r="D240" s="88" t="s">
        <v>69</v>
      </c>
      <c r="E240" s="87" t="s">
        <v>1946</v>
      </c>
      <c r="F240" s="91">
        <v>200</v>
      </c>
      <c r="G240" s="82" t="s">
        <v>1993</v>
      </c>
      <c r="H240" s="82">
        <v>130</v>
      </c>
      <c r="I240" s="82">
        <v>220</v>
      </c>
    </row>
    <row r="241" spans="1:9" x14ac:dyDescent="0.25">
      <c r="A241" s="85">
        <v>46165</v>
      </c>
      <c r="B241" s="86" t="s">
        <v>904</v>
      </c>
      <c r="C241" s="86">
        <v>5450</v>
      </c>
      <c r="D241" s="88" t="s">
        <v>69</v>
      </c>
      <c r="E241" s="87" t="s">
        <v>1946</v>
      </c>
      <c r="F241" s="91">
        <v>200</v>
      </c>
      <c r="G241" s="82" t="s">
        <v>1993</v>
      </c>
      <c r="H241" s="82">
        <v>130</v>
      </c>
      <c r="I241" s="82">
        <v>220</v>
      </c>
    </row>
    <row r="242" spans="1:9" x14ac:dyDescent="0.25">
      <c r="A242" s="85">
        <v>46166</v>
      </c>
      <c r="B242" s="86" t="s">
        <v>896</v>
      </c>
      <c r="C242" s="86">
        <v>5450</v>
      </c>
      <c r="D242" s="88" t="s">
        <v>69</v>
      </c>
      <c r="E242" s="87" t="s">
        <v>1946</v>
      </c>
      <c r="F242" s="91">
        <v>200</v>
      </c>
      <c r="G242" s="82" t="s">
        <v>1993</v>
      </c>
      <c r="H242" s="82">
        <v>130</v>
      </c>
      <c r="I242" s="82">
        <v>220</v>
      </c>
    </row>
    <row r="243" spans="1:9" x14ac:dyDescent="0.25">
      <c r="A243" s="85">
        <v>46167</v>
      </c>
      <c r="B243" s="86" t="s">
        <v>1495</v>
      </c>
      <c r="C243" s="86">
        <v>1000</v>
      </c>
      <c r="D243" s="55" t="s">
        <v>1950</v>
      </c>
      <c r="E243" s="87" t="s">
        <v>1946</v>
      </c>
      <c r="F243" s="91">
        <v>0</v>
      </c>
      <c r="G243" s="82">
        <v>0</v>
      </c>
      <c r="H243" s="82">
        <v>0</v>
      </c>
      <c r="I243" s="82">
        <v>0</v>
      </c>
    </row>
    <row r="244" spans="1:9" x14ac:dyDescent="0.25">
      <c r="A244" s="85">
        <v>46167</v>
      </c>
      <c r="B244" s="86" t="s">
        <v>1778</v>
      </c>
      <c r="C244" s="86">
        <v>1000</v>
      </c>
      <c r="D244" s="55" t="s">
        <v>1950</v>
      </c>
      <c r="E244" s="87" t="s">
        <v>1946</v>
      </c>
      <c r="F244" s="91">
        <v>0</v>
      </c>
      <c r="G244" s="82">
        <v>0</v>
      </c>
      <c r="H244" s="82">
        <v>0</v>
      </c>
      <c r="I244" s="82">
        <v>0</v>
      </c>
    </row>
    <row r="245" spans="1:9" x14ac:dyDescent="0.25">
      <c r="A245" s="85">
        <v>46167</v>
      </c>
      <c r="B245" s="86" t="s">
        <v>1778</v>
      </c>
      <c r="C245" s="86">
        <v>1500</v>
      </c>
      <c r="D245" s="55" t="s">
        <v>1947</v>
      </c>
      <c r="E245" s="87" t="s">
        <v>1946</v>
      </c>
      <c r="F245" s="91">
        <v>100</v>
      </c>
      <c r="G245" s="82" t="s">
        <v>1992</v>
      </c>
      <c r="H245" s="82">
        <v>52</v>
      </c>
      <c r="I245" s="82">
        <v>85</v>
      </c>
    </row>
    <row r="246" spans="1:9" x14ac:dyDescent="0.25">
      <c r="A246" s="85">
        <v>46167</v>
      </c>
      <c r="B246" s="86" t="s">
        <v>1778</v>
      </c>
      <c r="C246" s="86">
        <v>400</v>
      </c>
      <c r="D246" s="88" t="s">
        <v>1979</v>
      </c>
      <c r="E246" s="87" t="s">
        <v>1946</v>
      </c>
      <c r="F246" s="91">
        <v>0</v>
      </c>
      <c r="G246" s="82">
        <v>0</v>
      </c>
      <c r="H246" s="82">
        <v>0</v>
      </c>
      <c r="I246" s="82">
        <v>0</v>
      </c>
    </row>
    <row r="247" spans="1:9" x14ac:dyDescent="0.25">
      <c r="A247" s="85">
        <v>46167</v>
      </c>
      <c r="B247" s="86" t="s">
        <v>1520</v>
      </c>
      <c r="C247" s="86">
        <v>400</v>
      </c>
      <c r="D247" s="88" t="s">
        <v>1979</v>
      </c>
      <c r="E247" s="87" t="s">
        <v>1946</v>
      </c>
      <c r="F247" s="91">
        <v>0</v>
      </c>
      <c r="G247" s="82">
        <v>0</v>
      </c>
      <c r="H247" s="82">
        <v>0</v>
      </c>
      <c r="I247" s="82">
        <v>0</v>
      </c>
    </row>
    <row r="248" spans="1:9" x14ac:dyDescent="0.25">
      <c r="A248" s="85">
        <v>46167</v>
      </c>
      <c r="B248" s="86" t="s">
        <v>1520</v>
      </c>
      <c r="C248" s="86">
        <v>5450</v>
      </c>
      <c r="D248" s="88" t="s">
        <v>69</v>
      </c>
      <c r="E248" s="87" t="s">
        <v>1946</v>
      </c>
      <c r="F248" s="91">
        <v>200</v>
      </c>
      <c r="G248" s="82" t="s">
        <v>1993</v>
      </c>
      <c r="H248" s="82">
        <v>130</v>
      </c>
      <c r="I248" s="82">
        <v>220</v>
      </c>
    </row>
    <row r="249" spans="1:9" x14ac:dyDescent="0.25">
      <c r="A249" s="85">
        <v>46167</v>
      </c>
      <c r="B249" s="86" t="s">
        <v>1495</v>
      </c>
      <c r="C249" s="86">
        <v>400</v>
      </c>
      <c r="D249" s="88" t="s">
        <v>1979</v>
      </c>
      <c r="E249" s="87" t="s">
        <v>1946</v>
      </c>
      <c r="F249" s="91">
        <v>0</v>
      </c>
      <c r="G249" s="82">
        <v>0</v>
      </c>
      <c r="H249" s="82">
        <v>0</v>
      </c>
      <c r="I249" s="82">
        <v>0</v>
      </c>
    </row>
    <row r="250" spans="1:9" x14ac:dyDescent="0.25">
      <c r="A250" s="85">
        <v>46167</v>
      </c>
      <c r="B250" s="86" t="s">
        <v>1495</v>
      </c>
      <c r="C250" s="86">
        <v>5450</v>
      </c>
      <c r="D250" s="88" t="s">
        <v>69</v>
      </c>
      <c r="E250" s="87" t="s">
        <v>1946</v>
      </c>
      <c r="F250" s="91">
        <v>200</v>
      </c>
      <c r="G250" s="82" t="s">
        <v>1993</v>
      </c>
      <c r="H250" s="82">
        <v>130</v>
      </c>
      <c r="I250" s="82">
        <v>220</v>
      </c>
    </row>
    <row r="251" spans="1:9" x14ac:dyDescent="0.25">
      <c r="A251" s="85">
        <v>46167</v>
      </c>
      <c r="B251" s="86" t="s">
        <v>904</v>
      </c>
      <c r="C251" s="86">
        <v>1900</v>
      </c>
      <c r="D251" s="55" t="s">
        <v>1952</v>
      </c>
      <c r="E251" s="87" t="s">
        <v>1946</v>
      </c>
      <c r="F251" s="91">
        <v>0</v>
      </c>
      <c r="G251" s="82" t="s">
        <v>2003</v>
      </c>
      <c r="H251" s="82">
        <v>24</v>
      </c>
      <c r="I251" s="82">
        <f>8*5</f>
        <v>40</v>
      </c>
    </row>
    <row r="252" spans="1:9" x14ac:dyDescent="0.25">
      <c r="A252" s="85">
        <v>46167</v>
      </c>
      <c r="B252" s="86" t="s">
        <v>1486</v>
      </c>
      <c r="C252" s="86">
        <v>5450</v>
      </c>
      <c r="D252" s="88" t="s">
        <v>69</v>
      </c>
      <c r="E252" s="87" t="s">
        <v>1946</v>
      </c>
      <c r="F252" s="91">
        <v>200</v>
      </c>
      <c r="G252" s="82" t="s">
        <v>1993</v>
      </c>
      <c r="H252" s="82">
        <v>130</v>
      </c>
      <c r="I252" s="82">
        <v>220</v>
      </c>
    </row>
    <row r="253" spans="1:9" x14ac:dyDescent="0.25">
      <c r="A253" s="85">
        <v>46167</v>
      </c>
      <c r="B253" s="86" t="s">
        <v>1484</v>
      </c>
      <c r="C253" s="86">
        <v>5450</v>
      </c>
      <c r="D253" s="88" t="s">
        <v>69</v>
      </c>
      <c r="E253" s="87" t="s">
        <v>1946</v>
      </c>
      <c r="F253" s="91">
        <v>200</v>
      </c>
      <c r="G253" s="82" t="s">
        <v>1993</v>
      </c>
      <c r="H253" s="82">
        <v>130</v>
      </c>
      <c r="I253" s="82">
        <v>220</v>
      </c>
    </row>
    <row r="254" spans="1:9" x14ac:dyDescent="0.25">
      <c r="A254" s="85">
        <v>46167</v>
      </c>
      <c r="B254" s="86" t="s">
        <v>1498</v>
      </c>
      <c r="C254" s="86">
        <v>5450</v>
      </c>
      <c r="D254" s="88" t="s">
        <v>69</v>
      </c>
      <c r="E254" s="87" t="s">
        <v>1946</v>
      </c>
      <c r="F254" s="91">
        <v>200</v>
      </c>
      <c r="G254" s="82" t="s">
        <v>1993</v>
      </c>
      <c r="H254" s="82">
        <v>130</v>
      </c>
      <c r="I254" s="82">
        <v>220</v>
      </c>
    </row>
    <row r="255" spans="1:9" x14ac:dyDescent="0.25">
      <c r="A255" s="85">
        <v>46167</v>
      </c>
      <c r="B255" s="86" t="s">
        <v>59</v>
      </c>
      <c r="C255" s="86">
        <v>5450</v>
      </c>
      <c r="D255" s="88" t="s">
        <v>69</v>
      </c>
      <c r="E255" s="87" t="s">
        <v>1946</v>
      </c>
      <c r="F255" s="91">
        <v>200</v>
      </c>
      <c r="G255" s="82" t="s">
        <v>1993</v>
      </c>
      <c r="H255" s="82">
        <v>130</v>
      </c>
      <c r="I255" s="82">
        <v>220</v>
      </c>
    </row>
    <row r="256" spans="1:9" x14ac:dyDescent="0.25">
      <c r="A256" s="85">
        <v>46167</v>
      </c>
      <c r="B256" s="86" t="s">
        <v>1778</v>
      </c>
      <c r="C256" s="86">
        <v>1000</v>
      </c>
      <c r="D256" s="88" t="s">
        <v>1951</v>
      </c>
      <c r="E256" s="87" t="s">
        <v>1946</v>
      </c>
      <c r="F256" s="91">
        <v>0</v>
      </c>
      <c r="G256" s="82">
        <v>0</v>
      </c>
      <c r="H256" s="82">
        <v>0</v>
      </c>
      <c r="I256" s="82">
        <v>0</v>
      </c>
    </row>
    <row r="257" spans="1:9" x14ac:dyDescent="0.25">
      <c r="A257" s="85">
        <v>46167</v>
      </c>
      <c r="B257" s="86" t="s">
        <v>904</v>
      </c>
      <c r="C257" s="86">
        <f>5450-500</f>
        <v>4950</v>
      </c>
      <c r="D257" s="88" t="s">
        <v>69</v>
      </c>
      <c r="E257" s="87" t="s">
        <v>1946</v>
      </c>
      <c r="F257" s="91">
        <v>200</v>
      </c>
      <c r="G257" s="82" t="s">
        <v>1993</v>
      </c>
      <c r="H257" s="82">
        <v>130</v>
      </c>
      <c r="I257" s="82">
        <v>220</v>
      </c>
    </row>
    <row r="258" spans="1:9" x14ac:dyDescent="0.25">
      <c r="A258" s="85">
        <v>46167</v>
      </c>
      <c r="B258" s="86" t="s">
        <v>1778</v>
      </c>
      <c r="C258" s="86">
        <v>1400</v>
      </c>
      <c r="D258" s="88" t="s">
        <v>1951</v>
      </c>
      <c r="E258" s="87" t="s">
        <v>1946</v>
      </c>
      <c r="F258" s="91">
        <v>0</v>
      </c>
      <c r="G258" s="82">
        <v>0</v>
      </c>
      <c r="H258" s="82">
        <v>0</v>
      </c>
      <c r="I258" s="82">
        <v>0</v>
      </c>
    </row>
    <row r="259" spans="1:9" x14ac:dyDescent="0.25">
      <c r="A259" s="85">
        <v>46168</v>
      </c>
      <c r="B259" s="86" t="s">
        <v>1484</v>
      </c>
      <c r="C259" s="86">
        <v>1500</v>
      </c>
      <c r="D259" s="55" t="s">
        <v>1952</v>
      </c>
      <c r="E259" s="87" t="s">
        <v>1946</v>
      </c>
      <c r="F259" s="91">
        <v>0</v>
      </c>
      <c r="G259" s="82" t="s">
        <v>2003</v>
      </c>
      <c r="H259" s="82">
        <v>24</v>
      </c>
      <c r="I259" s="82">
        <f>8*8</f>
        <v>64</v>
      </c>
    </row>
    <row r="260" spans="1:9" x14ac:dyDescent="0.25">
      <c r="A260" s="85">
        <v>46168</v>
      </c>
      <c r="B260" s="86" t="s">
        <v>1484</v>
      </c>
      <c r="C260" s="86">
        <v>5000</v>
      </c>
      <c r="D260" s="55" t="s">
        <v>1957</v>
      </c>
      <c r="E260" s="87" t="s">
        <v>1946</v>
      </c>
      <c r="F260" s="91">
        <v>400</v>
      </c>
      <c r="G260" s="82" t="s">
        <v>1989</v>
      </c>
      <c r="H260" s="82">
        <v>90</v>
      </c>
      <c r="I260" s="82">
        <f>30*8</f>
        <v>240</v>
      </c>
    </row>
    <row r="261" spans="1:9" x14ac:dyDescent="0.25">
      <c r="A261" s="85">
        <v>46168</v>
      </c>
      <c r="B261" s="86" t="s">
        <v>1486</v>
      </c>
      <c r="C261" s="86">
        <v>5450</v>
      </c>
      <c r="D261" s="88" t="s">
        <v>69</v>
      </c>
      <c r="E261" s="87" t="s">
        <v>1946</v>
      </c>
      <c r="F261" s="91">
        <v>400</v>
      </c>
      <c r="G261" s="82" t="s">
        <v>1993</v>
      </c>
      <c r="H261" s="82">
        <v>130</v>
      </c>
      <c r="I261" s="82">
        <v>344</v>
      </c>
    </row>
    <row r="262" spans="1:9" x14ac:dyDescent="0.25">
      <c r="A262" s="85">
        <v>46168</v>
      </c>
      <c r="B262" s="86" t="s">
        <v>1520</v>
      </c>
      <c r="C262" s="86">
        <v>5450</v>
      </c>
      <c r="D262" s="88" t="s">
        <v>69</v>
      </c>
      <c r="E262" s="87" t="s">
        <v>1946</v>
      </c>
      <c r="F262" s="91">
        <v>400</v>
      </c>
      <c r="G262" s="82" t="s">
        <v>1993</v>
      </c>
      <c r="H262" s="82">
        <v>130</v>
      </c>
      <c r="I262" s="82">
        <v>344</v>
      </c>
    </row>
    <row r="263" spans="1:9" x14ac:dyDescent="0.25">
      <c r="A263" s="85">
        <v>46168</v>
      </c>
      <c r="B263" s="86" t="s">
        <v>1498</v>
      </c>
      <c r="C263" s="86">
        <v>5450</v>
      </c>
      <c r="D263" s="88" t="s">
        <v>69</v>
      </c>
      <c r="E263" s="87" t="s">
        <v>1946</v>
      </c>
      <c r="F263" s="91">
        <v>400</v>
      </c>
      <c r="G263" s="82" t="s">
        <v>1993</v>
      </c>
      <c r="H263" s="82">
        <v>130</v>
      </c>
      <c r="I263" s="82">
        <v>344</v>
      </c>
    </row>
    <row r="264" spans="1:9" x14ac:dyDescent="0.25">
      <c r="A264" s="85">
        <v>46168</v>
      </c>
      <c r="B264" s="86" t="s">
        <v>1495</v>
      </c>
      <c r="C264" s="86">
        <v>5450</v>
      </c>
      <c r="D264" s="88" t="s">
        <v>69</v>
      </c>
      <c r="E264" s="87" t="s">
        <v>1946</v>
      </c>
      <c r="F264" s="91">
        <v>400</v>
      </c>
      <c r="G264" s="82" t="s">
        <v>1993</v>
      </c>
      <c r="H264" s="82">
        <v>130</v>
      </c>
      <c r="I264" s="82">
        <v>344</v>
      </c>
    </row>
    <row r="265" spans="1:9" x14ac:dyDescent="0.25">
      <c r="A265" s="85">
        <v>46169</v>
      </c>
      <c r="B265" s="86" t="s">
        <v>1484</v>
      </c>
      <c r="C265" s="86">
        <v>200</v>
      </c>
      <c r="D265" s="55" t="s">
        <v>35</v>
      </c>
      <c r="E265" s="87" t="s">
        <v>1946</v>
      </c>
      <c r="F265" s="91">
        <v>0</v>
      </c>
      <c r="G265" s="82" t="s">
        <v>1987</v>
      </c>
      <c r="H265" s="82">
        <v>100</v>
      </c>
      <c r="I265" s="82">
        <f>33*8</f>
        <v>264</v>
      </c>
    </row>
    <row r="266" spans="1:9" x14ac:dyDescent="0.25">
      <c r="A266" s="85">
        <v>46169</v>
      </c>
      <c r="B266" s="86" t="s">
        <v>896</v>
      </c>
      <c r="C266" s="86">
        <v>5450</v>
      </c>
      <c r="D266" s="88" t="s">
        <v>69</v>
      </c>
      <c r="E266" s="87" t="s">
        <v>1946</v>
      </c>
      <c r="F266" s="91">
        <v>400</v>
      </c>
      <c r="G266" s="82" t="s">
        <v>1993</v>
      </c>
      <c r="H266" s="82">
        <v>130</v>
      </c>
      <c r="I266" s="82">
        <v>344</v>
      </c>
    </row>
    <row r="267" spans="1:9" x14ac:dyDescent="0.25">
      <c r="A267" s="85">
        <v>46169</v>
      </c>
      <c r="B267" s="86" t="s">
        <v>1778</v>
      </c>
      <c r="C267" s="86">
        <v>1000</v>
      </c>
      <c r="D267" s="88" t="s">
        <v>1951</v>
      </c>
      <c r="E267" s="87" t="s">
        <v>1946</v>
      </c>
      <c r="F267" s="91">
        <v>0</v>
      </c>
      <c r="G267" s="82">
        <v>0</v>
      </c>
      <c r="H267" s="82">
        <v>0</v>
      </c>
      <c r="I267" s="82">
        <v>0</v>
      </c>
    </row>
    <row r="268" spans="1:9" x14ac:dyDescent="0.25">
      <c r="A268" s="85">
        <v>46169</v>
      </c>
      <c r="B268" s="86" t="s">
        <v>1778</v>
      </c>
      <c r="C268" s="86">
        <v>6200</v>
      </c>
      <c r="D268" s="55" t="s">
        <v>1980</v>
      </c>
      <c r="E268" s="87" t="s">
        <v>1946</v>
      </c>
      <c r="F268" s="91">
        <v>400</v>
      </c>
      <c r="G268" s="82" t="s">
        <v>1995</v>
      </c>
      <c r="H268" s="82">
        <v>70</v>
      </c>
      <c r="I268" s="82">
        <f>23*8</f>
        <v>184</v>
      </c>
    </row>
    <row r="269" spans="1:9" x14ac:dyDescent="0.25">
      <c r="A269" s="85">
        <v>46169</v>
      </c>
      <c r="B269" s="86" t="s">
        <v>904</v>
      </c>
      <c r="C269" s="86">
        <v>5000</v>
      </c>
      <c r="D269" s="55" t="s">
        <v>1957</v>
      </c>
      <c r="E269" s="87" t="s">
        <v>1946</v>
      </c>
      <c r="F269" s="91">
        <v>400</v>
      </c>
      <c r="G269" s="82" t="s">
        <v>1989</v>
      </c>
      <c r="H269" s="82">
        <v>90</v>
      </c>
      <c r="I269" s="82">
        <v>240</v>
      </c>
    </row>
    <row r="270" spans="1:9" x14ac:dyDescent="0.25">
      <c r="A270" s="85">
        <v>46169</v>
      </c>
      <c r="B270" s="86" t="s">
        <v>896</v>
      </c>
      <c r="C270" s="86">
        <v>1500</v>
      </c>
      <c r="D270" s="55" t="s">
        <v>1952</v>
      </c>
      <c r="E270" s="87" t="s">
        <v>1946</v>
      </c>
      <c r="F270" s="91">
        <v>0</v>
      </c>
      <c r="G270" s="82" t="s">
        <v>2003</v>
      </c>
      <c r="H270" s="82">
        <v>24</v>
      </c>
      <c r="I270" s="82">
        <f>8*8</f>
        <v>64</v>
      </c>
    </row>
    <row r="271" spans="1:9" x14ac:dyDescent="0.25">
      <c r="A271" s="85">
        <v>46169</v>
      </c>
      <c r="B271" s="86" t="s">
        <v>1495</v>
      </c>
      <c r="C271" s="86">
        <v>1900</v>
      </c>
      <c r="D271" s="55" t="s">
        <v>1952</v>
      </c>
      <c r="E271" s="87" t="s">
        <v>1946</v>
      </c>
      <c r="F271" s="91">
        <v>0</v>
      </c>
      <c r="G271" s="82" t="s">
        <v>2003</v>
      </c>
      <c r="H271" s="82">
        <v>24</v>
      </c>
      <c r="I271" s="82">
        <f>8*8</f>
        <v>64</v>
      </c>
    </row>
    <row r="272" spans="1:9" x14ac:dyDescent="0.25">
      <c r="A272" s="85">
        <v>46169</v>
      </c>
      <c r="B272" s="86" t="s">
        <v>59</v>
      </c>
      <c r="C272" s="86">
        <v>5450</v>
      </c>
      <c r="D272" s="88" t="s">
        <v>69</v>
      </c>
      <c r="E272" s="87" t="s">
        <v>1946</v>
      </c>
      <c r="F272" s="91">
        <v>400</v>
      </c>
      <c r="G272" s="82" t="s">
        <v>1993</v>
      </c>
      <c r="H272" s="82">
        <v>130</v>
      </c>
      <c r="I272" s="82">
        <v>344</v>
      </c>
    </row>
    <row r="273" spans="1:9" x14ac:dyDescent="0.25">
      <c r="A273" s="85">
        <v>46169</v>
      </c>
      <c r="B273" s="86" t="s">
        <v>896</v>
      </c>
      <c r="C273" s="86">
        <v>5450</v>
      </c>
      <c r="D273" s="88" t="s">
        <v>69</v>
      </c>
      <c r="E273" s="87" t="s">
        <v>1946</v>
      </c>
      <c r="F273" s="91">
        <v>400</v>
      </c>
      <c r="G273" s="82" t="s">
        <v>1993</v>
      </c>
      <c r="H273" s="82">
        <v>130</v>
      </c>
      <c r="I273" s="82">
        <v>344</v>
      </c>
    </row>
    <row r="274" spans="1:9" x14ac:dyDescent="0.25">
      <c r="A274" s="85">
        <v>46169</v>
      </c>
      <c r="B274" s="86" t="s">
        <v>1484</v>
      </c>
      <c r="C274" s="86">
        <v>3950</v>
      </c>
      <c r="D274" s="88" t="s">
        <v>1972</v>
      </c>
      <c r="E274" s="87" t="s">
        <v>1946</v>
      </c>
      <c r="F274" s="91">
        <v>200</v>
      </c>
      <c r="G274" s="82" t="s">
        <v>1991</v>
      </c>
      <c r="H274" s="82">
        <v>125</v>
      </c>
      <c r="I274" s="82">
        <f>42*8</f>
        <v>336</v>
      </c>
    </row>
    <row r="275" spans="1:9" x14ac:dyDescent="0.25">
      <c r="A275" s="85">
        <v>46170</v>
      </c>
      <c r="B275" s="86" t="s">
        <v>1495</v>
      </c>
      <c r="C275" s="86">
        <v>4950</v>
      </c>
      <c r="D275" s="88" t="s">
        <v>69</v>
      </c>
      <c r="E275" s="87" t="s">
        <v>1946</v>
      </c>
      <c r="F275" s="91">
        <v>400</v>
      </c>
      <c r="G275" s="82" t="s">
        <v>1993</v>
      </c>
      <c r="H275" s="82">
        <v>130</v>
      </c>
      <c r="I275" s="82">
        <v>344</v>
      </c>
    </row>
    <row r="276" spans="1:9" x14ac:dyDescent="0.25">
      <c r="A276" s="85">
        <v>46170</v>
      </c>
      <c r="B276" s="86" t="s">
        <v>1520</v>
      </c>
      <c r="C276" s="86">
        <v>6200</v>
      </c>
      <c r="D276" s="55" t="s">
        <v>1981</v>
      </c>
      <c r="E276" s="87" t="s">
        <v>1946</v>
      </c>
      <c r="F276" s="91">
        <v>0</v>
      </c>
      <c r="G276" s="82" t="s">
        <v>1996</v>
      </c>
      <c r="H276" s="82">
        <v>150</v>
      </c>
      <c r="I276" s="82">
        <f>50*8</f>
        <v>400</v>
      </c>
    </row>
    <row r="277" spans="1:9" x14ac:dyDescent="0.25">
      <c r="A277" s="85">
        <v>46170</v>
      </c>
      <c r="B277" s="86" t="s">
        <v>1498</v>
      </c>
      <c r="C277" s="86">
        <v>5200</v>
      </c>
      <c r="D277" s="88" t="s">
        <v>35</v>
      </c>
      <c r="E277" s="87" t="s">
        <v>1946</v>
      </c>
      <c r="F277" s="91">
        <v>400</v>
      </c>
      <c r="G277" s="82" t="s">
        <v>1987</v>
      </c>
      <c r="H277" s="82">
        <v>100</v>
      </c>
      <c r="I277" s="82">
        <v>264</v>
      </c>
    </row>
    <row r="278" spans="1:9" x14ac:dyDescent="0.25">
      <c r="A278" s="85">
        <v>46170</v>
      </c>
      <c r="B278" s="86" t="s">
        <v>1486</v>
      </c>
      <c r="C278" s="86">
        <v>5450</v>
      </c>
      <c r="D278" s="88" t="s">
        <v>69</v>
      </c>
      <c r="E278" s="87" t="s">
        <v>1946</v>
      </c>
      <c r="F278" s="91">
        <v>400</v>
      </c>
      <c r="G278" s="82" t="s">
        <v>1993</v>
      </c>
      <c r="H278" s="82">
        <v>130</v>
      </c>
      <c r="I278" s="82">
        <v>344</v>
      </c>
    </row>
    <row r="279" spans="1:9" x14ac:dyDescent="0.25">
      <c r="A279" s="85">
        <v>46170</v>
      </c>
      <c r="B279" s="86" t="s">
        <v>904</v>
      </c>
      <c r="C279" s="86">
        <v>5450</v>
      </c>
      <c r="D279" s="88" t="s">
        <v>69</v>
      </c>
      <c r="E279" s="87" t="s">
        <v>1946</v>
      </c>
      <c r="F279" s="91">
        <v>400</v>
      </c>
      <c r="G279" s="82" t="s">
        <v>1993</v>
      </c>
      <c r="H279" s="82">
        <v>130</v>
      </c>
      <c r="I279" s="82">
        <v>344</v>
      </c>
    </row>
    <row r="280" spans="1:9" x14ac:dyDescent="0.25">
      <c r="A280" s="85">
        <v>46170</v>
      </c>
      <c r="B280" s="86" t="s">
        <v>1484</v>
      </c>
      <c r="C280" s="86">
        <v>5450</v>
      </c>
      <c r="D280" s="88" t="s">
        <v>69</v>
      </c>
      <c r="E280" s="87" t="s">
        <v>1946</v>
      </c>
      <c r="F280" s="91">
        <v>400</v>
      </c>
      <c r="G280" s="82" t="s">
        <v>1993</v>
      </c>
      <c r="H280" s="82">
        <v>130</v>
      </c>
      <c r="I280" s="82">
        <v>344</v>
      </c>
    </row>
    <row r="281" spans="1:9" x14ac:dyDescent="0.25">
      <c r="A281" s="85">
        <v>46170</v>
      </c>
      <c r="B281" s="86" t="s">
        <v>59</v>
      </c>
      <c r="C281" s="86">
        <v>5450</v>
      </c>
      <c r="D281" s="88" t="s">
        <v>69</v>
      </c>
      <c r="E281" s="87" t="s">
        <v>1946</v>
      </c>
      <c r="F281" s="91">
        <v>400</v>
      </c>
      <c r="G281" s="82" t="s">
        <v>1993</v>
      </c>
      <c r="H281" s="82">
        <v>130</v>
      </c>
      <c r="I281" s="82">
        <v>344</v>
      </c>
    </row>
    <row r="282" spans="1:9" x14ac:dyDescent="0.25">
      <c r="A282" s="85">
        <v>46170</v>
      </c>
      <c r="B282" s="86" t="s">
        <v>896</v>
      </c>
      <c r="C282" s="86">
        <v>1500</v>
      </c>
      <c r="D282" s="55" t="s">
        <v>1952</v>
      </c>
      <c r="E282" s="87" t="s">
        <v>1946</v>
      </c>
      <c r="F282" s="91">
        <v>0</v>
      </c>
      <c r="G282" s="82" t="s">
        <v>2003</v>
      </c>
      <c r="H282" s="82">
        <v>24</v>
      </c>
      <c r="I282" s="82">
        <f>8*8</f>
        <v>64</v>
      </c>
    </row>
    <row r="283" spans="1:9" x14ac:dyDescent="0.25">
      <c r="A283" s="85">
        <v>46170</v>
      </c>
      <c r="B283" s="86" t="s">
        <v>896</v>
      </c>
      <c r="C283" s="86">
        <v>5450</v>
      </c>
      <c r="D283" s="88" t="s">
        <v>69</v>
      </c>
      <c r="E283" s="87" t="s">
        <v>1946</v>
      </c>
      <c r="F283" s="91">
        <v>400</v>
      </c>
      <c r="G283" s="82" t="s">
        <v>1993</v>
      </c>
      <c r="H283" s="82">
        <v>130</v>
      </c>
      <c r="I283" s="82">
        <v>344</v>
      </c>
    </row>
    <row r="284" spans="1:9" x14ac:dyDescent="0.25">
      <c r="A284" s="85">
        <v>46170</v>
      </c>
      <c r="B284" s="86" t="s">
        <v>1778</v>
      </c>
      <c r="C284" s="86">
        <v>1000</v>
      </c>
      <c r="D284" s="88" t="s">
        <v>1951</v>
      </c>
      <c r="E284" s="87" t="s">
        <v>1946</v>
      </c>
      <c r="F284" s="91">
        <v>0</v>
      </c>
      <c r="G284" s="82">
        <v>0</v>
      </c>
      <c r="H284" s="82">
        <v>0</v>
      </c>
      <c r="I284" s="82">
        <v>0</v>
      </c>
    </row>
    <row r="285" spans="1:9" x14ac:dyDescent="0.25">
      <c r="A285" s="85">
        <v>46170</v>
      </c>
      <c r="B285" s="86" t="s">
        <v>1778</v>
      </c>
      <c r="C285" s="86">
        <v>700</v>
      </c>
      <c r="D285" s="88" t="s">
        <v>1951</v>
      </c>
      <c r="E285" s="87" t="s">
        <v>1946</v>
      </c>
      <c r="F285" s="91">
        <v>0</v>
      </c>
      <c r="G285" s="82">
        <v>0</v>
      </c>
      <c r="H285" s="82">
        <v>0</v>
      </c>
      <c r="I285" s="82">
        <v>0</v>
      </c>
    </row>
    <row r="286" spans="1:9" x14ac:dyDescent="0.25">
      <c r="A286" s="85">
        <v>46171</v>
      </c>
      <c r="B286" s="86" t="s">
        <v>1520</v>
      </c>
      <c r="C286" s="86">
        <f>7700-6200</f>
        <v>1500</v>
      </c>
      <c r="D286" s="55" t="s">
        <v>1981</v>
      </c>
      <c r="E286" s="87" t="s">
        <v>1946</v>
      </c>
      <c r="F286" s="91">
        <v>0</v>
      </c>
      <c r="G286" s="82">
        <v>0</v>
      </c>
      <c r="H286" s="82">
        <v>0</v>
      </c>
      <c r="I286" s="82">
        <v>0</v>
      </c>
    </row>
    <row r="287" spans="1:9" x14ac:dyDescent="0.25">
      <c r="A287" s="85">
        <v>46171</v>
      </c>
      <c r="B287" s="86" t="s">
        <v>1520</v>
      </c>
      <c r="C287" s="86">
        <v>6200</v>
      </c>
      <c r="D287" s="55" t="s">
        <v>1982</v>
      </c>
      <c r="E287" s="87" t="s">
        <v>1946</v>
      </c>
      <c r="F287" s="91">
        <v>400</v>
      </c>
      <c r="G287" s="82" t="s">
        <v>1997</v>
      </c>
      <c r="H287" s="82">
        <v>145</v>
      </c>
      <c r="I287" s="82">
        <f>48*8</f>
        <v>384</v>
      </c>
    </row>
    <row r="288" spans="1:9" x14ac:dyDescent="0.25">
      <c r="A288" s="85">
        <v>46171</v>
      </c>
      <c r="B288" s="86" t="s">
        <v>1486</v>
      </c>
      <c r="C288" s="86">
        <v>5450</v>
      </c>
      <c r="D288" s="88" t="s">
        <v>69</v>
      </c>
      <c r="E288" s="87" t="s">
        <v>1946</v>
      </c>
      <c r="F288" s="91">
        <v>400</v>
      </c>
      <c r="G288" s="82" t="s">
        <v>1993</v>
      </c>
      <c r="H288" s="82">
        <v>130</v>
      </c>
      <c r="I288" s="82">
        <v>344</v>
      </c>
    </row>
    <row r="289" spans="1:9" x14ac:dyDescent="0.25">
      <c r="A289" s="85">
        <v>46171</v>
      </c>
      <c r="B289" s="86" t="s">
        <v>1498</v>
      </c>
      <c r="C289" s="86">
        <v>3950</v>
      </c>
      <c r="D289" s="88" t="s">
        <v>1972</v>
      </c>
      <c r="E289" s="87" t="s">
        <v>1946</v>
      </c>
      <c r="F289" s="91">
        <v>200</v>
      </c>
      <c r="G289" s="82" t="s">
        <v>1991</v>
      </c>
      <c r="H289" s="82">
        <v>125</v>
      </c>
      <c r="I289" s="82">
        <v>336</v>
      </c>
    </row>
    <row r="290" spans="1:9" x14ac:dyDescent="0.25">
      <c r="A290" s="85">
        <v>46171</v>
      </c>
      <c r="B290" s="86" t="s">
        <v>1484</v>
      </c>
      <c r="C290" s="86">
        <v>5450</v>
      </c>
      <c r="D290" s="88" t="s">
        <v>69</v>
      </c>
      <c r="E290" s="87" t="s">
        <v>1946</v>
      </c>
      <c r="F290" s="91">
        <v>400</v>
      </c>
      <c r="G290" s="82" t="s">
        <v>1993</v>
      </c>
      <c r="H290" s="82">
        <v>130</v>
      </c>
      <c r="I290" s="82">
        <v>344</v>
      </c>
    </row>
    <row r="291" spans="1:9" x14ac:dyDescent="0.25">
      <c r="A291" s="85">
        <v>46171</v>
      </c>
      <c r="B291" s="86" t="s">
        <v>1495</v>
      </c>
      <c r="C291" s="86">
        <v>5450</v>
      </c>
      <c r="D291" s="88" t="s">
        <v>69</v>
      </c>
      <c r="E291" s="87" t="s">
        <v>1946</v>
      </c>
      <c r="F291" s="91">
        <v>400</v>
      </c>
      <c r="G291" s="82" t="s">
        <v>1993</v>
      </c>
      <c r="H291" s="82">
        <v>130</v>
      </c>
      <c r="I291" s="82">
        <v>344</v>
      </c>
    </row>
    <row r="292" spans="1:9" x14ac:dyDescent="0.25">
      <c r="A292" s="85">
        <v>46171</v>
      </c>
      <c r="B292" s="86" t="s">
        <v>76</v>
      </c>
      <c r="C292" s="86">
        <v>5000</v>
      </c>
      <c r="D292" s="88" t="s">
        <v>1976</v>
      </c>
      <c r="E292" s="87" t="s">
        <v>1946</v>
      </c>
      <c r="F292" s="82">
        <v>0</v>
      </c>
      <c r="G292" s="82">
        <v>0</v>
      </c>
      <c r="H292" s="82">
        <v>0</v>
      </c>
      <c r="I292" s="82">
        <v>0</v>
      </c>
    </row>
    <row r="293" spans="1:9" x14ac:dyDescent="0.25">
      <c r="A293" s="85">
        <v>46171</v>
      </c>
      <c r="B293" s="86" t="s">
        <v>76</v>
      </c>
      <c r="C293" s="86">
        <v>15000</v>
      </c>
      <c r="D293" s="88" t="s">
        <v>1976</v>
      </c>
      <c r="E293" s="87" t="s">
        <v>1946</v>
      </c>
      <c r="F293" s="82">
        <v>0</v>
      </c>
      <c r="G293" s="82">
        <v>0</v>
      </c>
      <c r="H293" s="82">
        <v>0</v>
      </c>
      <c r="I293" s="82">
        <v>0</v>
      </c>
    </row>
    <row r="294" spans="1:9" x14ac:dyDescent="0.25">
      <c r="A294" s="85">
        <v>46171</v>
      </c>
      <c r="B294" s="86" t="s">
        <v>76</v>
      </c>
      <c r="C294" s="86">
        <v>10300</v>
      </c>
      <c r="D294" s="88" t="s">
        <v>1976</v>
      </c>
      <c r="E294" s="87" t="s">
        <v>1946</v>
      </c>
      <c r="F294" s="82">
        <v>0</v>
      </c>
      <c r="G294" s="82">
        <v>0</v>
      </c>
      <c r="H294" s="82">
        <v>0</v>
      </c>
      <c r="I294" s="82">
        <v>0</v>
      </c>
    </row>
    <row r="295" spans="1:9" x14ac:dyDescent="0.25">
      <c r="A295" s="85">
        <v>46172</v>
      </c>
      <c r="B295" s="86" t="s">
        <v>896</v>
      </c>
      <c r="C295" s="86">
        <v>5000</v>
      </c>
      <c r="D295" s="55" t="s">
        <v>1957</v>
      </c>
      <c r="E295" s="87" t="s">
        <v>1946</v>
      </c>
      <c r="F295" s="91">
        <v>400</v>
      </c>
      <c r="G295" s="82" t="s">
        <v>1989</v>
      </c>
      <c r="H295" s="82">
        <v>90</v>
      </c>
      <c r="I295" s="82">
        <f>30*8</f>
        <v>240</v>
      </c>
    </row>
    <row r="296" spans="1:9" x14ac:dyDescent="0.25">
      <c r="A296" s="85">
        <v>46172</v>
      </c>
      <c r="B296" s="86" t="s">
        <v>904</v>
      </c>
      <c r="C296" s="86">
        <v>5000</v>
      </c>
      <c r="D296" s="55" t="s">
        <v>1957</v>
      </c>
      <c r="E296" s="87" t="s">
        <v>1946</v>
      </c>
      <c r="F296" s="91">
        <v>400</v>
      </c>
      <c r="G296" s="82" t="s">
        <v>1989</v>
      </c>
      <c r="H296" s="82">
        <v>90</v>
      </c>
      <c r="I296" s="82">
        <v>240</v>
      </c>
    </row>
    <row r="297" spans="1:9" x14ac:dyDescent="0.25">
      <c r="A297" s="85">
        <v>46172</v>
      </c>
      <c r="B297" s="86" t="s">
        <v>59</v>
      </c>
      <c r="C297" s="86">
        <v>7500</v>
      </c>
      <c r="D297" s="88" t="s">
        <v>1960</v>
      </c>
      <c r="E297" s="87" t="s">
        <v>1946</v>
      </c>
      <c r="F297" s="91">
        <v>400</v>
      </c>
      <c r="G297" s="82" t="s">
        <v>1993</v>
      </c>
      <c r="H297" s="82">
        <v>130</v>
      </c>
      <c r="I297" s="82">
        <v>344</v>
      </c>
    </row>
    <row r="298" spans="1:9" x14ac:dyDescent="0.25">
      <c r="A298" s="85">
        <v>46172</v>
      </c>
      <c r="B298" s="86" t="s">
        <v>1486</v>
      </c>
      <c r="C298" s="86">
        <v>4950</v>
      </c>
      <c r="D298" s="88" t="s">
        <v>139</v>
      </c>
      <c r="E298" s="87" t="s">
        <v>1946</v>
      </c>
      <c r="F298" s="91">
        <v>400</v>
      </c>
      <c r="G298" s="82" t="s">
        <v>1998</v>
      </c>
      <c r="H298" s="82">
        <v>70</v>
      </c>
      <c r="I298" s="82">
        <f>23*8</f>
        <v>184</v>
      </c>
    </row>
    <row r="299" spans="1:9" x14ac:dyDescent="0.25">
      <c r="A299" s="85">
        <v>46172</v>
      </c>
      <c r="B299" s="86" t="s">
        <v>1495</v>
      </c>
      <c r="C299" s="86">
        <v>5450</v>
      </c>
      <c r="D299" s="88" t="s">
        <v>69</v>
      </c>
      <c r="E299" s="87" t="s">
        <v>1946</v>
      </c>
      <c r="F299" s="91">
        <v>400</v>
      </c>
      <c r="G299" s="82" t="s">
        <v>1993</v>
      </c>
      <c r="H299" s="82">
        <v>130</v>
      </c>
      <c r="I299" s="82">
        <v>344</v>
      </c>
    </row>
    <row r="300" spans="1:9" x14ac:dyDescent="0.25">
      <c r="A300" s="85">
        <v>46172</v>
      </c>
      <c r="B300" s="86" t="s">
        <v>1498</v>
      </c>
      <c r="C300" s="86">
        <v>5450</v>
      </c>
      <c r="D300" s="88" t="s">
        <v>69</v>
      </c>
      <c r="E300" s="87" t="s">
        <v>1946</v>
      </c>
      <c r="F300" s="91">
        <v>400</v>
      </c>
      <c r="G300" s="82" t="s">
        <v>1993</v>
      </c>
      <c r="H300" s="82">
        <v>130</v>
      </c>
      <c r="I300" s="82">
        <v>344</v>
      </c>
    </row>
    <row r="301" spans="1:9" x14ac:dyDescent="0.25">
      <c r="A301" s="85">
        <v>46172</v>
      </c>
      <c r="B301" s="86" t="s">
        <v>904</v>
      </c>
      <c r="C301" s="86">
        <v>5450</v>
      </c>
      <c r="D301" s="88" t="s">
        <v>69</v>
      </c>
      <c r="E301" s="87" t="s">
        <v>1946</v>
      </c>
      <c r="F301" s="91">
        <v>400</v>
      </c>
      <c r="G301" s="82" t="s">
        <v>1993</v>
      </c>
      <c r="H301" s="82">
        <v>130</v>
      </c>
      <c r="I301" s="82">
        <v>344</v>
      </c>
    </row>
    <row r="302" spans="1:9" x14ac:dyDescent="0.25">
      <c r="A302" s="85">
        <v>46174</v>
      </c>
      <c r="B302" s="86" t="s">
        <v>1520</v>
      </c>
      <c r="C302" s="86">
        <v>3500</v>
      </c>
      <c r="D302" s="88" t="s">
        <v>1955</v>
      </c>
      <c r="E302" s="87" t="s">
        <v>1946</v>
      </c>
      <c r="F302" s="91">
        <v>200</v>
      </c>
      <c r="G302" s="82" t="s">
        <v>1990</v>
      </c>
      <c r="H302" s="82">
        <v>82</v>
      </c>
      <c r="I302" s="82">
        <f>27*8</f>
        <v>216</v>
      </c>
    </row>
    <row r="303" spans="1:9" x14ac:dyDescent="0.25">
      <c r="A303" s="85">
        <v>46174</v>
      </c>
      <c r="B303" s="86" t="s">
        <v>1484</v>
      </c>
      <c r="C303" s="86">
        <v>5450</v>
      </c>
      <c r="D303" s="88" t="s">
        <v>69</v>
      </c>
      <c r="E303" s="87" t="s">
        <v>1946</v>
      </c>
      <c r="F303" s="91">
        <v>400</v>
      </c>
      <c r="G303" s="82" t="s">
        <v>1993</v>
      </c>
      <c r="H303" s="82">
        <v>130</v>
      </c>
      <c r="I303" s="82">
        <v>344</v>
      </c>
    </row>
    <row r="304" spans="1:9" x14ac:dyDescent="0.25">
      <c r="A304" s="85">
        <v>46174</v>
      </c>
      <c r="B304" s="86" t="s">
        <v>896</v>
      </c>
      <c r="C304" s="86">
        <v>5450</v>
      </c>
      <c r="D304" s="88" t="s">
        <v>69</v>
      </c>
      <c r="E304" s="87" t="s">
        <v>1946</v>
      </c>
      <c r="F304" s="91">
        <v>400</v>
      </c>
      <c r="G304" s="82" t="s">
        <v>1993</v>
      </c>
      <c r="H304" s="82">
        <v>130</v>
      </c>
      <c r="I304" s="82">
        <v>344</v>
      </c>
    </row>
    <row r="305" spans="1:9" x14ac:dyDescent="0.25">
      <c r="A305" s="85">
        <v>46174</v>
      </c>
      <c r="B305" s="86" t="s">
        <v>1520</v>
      </c>
      <c r="C305" s="86">
        <v>2000</v>
      </c>
      <c r="D305" s="55" t="s">
        <v>1962</v>
      </c>
      <c r="E305" s="87" t="s">
        <v>1946</v>
      </c>
      <c r="F305" s="91">
        <v>200</v>
      </c>
      <c r="G305" s="82" t="s">
        <v>1999</v>
      </c>
      <c r="H305" s="82">
        <v>75</v>
      </c>
      <c r="I305" s="82">
        <f>25*8</f>
        <v>200</v>
      </c>
    </row>
    <row r="306" spans="1:9" x14ac:dyDescent="0.25">
      <c r="A306" s="85">
        <v>46174</v>
      </c>
      <c r="B306" s="86" t="s">
        <v>1484</v>
      </c>
      <c r="C306" s="86">
        <v>1500</v>
      </c>
      <c r="D306" s="55" t="s">
        <v>1952</v>
      </c>
      <c r="E306" s="87" t="s">
        <v>1946</v>
      </c>
      <c r="F306" s="91">
        <v>0</v>
      </c>
      <c r="G306" s="82" t="s">
        <v>2003</v>
      </c>
      <c r="H306" s="82">
        <v>24</v>
      </c>
      <c r="I306" s="82">
        <f>8*8</f>
        <v>64</v>
      </c>
    </row>
    <row r="307" spans="1:9" x14ac:dyDescent="0.25">
      <c r="A307" s="85">
        <v>46174</v>
      </c>
      <c r="B307" s="86" t="s">
        <v>1498</v>
      </c>
      <c r="C307" s="86">
        <v>1500</v>
      </c>
      <c r="D307" s="55" t="s">
        <v>1952</v>
      </c>
      <c r="E307" s="87" t="s">
        <v>1946</v>
      </c>
      <c r="F307" s="91">
        <v>0</v>
      </c>
      <c r="G307" s="82" t="s">
        <v>2003</v>
      </c>
      <c r="H307" s="82">
        <v>24</v>
      </c>
      <c r="I307" s="82">
        <f>8*8</f>
        <v>64</v>
      </c>
    </row>
    <row r="308" spans="1:9" x14ac:dyDescent="0.25">
      <c r="A308" s="85">
        <v>46174</v>
      </c>
      <c r="B308" s="86" t="s">
        <v>1484</v>
      </c>
      <c r="C308" s="86">
        <v>5200</v>
      </c>
      <c r="D308" s="88" t="s">
        <v>35</v>
      </c>
      <c r="E308" s="87" t="s">
        <v>1946</v>
      </c>
      <c r="F308" s="91">
        <v>400</v>
      </c>
      <c r="G308" s="82" t="s">
        <v>1987</v>
      </c>
      <c r="H308" s="82">
        <v>100</v>
      </c>
      <c r="I308" s="82">
        <v>264</v>
      </c>
    </row>
    <row r="309" spans="1:9" x14ac:dyDescent="0.25">
      <c r="A309" s="85">
        <v>46174</v>
      </c>
      <c r="B309" s="86" t="s">
        <v>59</v>
      </c>
      <c r="C309" s="86">
        <v>3900</v>
      </c>
      <c r="D309" s="88" t="s">
        <v>69</v>
      </c>
      <c r="E309" s="87" t="s">
        <v>1946</v>
      </c>
      <c r="F309" s="91">
        <v>0</v>
      </c>
      <c r="G309" s="82" t="s">
        <v>1993</v>
      </c>
      <c r="H309" s="82">
        <v>130</v>
      </c>
      <c r="I309" s="82">
        <v>344</v>
      </c>
    </row>
    <row r="310" spans="1:9" x14ac:dyDescent="0.25">
      <c r="A310" s="85">
        <v>46174</v>
      </c>
      <c r="B310" s="86" t="s">
        <v>1495</v>
      </c>
      <c r="C310" s="86">
        <v>5450</v>
      </c>
      <c r="D310" s="88" t="s">
        <v>69</v>
      </c>
      <c r="E310" s="87" t="s">
        <v>1946</v>
      </c>
      <c r="F310" s="91">
        <v>400</v>
      </c>
      <c r="G310" s="82" t="s">
        <v>1993</v>
      </c>
      <c r="H310" s="82">
        <v>130</v>
      </c>
      <c r="I310" s="82">
        <v>344</v>
      </c>
    </row>
    <row r="311" spans="1:9" x14ac:dyDescent="0.25">
      <c r="A311" s="85">
        <v>46174</v>
      </c>
      <c r="B311" s="86" t="s">
        <v>1498</v>
      </c>
      <c r="C311" s="86">
        <v>5450</v>
      </c>
      <c r="D311" s="88" t="s">
        <v>69</v>
      </c>
      <c r="E311" s="87" t="s">
        <v>1946</v>
      </c>
      <c r="F311" s="91">
        <v>400</v>
      </c>
      <c r="G311" s="82" t="s">
        <v>1993</v>
      </c>
      <c r="H311" s="82">
        <v>130</v>
      </c>
      <c r="I311" s="82">
        <v>344</v>
      </c>
    </row>
    <row r="312" spans="1:9" x14ac:dyDescent="0.25">
      <c r="A312" s="85">
        <v>46174</v>
      </c>
      <c r="B312" s="86" t="s">
        <v>904</v>
      </c>
      <c r="C312" s="86">
        <v>5450</v>
      </c>
      <c r="D312" s="88" t="s">
        <v>69</v>
      </c>
      <c r="E312" s="87" t="s">
        <v>1946</v>
      </c>
      <c r="F312" s="91">
        <v>400</v>
      </c>
      <c r="G312" s="82" t="s">
        <v>1993</v>
      </c>
      <c r="H312" s="82">
        <v>130</v>
      </c>
      <c r="I312" s="82">
        <v>344</v>
      </c>
    </row>
    <row r="313" spans="1:9" x14ac:dyDescent="0.25">
      <c r="A313" s="85">
        <v>46175</v>
      </c>
      <c r="B313" s="86" t="s">
        <v>904</v>
      </c>
      <c r="C313" s="86">
        <v>1900</v>
      </c>
      <c r="D313" s="55" t="s">
        <v>1952</v>
      </c>
      <c r="E313" s="87" t="s">
        <v>1946</v>
      </c>
      <c r="F313" s="91">
        <v>0</v>
      </c>
      <c r="G313" s="82" t="s">
        <v>2003</v>
      </c>
      <c r="H313" s="82">
        <v>24</v>
      </c>
      <c r="I313" s="82">
        <f>8*8</f>
        <v>64</v>
      </c>
    </row>
    <row r="314" spans="1:9" x14ac:dyDescent="0.25">
      <c r="A314" s="85">
        <v>46175</v>
      </c>
      <c r="B314" s="86" t="s">
        <v>59</v>
      </c>
      <c r="C314" s="86">
        <v>1900</v>
      </c>
      <c r="D314" s="55" t="s">
        <v>1952</v>
      </c>
      <c r="E314" s="87" t="s">
        <v>1946</v>
      </c>
      <c r="F314" s="91">
        <v>0</v>
      </c>
      <c r="G314" s="82" t="s">
        <v>2003</v>
      </c>
      <c r="H314" s="82">
        <v>24</v>
      </c>
      <c r="I314" s="82">
        <f>8*8</f>
        <v>64</v>
      </c>
    </row>
    <row r="315" spans="1:9" x14ac:dyDescent="0.25">
      <c r="A315" s="85">
        <v>46175</v>
      </c>
      <c r="B315" s="86" t="s">
        <v>896</v>
      </c>
      <c r="C315" s="86">
        <v>5450</v>
      </c>
      <c r="D315" s="88" t="s">
        <v>69</v>
      </c>
      <c r="E315" s="87" t="s">
        <v>1946</v>
      </c>
      <c r="F315" s="91">
        <v>400</v>
      </c>
      <c r="G315" s="82" t="s">
        <v>1993</v>
      </c>
      <c r="H315" s="82">
        <v>130</v>
      </c>
      <c r="I315" s="82">
        <v>344</v>
      </c>
    </row>
    <row r="316" spans="1:9" x14ac:dyDescent="0.25">
      <c r="A316" s="85">
        <v>46175</v>
      </c>
      <c r="B316" s="86" t="s">
        <v>1495</v>
      </c>
      <c r="C316" s="86">
        <v>5450</v>
      </c>
      <c r="D316" s="88" t="s">
        <v>69</v>
      </c>
      <c r="E316" s="87" t="s">
        <v>1946</v>
      </c>
      <c r="F316" s="91">
        <v>400</v>
      </c>
      <c r="G316" s="82" t="s">
        <v>1993</v>
      </c>
      <c r="H316" s="82">
        <v>130</v>
      </c>
      <c r="I316" s="82">
        <v>344</v>
      </c>
    </row>
    <row r="317" spans="1:9" x14ac:dyDescent="0.25">
      <c r="A317" s="85">
        <v>46175</v>
      </c>
      <c r="B317" s="86" t="s">
        <v>1484</v>
      </c>
      <c r="C317" s="86">
        <v>3950</v>
      </c>
      <c r="D317" s="88" t="s">
        <v>1972</v>
      </c>
      <c r="E317" s="87" t="s">
        <v>1946</v>
      </c>
      <c r="F317" s="91">
        <v>200</v>
      </c>
      <c r="G317" s="82" t="s">
        <v>1991</v>
      </c>
      <c r="H317" s="82">
        <v>125</v>
      </c>
      <c r="I317" s="82">
        <v>336</v>
      </c>
    </row>
    <row r="318" spans="1:9" x14ac:dyDescent="0.25">
      <c r="A318" s="85">
        <v>46175</v>
      </c>
      <c r="B318" s="86" t="s">
        <v>1520</v>
      </c>
      <c r="C318" s="86">
        <v>1000</v>
      </c>
      <c r="D318" s="88" t="s">
        <v>1951</v>
      </c>
      <c r="E318" s="87" t="s">
        <v>1946</v>
      </c>
      <c r="F318" s="91">
        <v>0</v>
      </c>
      <c r="G318" s="82">
        <v>0</v>
      </c>
      <c r="H318" s="82">
        <v>0</v>
      </c>
      <c r="I318" s="82">
        <v>0</v>
      </c>
    </row>
    <row r="319" spans="1:9" x14ac:dyDescent="0.25">
      <c r="A319" s="85">
        <v>46176</v>
      </c>
      <c r="B319" s="86" t="s">
        <v>1484</v>
      </c>
      <c r="C319" s="86">
        <v>1500</v>
      </c>
      <c r="D319" s="55" t="s">
        <v>1952</v>
      </c>
      <c r="E319" s="87" t="s">
        <v>1946</v>
      </c>
      <c r="F319" s="91">
        <v>0</v>
      </c>
      <c r="G319" s="82" t="s">
        <v>2003</v>
      </c>
      <c r="H319" s="82">
        <v>24</v>
      </c>
      <c r="I319" s="82">
        <f>8*8</f>
        <v>64</v>
      </c>
    </row>
    <row r="320" spans="1:9" x14ac:dyDescent="0.25">
      <c r="A320" s="85">
        <v>46176</v>
      </c>
      <c r="B320" s="86" t="s">
        <v>1498</v>
      </c>
      <c r="C320" s="86">
        <v>5200</v>
      </c>
      <c r="D320" s="88" t="s">
        <v>35</v>
      </c>
      <c r="E320" s="87" t="s">
        <v>1946</v>
      </c>
      <c r="F320" s="91">
        <v>400</v>
      </c>
      <c r="G320" s="82" t="s">
        <v>1987</v>
      </c>
      <c r="H320" s="82">
        <v>100</v>
      </c>
      <c r="I320" s="82">
        <v>264</v>
      </c>
    </row>
    <row r="321" spans="1:9" x14ac:dyDescent="0.25">
      <c r="A321" s="85">
        <v>46176</v>
      </c>
      <c r="B321" s="86" t="s">
        <v>59</v>
      </c>
      <c r="C321" s="86">
        <v>7700</v>
      </c>
      <c r="D321" s="55" t="s">
        <v>1983</v>
      </c>
      <c r="E321" s="87" t="s">
        <v>1946</v>
      </c>
      <c r="F321" s="91">
        <v>400</v>
      </c>
      <c r="G321" s="82" t="s">
        <v>2000</v>
      </c>
      <c r="H321" s="82">
        <v>135</v>
      </c>
      <c r="I321" s="82">
        <f>45*8</f>
        <v>360</v>
      </c>
    </row>
    <row r="322" spans="1:9" x14ac:dyDescent="0.25">
      <c r="A322" s="85">
        <v>46176</v>
      </c>
      <c r="B322" s="86" t="s">
        <v>904</v>
      </c>
      <c r="C322" s="86">
        <v>5450</v>
      </c>
      <c r="D322" s="88" t="s">
        <v>69</v>
      </c>
      <c r="E322" s="87" t="s">
        <v>1946</v>
      </c>
      <c r="F322" s="91">
        <v>400</v>
      </c>
      <c r="G322" s="82" t="s">
        <v>1993</v>
      </c>
      <c r="H322" s="82">
        <v>130</v>
      </c>
      <c r="I322" s="82">
        <v>344</v>
      </c>
    </row>
    <row r="323" spans="1:9" x14ac:dyDescent="0.25">
      <c r="A323" s="85">
        <v>46176</v>
      </c>
      <c r="B323" s="86" t="s">
        <v>896</v>
      </c>
      <c r="C323" s="86">
        <v>5450</v>
      </c>
      <c r="D323" s="88" t="s">
        <v>69</v>
      </c>
      <c r="E323" s="87" t="s">
        <v>1946</v>
      </c>
      <c r="F323" s="91">
        <v>400</v>
      </c>
      <c r="G323" s="82" t="s">
        <v>1993</v>
      </c>
      <c r="H323" s="82">
        <v>130</v>
      </c>
      <c r="I323" s="82">
        <v>344</v>
      </c>
    </row>
    <row r="324" spans="1:9" x14ac:dyDescent="0.25">
      <c r="A324" s="85">
        <v>46176</v>
      </c>
      <c r="B324" s="86" t="s">
        <v>1495</v>
      </c>
      <c r="C324" s="86">
        <v>5450</v>
      </c>
      <c r="D324" s="88" t="s">
        <v>69</v>
      </c>
      <c r="E324" s="87" t="s">
        <v>1946</v>
      </c>
      <c r="F324" s="91">
        <v>400</v>
      </c>
      <c r="G324" s="82" t="s">
        <v>1993</v>
      </c>
      <c r="H324" s="82">
        <v>130</v>
      </c>
      <c r="I324" s="82">
        <v>344</v>
      </c>
    </row>
    <row r="325" spans="1:9" x14ac:dyDescent="0.25">
      <c r="A325" s="85">
        <v>46176</v>
      </c>
      <c r="B325" s="86" t="s">
        <v>1484</v>
      </c>
      <c r="C325" s="86">
        <v>5000</v>
      </c>
      <c r="D325" s="55" t="s">
        <v>1957</v>
      </c>
      <c r="E325" s="87" t="s">
        <v>1946</v>
      </c>
      <c r="F325" s="91">
        <v>400</v>
      </c>
      <c r="G325" s="82" t="s">
        <v>1989</v>
      </c>
      <c r="H325" s="82">
        <v>90</v>
      </c>
      <c r="I325" s="82">
        <v>240</v>
      </c>
    </row>
    <row r="326" spans="1:9" x14ac:dyDescent="0.25">
      <c r="A326" s="85">
        <v>46176</v>
      </c>
      <c r="B326" s="86" t="s">
        <v>1778</v>
      </c>
      <c r="C326" s="86">
        <v>5000</v>
      </c>
      <c r="D326" s="55" t="s">
        <v>1966</v>
      </c>
      <c r="E326" s="87" t="s">
        <v>1946</v>
      </c>
      <c r="F326" s="91">
        <v>400</v>
      </c>
      <c r="G326" s="82" t="s">
        <v>2001</v>
      </c>
      <c r="H326" s="82">
        <v>90</v>
      </c>
      <c r="I326" s="82">
        <v>240</v>
      </c>
    </row>
    <row r="327" spans="1:9" x14ac:dyDescent="0.25">
      <c r="A327" s="85">
        <v>46177</v>
      </c>
      <c r="B327" s="86" t="s">
        <v>1520</v>
      </c>
      <c r="C327" s="86">
        <v>1000</v>
      </c>
      <c r="D327" s="88" t="s">
        <v>1951</v>
      </c>
      <c r="E327" s="87" t="s">
        <v>1946</v>
      </c>
      <c r="F327" s="91">
        <v>0</v>
      </c>
      <c r="G327" s="82">
        <v>0</v>
      </c>
      <c r="H327" s="82">
        <v>0</v>
      </c>
      <c r="I327" s="82">
        <v>0</v>
      </c>
    </row>
    <row r="328" spans="1:9" x14ac:dyDescent="0.25">
      <c r="A328" s="85">
        <v>46177</v>
      </c>
      <c r="B328" s="86" t="s">
        <v>1520</v>
      </c>
      <c r="C328" s="86">
        <v>1000</v>
      </c>
      <c r="D328" s="88" t="s">
        <v>1951</v>
      </c>
      <c r="E328" s="87" t="s">
        <v>1946</v>
      </c>
      <c r="F328" s="91">
        <v>0</v>
      </c>
      <c r="G328" s="82">
        <v>0</v>
      </c>
      <c r="H328" s="82">
        <v>0</v>
      </c>
      <c r="I328" s="82">
        <v>0</v>
      </c>
    </row>
    <row r="329" spans="1:9" x14ac:dyDescent="0.25">
      <c r="A329" s="85">
        <v>46177</v>
      </c>
      <c r="B329" s="86" t="s">
        <v>1520</v>
      </c>
      <c r="C329" s="86">
        <v>700</v>
      </c>
      <c r="D329" s="88" t="s">
        <v>1951</v>
      </c>
      <c r="E329" s="87" t="s">
        <v>1946</v>
      </c>
      <c r="F329" s="91">
        <v>0</v>
      </c>
      <c r="G329" s="82">
        <v>0</v>
      </c>
      <c r="H329" s="82">
        <v>0</v>
      </c>
      <c r="I329" s="82">
        <v>0</v>
      </c>
    </row>
    <row r="330" spans="1:9" x14ac:dyDescent="0.25">
      <c r="A330" s="85">
        <v>46177</v>
      </c>
      <c r="B330" s="86" t="s">
        <v>1520</v>
      </c>
      <c r="C330" s="86">
        <v>5000</v>
      </c>
      <c r="D330" s="55" t="s">
        <v>1966</v>
      </c>
      <c r="E330" s="87" t="s">
        <v>1946</v>
      </c>
      <c r="F330" s="91">
        <v>400</v>
      </c>
      <c r="G330" s="82" t="s">
        <v>2001</v>
      </c>
      <c r="H330" s="82">
        <v>90</v>
      </c>
      <c r="I330" s="82">
        <v>240</v>
      </c>
    </row>
    <row r="331" spans="1:9" x14ac:dyDescent="0.25">
      <c r="A331" s="85">
        <v>46177</v>
      </c>
      <c r="B331" s="86" t="s">
        <v>1495</v>
      </c>
      <c r="C331" s="86">
        <v>1900</v>
      </c>
      <c r="D331" s="55" t="s">
        <v>1952</v>
      </c>
      <c r="E331" s="87" t="s">
        <v>1946</v>
      </c>
      <c r="F331" s="91">
        <v>0</v>
      </c>
      <c r="G331" s="82" t="s">
        <v>2003</v>
      </c>
      <c r="H331" s="82">
        <v>24</v>
      </c>
      <c r="I331" s="82">
        <f>8*8</f>
        <v>64</v>
      </c>
    </row>
    <row r="332" spans="1:9" x14ac:dyDescent="0.25">
      <c r="A332" s="85">
        <v>46177</v>
      </c>
      <c r="B332" s="86" t="s">
        <v>904</v>
      </c>
      <c r="C332" s="86">
        <v>5000</v>
      </c>
      <c r="D332" s="55" t="s">
        <v>1984</v>
      </c>
      <c r="E332" s="87" t="s">
        <v>1946</v>
      </c>
      <c r="F332" s="91">
        <v>400</v>
      </c>
      <c r="G332" s="82" t="s">
        <v>1989</v>
      </c>
      <c r="H332" s="82">
        <v>90</v>
      </c>
      <c r="I332" s="82">
        <v>240</v>
      </c>
    </row>
    <row r="333" spans="1:9" x14ac:dyDescent="0.25">
      <c r="A333" s="85">
        <v>46177</v>
      </c>
      <c r="B333" s="86" t="s">
        <v>1498</v>
      </c>
      <c r="C333" s="86">
        <v>3950</v>
      </c>
      <c r="D333" s="88" t="s">
        <v>1972</v>
      </c>
      <c r="E333" s="87" t="s">
        <v>1946</v>
      </c>
      <c r="F333" s="91">
        <v>200</v>
      </c>
      <c r="G333" s="82" t="s">
        <v>1991</v>
      </c>
      <c r="H333" s="82">
        <v>125</v>
      </c>
      <c r="I333" s="82">
        <v>336</v>
      </c>
    </row>
    <row r="334" spans="1:9" x14ac:dyDescent="0.25">
      <c r="A334" s="85">
        <v>46177</v>
      </c>
      <c r="B334" s="86" t="s">
        <v>1484</v>
      </c>
      <c r="C334" s="86">
        <v>5450</v>
      </c>
      <c r="D334" s="88" t="s">
        <v>69</v>
      </c>
      <c r="E334" s="87" t="s">
        <v>1946</v>
      </c>
      <c r="F334" s="91">
        <v>400</v>
      </c>
      <c r="G334" s="82" t="s">
        <v>1993</v>
      </c>
      <c r="H334" s="82">
        <v>130</v>
      </c>
      <c r="I334" s="82">
        <v>344</v>
      </c>
    </row>
    <row r="335" spans="1:9" x14ac:dyDescent="0.25">
      <c r="A335" s="85">
        <v>46177</v>
      </c>
      <c r="B335" s="86" t="s">
        <v>1778</v>
      </c>
      <c r="C335" s="86">
        <v>5450</v>
      </c>
      <c r="D335" s="88" t="s">
        <v>69</v>
      </c>
      <c r="E335" s="87" t="s">
        <v>1946</v>
      </c>
      <c r="F335" s="91">
        <v>400</v>
      </c>
      <c r="G335" s="82" t="s">
        <v>1993</v>
      </c>
      <c r="H335" s="82">
        <v>130</v>
      </c>
      <c r="I335" s="82">
        <v>344</v>
      </c>
    </row>
    <row r="336" spans="1:9" x14ac:dyDescent="0.25">
      <c r="A336" s="85">
        <v>46177</v>
      </c>
      <c r="B336" s="86" t="s">
        <v>59</v>
      </c>
      <c r="C336" s="86">
        <v>5450</v>
      </c>
      <c r="D336" s="88" t="s">
        <v>1985</v>
      </c>
      <c r="E336" s="87" t="s">
        <v>1946</v>
      </c>
      <c r="F336" s="91">
        <v>400</v>
      </c>
      <c r="G336" s="82" t="s">
        <v>2002</v>
      </c>
    </row>
    <row r="337" spans="1:9" x14ac:dyDescent="0.25">
      <c r="A337" s="85">
        <v>46177</v>
      </c>
      <c r="B337" s="86" t="s">
        <v>896</v>
      </c>
      <c r="C337" s="86">
        <v>5000</v>
      </c>
      <c r="D337" s="55" t="s">
        <v>1984</v>
      </c>
      <c r="E337" s="87" t="s">
        <v>1946</v>
      </c>
      <c r="F337" s="91">
        <v>400</v>
      </c>
      <c r="G337" s="82" t="s">
        <v>1989</v>
      </c>
      <c r="H337" s="82">
        <v>90</v>
      </c>
      <c r="I337" s="82">
        <v>240</v>
      </c>
    </row>
    <row r="338" spans="1:9" x14ac:dyDescent="0.25">
      <c r="A338" s="85">
        <v>46177</v>
      </c>
      <c r="B338" s="86" t="s">
        <v>904</v>
      </c>
      <c r="C338" s="86">
        <v>3500</v>
      </c>
      <c r="D338" s="55" t="s">
        <v>1948</v>
      </c>
      <c r="E338" s="87" t="s">
        <v>1946</v>
      </c>
      <c r="F338" s="91">
        <v>200</v>
      </c>
    </row>
    <row r="339" spans="1:9" x14ac:dyDescent="0.25">
      <c r="A339" s="85">
        <v>46178</v>
      </c>
      <c r="B339" s="86" t="s">
        <v>1498</v>
      </c>
      <c r="C339" s="86">
        <v>1500</v>
      </c>
      <c r="D339" s="55" t="s">
        <v>1952</v>
      </c>
      <c r="E339" s="87" t="s">
        <v>1946</v>
      </c>
      <c r="F339" s="91">
        <v>0</v>
      </c>
    </row>
    <row r="340" spans="1:9" x14ac:dyDescent="0.25">
      <c r="A340" s="85">
        <v>46178</v>
      </c>
      <c r="B340" s="86" t="s">
        <v>76</v>
      </c>
      <c r="C340" s="86">
        <v>1000</v>
      </c>
      <c r="D340" s="55" t="s">
        <v>2026</v>
      </c>
      <c r="E340" s="87" t="s">
        <v>1946</v>
      </c>
      <c r="F340" s="82">
        <v>0</v>
      </c>
    </row>
    <row r="341" spans="1:9" x14ac:dyDescent="0.25">
      <c r="A341" s="85">
        <v>46178</v>
      </c>
      <c r="B341" s="86" t="s">
        <v>76</v>
      </c>
      <c r="C341" s="86">
        <v>1800</v>
      </c>
      <c r="D341" s="88" t="s">
        <v>2004</v>
      </c>
      <c r="E341" s="87" t="s">
        <v>1946</v>
      </c>
      <c r="F341" s="82">
        <v>0</v>
      </c>
    </row>
    <row r="342" spans="1:9" x14ac:dyDescent="0.25">
      <c r="A342" s="85">
        <v>46178</v>
      </c>
      <c r="B342" s="86" t="s">
        <v>1520</v>
      </c>
      <c r="C342" s="86">
        <v>2000</v>
      </c>
      <c r="D342" s="88" t="s">
        <v>1962</v>
      </c>
      <c r="E342" s="87" t="s">
        <v>1946</v>
      </c>
      <c r="F342" s="91">
        <v>0</v>
      </c>
    </row>
    <row r="343" spans="1:9" x14ac:dyDescent="0.25">
      <c r="A343" s="85">
        <v>46178</v>
      </c>
      <c r="B343" s="86" t="s">
        <v>1495</v>
      </c>
      <c r="C343" s="86">
        <v>7500</v>
      </c>
      <c r="D343" s="88" t="s">
        <v>1960</v>
      </c>
      <c r="E343" s="87" t="s">
        <v>1946</v>
      </c>
      <c r="F343" s="91">
        <v>400</v>
      </c>
    </row>
    <row r="344" spans="1:9" x14ac:dyDescent="0.25">
      <c r="A344" s="85">
        <v>46178</v>
      </c>
      <c r="B344" s="86" t="s">
        <v>896</v>
      </c>
      <c r="C344" s="86">
        <v>7500</v>
      </c>
      <c r="D344" s="88" t="s">
        <v>1960</v>
      </c>
      <c r="E344" s="87" t="s">
        <v>1946</v>
      </c>
      <c r="F344" s="91">
        <v>400</v>
      </c>
    </row>
    <row r="345" spans="1:9" x14ac:dyDescent="0.25">
      <c r="A345" s="85">
        <v>46178</v>
      </c>
      <c r="B345" s="86" t="s">
        <v>1498</v>
      </c>
      <c r="C345" s="86">
        <v>7500</v>
      </c>
      <c r="D345" s="88" t="s">
        <v>1960</v>
      </c>
      <c r="E345" s="87" t="s">
        <v>1946</v>
      </c>
      <c r="F345" s="91">
        <v>400</v>
      </c>
    </row>
    <row r="346" spans="1:9" x14ac:dyDescent="0.25">
      <c r="A346" s="85">
        <v>46178</v>
      </c>
      <c r="B346" s="86" t="s">
        <v>1484</v>
      </c>
      <c r="C346" s="86">
        <v>5000</v>
      </c>
      <c r="D346" s="55" t="s">
        <v>1984</v>
      </c>
      <c r="E346" s="87" t="s">
        <v>1946</v>
      </c>
      <c r="F346" s="91">
        <v>400</v>
      </c>
    </row>
    <row r="347" spans="1:9" x14ac:dyDescent="0.25">
      <c r="A347" s="85">
        <v>46178</v>
      </c>
      <c r="B347" s="86" t="s">
        <v>59</v>
      </c>
      <c r="C347" s="86">
        <v>2000</v>
      </c>
      <c r="D347" s="88" t="s">
        <v>1962</v>
      </c>
      <c r="E347" s="87" t="s">
        <v>1946</v>
      </c>
      <c r="F347" s="91">
        <v>200</v>
      </c>
    </row>
    <row r="348" spans="1:9" x14ac:dyDescent="0.25">
      <c r="A348" s="85">
        <v>46179</v>
      </c>
      <c r="B348" s="86" t="s">
        <v>1778</v>
      </c>
      <c r="C348" s="86">
        <v>2000</v>
      </c>
      <c r="D348" s="88" t="s">
        <v>1962</v>
      </c>
      <c r="E348" s="87" t="s">
        <v>1946</v>
      </c>
      <c r="F348" s="91">
        <v>200</v>
      </c>
    </row>
    <row r="349" spans="1:9" x14ac:dyDescent="0.25">
      <c r="A349" s="85">
        <v>46179</v>
      </c>
      <c r="B349" s="86" t="s">
        <v>1486</v>
      </c>
      <c r="C349" s="86">
        <v>5450</v>
      </c>
      <c r="D349" s="88" t="s">
        <v>69</v>
      </c>
      <c r="E349" s="87" t="s">
        <v>1946</v>
      </c>
      <c r="F349" s="91">
        <v>400</v>
      </c>
    </row>
    <row r="350" spans="1:9" x14ac:dyDescent="0.25">
      <c r="A350" s="85">
        <v>46179</v>
      </c>
      <c r="B350" s="86" t="s">
        <v>59</v>
      </c>
      <c r="C350" s="86">
        <v>3500</v>
      </c>
      <c r="D350" s="88" t="s">
        <v>1955</v>
      </c>
      <c r="E350" s="87" t="s">
        <v>1946</v>
      </c>
      <c r="F350" s="91">
        <v>200</v>
      </c>
    </row>
    <row r="351" spans="1:9" x14ac:dyDescent="0.25">
      <c r="A351" s="85">
        <v>46179</v>
      </c>
      <c r="B351" s="86" t="s">
        <v>904</v>
      </c>
      <c r="C351" s="86">
        <v>5450</v>
      </c>
      <c r="D351" s="88" t="s">
        <v>69</v>
      </c>
      <c r="E351" s="87" t="s">
        <v>1946</v>
      </c>
      <c r="F351" s="91">
        <v>400</v>
      </c>
    </row>
    <row r="352" spans="1:9" x14ac:dyDescent="0.25">
      <c r="A352" s="92">
        <v>46179</v>
      </c>
      <c r="B352" s="93" t="s">
        <v>1484</v>
      </c>
      <c r="C352" s="93">
        <v>5450</v>
      </c>
      <c r="D352" s="94" t="s">
        <v>69</v>
      </c>
      <c r="E352" s="95" t="s">
        <v>1946</v>
      </c>
      <c r="F352" s="91">
        <v>400</v>
      </c>
    </row>
    <row r="353" spans="1:6" x14ac:dyDescent="0.25">
      <c r="A353" s="85">
        <v>46181</v>
      </c>
      <c r="B353" s="86" t="s">
        <v>59</v>
      </c>
      <c r="C353" s="86">
        <v>1000</v>
      </c>
      <c r="D353" s="88" t="s">
        <v>1951</v>
      </c>
      <c r="E353" s="87" t="s">
        <v>1946</v>
      </c>
      <c r="F353" s="96">
        <v>0</v>
      </c>
    </row>
    <row r="354" spans="1:6" x14ac:dyDescent="0.25">
      <c r="A354" s="85">
        <v>46181</v>
      </c>
      <c r="B354" s="86" t="s">
        <v>59</v>
      </c>
      <c r="C354" s="86">
        <v>700</v>
      </c>
      <c r="D354" s="88" t="s">
        <v>1951</v>
      </c>
      <c r="E354" s="87" t="s">
        <v>1946</v>
      </c>
      <c r="F354" s="96">
        <v>0</v>
      </c>
    </row>
    <row r="355" spans="1:6" x14ac:dyDescent="0.25">
      <c r="A355" s="85">
        <v>46181</v>
      </c>
      <c r="B355" s="86" t="s">
        <v>1486</v>
      </c>
      <c r="C355" s="86">
        <v>400</v>
      </c>
      <c r="D355" s="88" t="s">
        <v>2005</v>
      </c>
      <c r="E355" s="87" t="s">
        <v>1946</v>
      </c>
      <c r="F355" s="96">
        <v>0</v>
      </c>
    </row>
    <row r="356" spans="1:6" x14ac:dyDescent="0.25">
      <c r="A356" s="85">
        <v>46181</v>
      </c>
      <c r="B356" s="86" t="s">
        <v>901</v>
      </c>
      <c r="C356" s="86">
        <v>2000</v>
      </c>
      <c r="D356" s="88" t="s">
        <v>2006</v>
      </c>
      <c r="E356" s="87" t="s">
        <v>1946</v>
      </c>
      <c r="F356" s="86">
        <v>0</v>
      </c>
    </row>
    <row r="357" spans="1:6" x14ac:dyDescent="0.25">
      <c r="A357" s="85">
        <v>46181</v>
      </c>
      <c r="B357" s="86" t="s">
        <v>901</v>
      </c>
      <c r="C357" s="86">
        <v>5450</v>
      </c>
      <c r="D357" s="88" t="s">
        <v>69</v>
      </c>
      <c r="E357" s="87" t="s">
        <v>1946</v>
      </c>
      <c r="F357" s="96">
        <v>400</v>
      </c>
    </row>
    <row r="358" spans="1:6" x14ac:dyDescent="0.25">
      <c r="A358" s="85">
        <v>46181</v>
      </c>
      <c r="B358" s="86" t="s">
        <v>904</v>
      </c>
      <c r="C358" s="86">
        <f>4950+400</f>
        <v>5350</v>
      </c>
      <c r="D358" s="88" t="s">
        <v>2007</v>
      </c>
      <c r="E358" s="87" t="s">
        <v>1946</v>
      </c>
      <c r="F358" s="96">
        <v>0</v>
      </c>
    </row>
    <row r="359" spans="1:6" x14ac:dyDescent="0.25">
      <c r="A359" s="85">
        <v>46181</v>
      </c>
      <c r="B359" s="86" t="s">
        <v>896</v>
      </c>
      <c r="C359" s="86">
        <v>1000</v>
      </c>
      <c r="D359" s="88" t="s">
        <v>1950</v>
      </c>
      <c r="E359" s="87" t="s">
        <v>1946</v>
      </c>
    </row>
    <row r="360" spans="1:6" x14ac:dyDescent="0.25">
      <c r="A360" s="85">
        <v>46181</v>
      </c>
      <c r="B360" s="86" t="s">
        <v>1495</v>
      </c>
      <c r="C360" s="86">
        <v>1000</v>
      </c>
      <c r="D360" s="88" t="s">
        <v>1950</v>
      </c>
      <c r="E360" s="87" t="s">
        <v>1946</v>
      </c>
    </row>
    <row r="361" spans="1:6" x14ac:dyDescent="0.25">
      <c r="A361" s="85">
        <v>46181</v>
      </c>
      <c r="B361" s="86" t="s">
        <v>1484</v>
      </c>
      <c r="C361" s="86">
        <v>1900</v>
      </c>
      <c r="D361" s="55" t="s">
        <v>1952</v>
      </c>
      <c r="E361" s="87" t="s">
        <v>1946</v>
      </c>
    </row>
    <row r="362" spans="1:6" x14ac:dyDescent="0.25">
      <c r="A362" s="85">
        <v>46181</v>
      </c>
      <c r="B362" s="86" t="s">
        <v>1495</v>
      </c>
      <c r="C362" s="86">
        <v>7900</v>
      </c>
      <c r="D362" s="88" t="s">
        <v>2008</v>
      </c>
      <c r="E362" s="87" t="s">
        <v>1946</v>
      </c>
    </row>
    <row r="363" spans="1:6" x14ac:dyDescent="0.25">
      <c r="A363" s="85">
        <v>46182</v>
      </c>
      <c r="B363" s="86" t="s">
        <v>76</v>
      </c>
      <c r="C363" s="86">
        <v>5850</v>
      </c>
      <c r="D363" s="88" t="s">
        <v>69</v>
      </c>
      <c r="E363" s="87" t="s">
        <v>1946</v>
      </c>
    </row>
    <row r="364" spans="1:6" x14ac:dyDescent="0.25">
      <c r="A364" s="85">
        <v>46182</v>
      </c>
      <c r="B364" s="86" t="s">
        <v>1486</v>
      </c>
      <c r="C364" s="86">
        <v>1500</v>
      </c>
      <c r="D364" s="55" t="s">
        <v>1952</v>
      </c>
      <c r="E364" s="87" t="s">
        <v>1946</v>
      </c>
    </row>
    <row r="365" spans="1:6" x14ac:dyDescent="0.25">
      <c r="A365" s="85">
        <v>46182</v>
      </c>
      <c r="B365" s="86" t="s">
        <v>1486</v>
      </c>
      <c r="C365" s="86">
        <v>5850</v>
      </c>
      <c r="D365" s="88" t="s">
        <v>69</v>
      </c>
      <c r="E365" s="87" t="s">
        <v>1946</v>
      </c>
    </row>
    <row r="366" spans="1:6" x14ac:dyDescent="0.25">
      <c r="A366" s="85">
        <v>46182</v>
      </c>
      <c r="B366" s="86" t="s">
        <v>59</v>
      </c>
      <c r="C366" s="86">
        <v>5850</v>
      </c>
      <c r="D366" s="88" t="s">
        <v>69</v>
      </c>
      <c r="E366" s="87" t="s">
        <v>1946</v>
      </c>
      <c r="F366" s="82" t="s">
        <v>2010</v>
      </c>
    </row>
    <row r="367" spans="1:6" x14ac:dyDescent="0.25">
      <c r="A367" s="85">
        <v>46182</v>
      </c>
      <c r="B367" s="86" t="s">
        <v>904</v>
      </c>
      <c r="C367" s="86" t="s">
        <v>2009</v>
      </c>
      <c r="D367" s="88" t="s">
        <v>1962</v>
      </c>
      <c r="E367" s="87" t="s">
        <v>1946</v>
      </c>
      <c r="F367" s="82" t="s">
        <v>2011</v>
      </c>
    </row>
    <row r="368" spans="1:6" x14ac:dyDescent="0.25">
      <c r="A368" s="85">
        <v>46182</v>
      </c>
      <c r="B368" s="86" t="s">
        <v>59</v>
      </c>
      <c r="C368" s="86">
        <v>2200</v>
      </c>
      <c r="D368" s="88" t="s">
        <v>1962</v>
      </c>
      <c r="E368" s="87" t="s">
        <v>1946</v>
      </c>
      <c r="F368" s="82" t="s">
        <v>2015</v>
      </c>
    </row>
    <row r="369" spans="1:6" x14ac:dyDescent="0.25">
      <c r="A369" s="85">
        <v>46183</v>
      </c>
      <c r="B369" s="86" t="s">
        <v>904</v>
      </c>
      <c r="C369" s="86">
        <f>5850-2200</f>
        <v>3650</v>
      </c>
      <c r="D369" s="88" t="s">
        <v>69</v>
      </c>
      <c r="E369" s="87" t="s">
        <v>1946</v>
      </c>
    </row>
    <row r="370" spans="1:6" x14ac:dyDescent="0.25">
      <c r="A370" s="85">
        <v>46183</v>
      </c>
      <c r="B370" s="86" t="s">
        <v>1498</v>
      </c>
      <c r="C370" s="86">
        <v>5850</v>
      </c>
      <c r="D370" s="88" t="s">
        <v>69</v>
      </c>
      <c r="E370" s="87" t="s">
        <v>1946</v>
      </c>
    </row>
    <row r="371" spans="1:6" x14ac:dyDescent="0.25">
      <c r="A371" s="85">
        <v>46183</v>
      </c>
      <c r="B371" s="86" t="s">
        <v>896</v>
      </c>
      <c r="C371" s="86">
        <v>1000</v>
      </c>
      <c r="D371" s="88" t="s">
        <v>1950</v>
      </c>
      <c r="E371" s="87" t="s">
        <v>1946</v>
      </c>
    </row>
    <row r="372" spans="1:6" x14ac:dyDescent="0.25">
      <c r="A372" s="85">
        <v>46183</v>
      </c>
      <c r="B372" s="86" t="s">
        <v>1495</v>
      </c>
      <c r="C372" s="86">
        <v>1000</v>
      </c>
      <c r="D372" s="88" t="s">
        <v>1950</v>
      </c>
      <c r="E372" s="87" t="s">
        <v>1946</v>
      </c>
    </row>
    <row r="373" spans="1:6" x14ac:dyDescent="0.25">
      <c r="A373" s="85">
        <v>46183</v>
      </c>
      <c r="B373" s="86" t="s">
        <v>1498</v>
      </c>
      <c r="C373" s="86">
        <v>1500</v>
      </c>
      <c r="D373" s="55" t="s">
        <v>1952</v>
      </c>
      <c r="E373" s="87" t="s">
        <v>1946</v>
      </c>
    </row>
    <row r="374" spans="1:6" x14ac:dyDescent="0.25">
      <c r="A374" s="85">
        <v>46183</v>
      </c>
      <c r="B374" s="86" t="s">
        <v>76</v>
      </c>
      <c r="C374" s="86">
        <v>5850</v>
      </c>
      <c r="D374" s="88" t="s">
        <v>69</v>
      </c>
      <c r="E374" s="87" t="s">
        <v>1946</v>
      </c>
    </row>
    <row r="375" spans="1:6" x14ac:dyDescent="0.25">
      <c r="A375" s="85">
        <v>46183</v>
      </c>
      <c r="B375" s="86" t="s">
        <v>1495</v>
      </c>
      <c r="C375" s="86">
        <v>5850</v>
      </c>
      <c r="D375" s="88" t="s">
        <v>69</v>
      </c>
      <c r="E375" s="87" t="s">
        <v>1946</v>
      </c>
    </row>
    <row r="376" spans="1:6" x14ac:dyDescent="0.25">
      <c r="A376" s="85">
        <v>46183</v>
      </c>
      <c r="B376" s="86" t="s">
        <v>1484</v>
      </c>
      <c r="C376" s="86" t="s">
        <v>2012</v>
      </c>
      <c r="D376" s="88" t="s">
        <v>1972</v>
      </c>
      <c r="E376" s="87" t="s">
        <v>1946</v>
      </c>
    </row>
    <row r="377" spans="1:6" x14ac:dyDescent="0.25">
      <c r="A377" s="85">
        <v>46183</v>
      </c>
      <c r="B377" s="86" t="s">
        <v>1498</v>
      </c>
      <c r="C377" s="86">
        <v>5850</v>
      </c>
      <c r="D377" s="88" t="s">
        <v>69</v>
      </c>
      <c r="E377" s="87" t="s">
        <v>1946</v>
      </c>
    </row>
    <row r="378" spans="1:6" x14ac:dyDescent="0.25">
      <c r="A378" s="85">
        <v>46183</v>
      </c>
      <c r="B378" s="86" t="s">
        <v>59</v>
      </c>
      <c r="C378" s="86">
        <v>1000</v>
      </c>
      <c r="D378" s="88" t="s">
        <v>1951</v>
      </c>
      <c r="E378" s="87" t="s">
        <v>1946</v>
      </c>
      <c r="F378" s="82" t="s">
        <v>2015</v>
      </c>
    </row>
    <row r="379" spans="1:6" x14ac:dyDescent="0.25">
      <c r="A379" s="85">
        <v>46184</v>
      </c>
      <c r="B379" s="86" t="s">
        <v>1484</v>
      </c>
      <c r="C379" s="86">
        <v>5600</v>
      </c>
      <c r="D379" s="88" t="s">
        <v>35</v>
      </c>
      <c r="E379" s="87" t="s">
        <v>1946</v>
      </c>
    </row>
    <row r="380" spans="1:6" x14ac:dyDescent="0.25">
      <c r="A380" s="85">
        <v>46184</v>
      </c>
      <c r="B380" s="86" t="s">
        <v>896</v>
      </c>
      <c r="C380" s="86">
        <v>5700</v>
      </c>
      <c r="D380" s="55" t="s">
        <v>1967</v>
      </c>
      <c r="E380" s="87" t="s">
        <v>1946</v>
      </c>
    </row>
    <row r="381" spans="1:6" x14ac:dyDescent="0.25">
      <c r="A381" s="85">
        <v>46184</v>
      </c>
      <c r="B381" s="86" t="s">
        <v>904</v>
      </c>
      <c r="C381" s="86">
        <v>5400</v>
      </c>
      <c r="D381" s="55" t="s">
        <v>1984</v>
      </c>
      <c r="E381" s="87" t="s">
        <v>1946</v>
      </c>
    </row>
    <row r="382" spans="1:6" x14ac:dyDescent="0.25">
      <c r="A382" s="85">
        <v>46184</v>
      </c>
      <c r="B382" s="86" t="s">
        <v>1484</v>
      </c>
      <c r="C382" s="86">
        <v>5400</v>
      </c>
      <c r="D382" s="55" t="s">
        <v>1984</v>
      </c>
      <c r="E382" s="87" t="s">
        <v>1946</v>
      </c>
    </row>
    <row r="383" spans="1:6" x14ac:dyDescent="0.25">
      <c r="A383" s="85">
        <v>46184</v>
      </c>
      <c r="B383" s="86" t="s">
        <v>1498</v>
      </c>
      <c r="C383" s="86">
        <v>5850</v>
      </c>
      <c r="D383" s="88" t="s">
        <v>69</v>
      </c>
      <c r="E383" s="87" t="s">
        <v>1946</v>
      </c>
    </row>
    <row r="384" spans="1:6" x14ac:dyDescent="0.25">
      <c r="A384" s="85">
        <v>46184</v>
      </c>
      <c r="B384" s="86" t="s">
        <v>896</v>
      </c>
      <c r="C384" s="86">
        <v>3700</v>
      </c>
      <c r="D384" s="55" t="s">
        <v>1948</v>
      </c>
      <c r="E384" s="87" t="s">
        <v>1946</v>
      </c>
    </row>
    <row r="385" spans="1:6" x14ac:dyDescent="0.25">
      <c r="A385" s="85">
        <v>46184</v>
      </c>
      <c r="B385" s="86" t="s">
        <v>904</v>
      </c>
      <c r="C385" s="86">
        <v>3700</v>
      </c>
      <c r="D385" s="55" t="s">
        <v>1948</v>
      </c>
      <c r="E385" s="87" t="s">
        <v>1946</v>
      </c>
    </row>
    <row r="386" spans="1:6" x14ac:dyDescent="0.25">
      <c r="A386" s="85">
        <v>46184</v>
      </c>
      <c r="B386" s="86" t="s">
        <v>1495</v>
      </c>
      <c r="C386" s="86">
        <v>1500</v>
      </c>
      <c r="D386" s="55" t="s">
        <v>1952</v>
      </c>
      <c r="E386" s="87" t="s">
        <v>1946</v>
      </c>
    </row>
    <row r="387" spans="1:6" x14ac:dyDescent="0.25">
      <c r="A387" s="85">
        <v>46184</v>
      </c>
      <c r="B387" s="86" t="s">
        <v>1486</v>
      </c>
      <c r="C387" s="86">
        <v>1500</v>
      </c>
      <c r="D387" s="88" t="s">
        <v>2013</v>
      </c>
      <c r="E387" s="87" t="s">
        <v>1946</v>
      </c>
    </row>
    <row r="388" spans="1:6" x14ac:dyDescent="0.25">
      <c r="A388" s="85">
        <v>46184</v>
      </c>
      <c r="B388" s="86" t="s">
        <v>1495</v>
      </c>
      <c r="C388" s="86">
        <v>5850</v>
      </c>
      <c r="D388" s="88" t="s">
        <v>69</v>
      </c>
      <c r="E388" s="87" t="s">
        <v>1946</v>
      </c>
    </row>
    <row r="389" spans="1:6" x14ac:dyDescent="0.25">
      <c r="A389" s="85">
        <v>46184</v>
      </c>
      <c r="B389" s="86" t="s">
        <v>1484</v>
      </c>
      <c r="C389" s="86">
        <v>5850</v>
      </c>
      <c r="D389" s="88" t="s">
        <v>69</v>
      </c>
      <c r="E389" s="87" t="s">
        <v>1946</v>
      </c>
      <c r="F389" s="82" t="s">
        <v>2014</v>
      </c>
    </row>
    <row r="390" spans="1:6" x14ac:dyDescent="0.25">
      <c r="A390" s="85">
        <v>46184</v>
      </c>
      <c r="B390" s="86" t="s">
        <v>904</v>
      </c>
      <c r="C390" s="86">
        <v>5850</v>
      </c>
      <c r="D390" s="88" t="s">
        <v>69</v>
      </c>
      <c r="E390" s="87" t="s">
        <v>1946</v>
      </c>
    </row>
    <row r="391" spans="1:6" x14ac:dyDescent="0.25">
      <c r="A391" s="85">
        <v>46184</v>
      </c>
      <c r="B391" s="86" t="s">
        <v>896</v>
      </c>
      <c r="C391" s="86">
        <v>3700</v>
      </c>
      <c r="D391" s="55" t="s">
        <v>1948</v>
      </c>
      <c r="E391" s="87" t="s">
        <v>1946</v>
      </c>
      <c r="F391" s="82" t="s">
        <v>2011</v>
      </c>
    </row>
    <row r="392" spans="1:6" x14ac:dyDescent="0.25">
      <c r="A392" s="85">
        <v>46184</v>
      </c>
      <c r="B392" s="86" t="s">
        <v>59</v>
      </c>
      <c r="C392" s="86">
        <v>1000</v>
      </c>
      <c r="D392" s="88" t="s">
        <v>1951</v>
      </c>
      <c r="E392" s="87" t="s">
        <v>1946</v>
      </c>
      <c r="F392" s="82" t="s">
        <v>2015</v>
      </c>
    </row>
    <row r="393" spans="1:6" x14ac:dyDescent="0.25">
      <c r="A393" s="85">
        <v>46184</v>
      </c>
      <c r="B393" s="86" t="s">
        <v>59</v>
      </c>
      <c r="C393" s="86">
        <v>700</v>
      </c>
      <c r="D393" s="88" t="s">
        <v>1951</v>
      </c>
      <c r="E393" s="87" t="s">
        <v>1946</v>
      </c>
      <c r="F393" s="82" t="s">
        <v>2015</v>
      </c>
    </row>
    <row r="394" spans="1:6" x14ac:dyDescent="0.25">
      <c r="A394" s="85">
        <v>46185</v>
      </c>
      <c r="B394" s="86" t="s">
        <v>896</v>
      </c>
      <c r="C394" s="86">
        <v>2150</v>
      </c>
      <c r="D394" s="88" t="s">
        <v>69</v>
      </c>
      <c r="E394" s="87" t="s">
        <v>1946</v>
      </c>
    </row>
    <row r="395" spans="1:6" x14ac:dyDescent="0.25">
      <c r="A395" s="85">
        <v>46185</v>
      </c>
      <c r="B395" s="86" t="s">
        <v>904</v>
      </c>
      <c r="C395" s="86">
        <v>5400</v>
      </c>
      <c r="D395" s="55" t="s">
        <v>1984</v>
      </c>
      <c r="E395" s="87" t="s">
        <v>1946</v>
      </c>
    </row>
    <row r="396" spans="1:6" x14ac:dyDescent="0.25">
      <c r="A396" s="85">
        <v>46185</v>
      </c>
      <c r="B396" s="86" t="s">
        <v>1498</v>
      </c>
      <c r="C396" s="86">
        <v>1500</v>
      </c>
      <c r="D396" s="55" t="s">
        <v>1952</v>
      </c>
      <c r="E396" s="87" t="s">
        <v>1946</v>
      </c>
    </row>
    <row r="397" spans="1:6" x14ac:dyDescent="0.25">
      <c r="A397" s="85">
        <v>46185</v>
      </c>
      <c r="B397" s="86" t="s">
        <v>1495</v>
      </c>
      <c r="C397" s="86">
        <v>1500</v>
      </c>
      <c r="D397" s="55" t="s">
        <v>1952</v>
      </c>
      <c r="E397" s="87" t="s">
        <v>1946</v>
      </c>
    </row>
    <row r="398" spans="1:6" x14ac:dyDescent="0.25">
      <c r="A398" s="85">
        <v>46185</v>
      </c>
      <c r="B398" s="86" t="s">
        <v>1498</v>
      </c>
      <c r="C398" s="86">
        <v>5600</v>
      </c>
      <c r="D398" s="88" t="s">
        <v>35</v>
      </c>
      <c r="E398" s="87" t="s">
        <v>1946</v>
      </c>
    </row>
    <row r="399" spans="1:6" x14ac:dyDescent="0.25">
      <c r="A399" s="85">
        <v>46185</v>
      </c>
      <c r="B399" s="86" t="s">
        <v>1486</v>
      </c>
      <c r="C399" s="86">
        <v>5850</v>
      </c>
      <c r="D399" s="88" t="s">
        <v>69</v>
      </c>
      <c r="E399" s="87" t="s">
        <v>1946</v>
      </c>
    </row>
    <row r="400" spans="1:6" x14ac:dyDescent="0.25">
      <c r="A400" s="85">
        <v>46185</v>
      </c>
      <c r="B400" s="86" t="s">
        <v>1484</v>
      </c>
      <c r="C400" s="86">
        <v>3700</v>
      </c>
      <c r="D400" s="88" t="s">
        <v>69</v>
      </c>
      <c r="E400" s="87" t="s">
        <v>1946</v>
      </c>
      <c r="F400" s="82" t="s">
        <v>2015</v>
      </c>
    </row>
    <row r="401" spans="1:5" x14ac:dyDescent="0.25">
      <c r="A401" s="85">
        <v>46185</v>
      </c>
      <c r="B401" s="86" t="s">
        <v>1520</v>
      </c>
      <c r="C401" s="86">
        <v>3700</v>
      </c>
      <c r="D401" s="88" t="s">
        <v>1955</v>
      </c>
      <c r="E401" s="87" t="s">
        <v>1946</v>
      </c>
    </row>
    <row r="402" spans="1:5" x14ac:dyDescent="0.25">
      <c r="A402" s="85">
        <v>46185</v>
      </c>
      <c r="B402" s="86" t="s">
        <v>1495</v>
      </c>
      <c r="C402" s="86">
        <v>5850</v>
      </c>
      <c r="D402" s="88" t="s">
        <v>69</v>
      </c>
      <c r="E402" s="87" t="s">
        <v>1946</v>
      </c>
    </row>
    <row r="403" spans="1:5" x14ac:dyDescent="0.25">
      <c r="A403" s="85">
        <v>46185</v>
      </c>
      <c r="B403" s="86" t="s">
        <v>896</v>
      </c>
      <c r="C403" s="86">
        <v>5350</v>
      </c>
      <c r="D403" s="88" t="s">
        <v>139</v>
      </c>
      <c r="E403" s="87" t="s">
        <v>1946</v>
      </c>
    </row>
    <row r="404" spans="1:5" x14ac:dyDescent="0.25">
      <c r="A404" s="85">
        <v>46185</v>
      </c>
      <c r="B404" s="86" t="s">
        <v>76</v>
      </c>
      <c r="C404" s="86">
        <v>6850</v>
      </c>
      <c r="D404" s="88" t="s">
        <v>2016</v>
      </c>
      <c r="E404" s="87" t="s">
        <v>1946</v>
      </c>
    </row>
    <row r="405" spans="1:5" x14ac:dyDescent="0.25">
      <c r="A405" s="85">
        <v>46186</v>
      </c>
      <c r="B405" s="86" t="s">
        <v>1520</v>
      </c>
      <c r="C405" s="86">
        <v>1000</v>
      </c>
      <c r="D405" s="88" t="s">
        <v>1951</v>
      </c>
      <c r="E405" s="87" t="s">
        <v>1946</v>
      </c>
    </row>
    <row r="406" spans="1:5" x14ac:dyDescent="0.25">
      <c r="A406" s="85">
        <v>46186</v>
      </c>
      <c r="B406" s="86" t="s">
        <v>1778</v>
      </c>
      <c r="C406" s="86">
        <v>1000</v>
      </c>
      <c r="D406" s="88" t="s">
        <v>1951</v>
      </c>
      <c r="E406" s="87" t="s">
        <v>1946</v>
      </c>
    </row>
    <row r="407" spans="1:5" x14ac:dyDescent="0.25">
      <c r="A407" s="85">
        <v>46186</v>
      </c>
      <c r="B407" s="86" t="s">
        <v>1778</v>
      </c>
      <c r="C407" s="86">
        <v>3700</v>
      </c>
      <c r="D407" s="88" t="s">
        <v>1955</v>
      </c>
      <c r="E407" s="87" t="s">
        <v>1946</v>
      </c>
    </row>
    <row r="408" spans="1:5" x14ac:dyDescent="0.25">
      <c r="A408" s="85">
        <v>46186</v>
      </c>
      <c r="B408" s="86" t="s">
        <v>904</v>
      </c>
      <c r="C408" s="86">
        <v>5850</v>
      </c>
      <c r="D408" s="88" t="s">
        <v>69</v>
      </c>
      <c r="E408" s="87" t="s">
        <v>1946</v>
      </c>
    </row>
    <row r="409" spans="1:5" x14ac:dyDescent="0.25">
      <c r="A409" s="85">
        <v>46186</v>
      </c>
      <c r="B409" s="86" t="s">
        <v>1498</v>
      </c>
      <c r="C409" s="86">
        <f>3950+200</f>
        <v>4150</v>
      </c>
      <c r="D409" s="88" t="s">
        <v>1972</v>
      </c>
      <c r="E409" s="87" t="s">
        <v>1946</v>
      </c>
    </row>
    <row r="410" spans="1:5" x14ac:dyDescent="0.25">
      <c r="A410" s="85">
        <v>46186</v>
      </c>
      <c r="B410" s="86" t="s">
        <v>896</v>
      </c>
      <c r="C410" s="86">
        <f>3950+200</f>
        <v>4150</v>
      </c>
      <c r="D410" s="88" t="s">
        <v>1972</v>
      </c>
      <c r="E410" s="87" t="s">
        <v>1946</v>
      </c>
    </row>
    <row r="411" spans="1:5" x14ac:dyDescent="0.25">
      <c r="A411" s="85">
        <v>46186</v>
      </c>
      <c r="B411" s="86" t="s">
        <v>1486</v>
      </c>
      <c r="C411" s="86">
        <v>1900</v>
      </c>
      <c r="D411" s="55" t="s">
        <v>1952</v>
      </c>
      <c r="E411" s="87" t="s">
        <v>1946</v>
      </c>
    </row>
    <row r="412" spans="1:5" x14ac:dyDescent="0.25">
      <c r="A412" s="85">
        <v>46186</v>
      </c>
      <c r="B412" s="86" t="s">
        <v>1495</v>
      </c>
      <c r="C412" s="86">
        <v>1900</v>
      </c>
      <c r="D412" s="55" t="s">
        <v>1952</v>
      </c>
      <c r="E412" s="87" t="s">
        <v>1946</v>
      </c>
    </row>
    <row r="413" spans="1:5" x14ac:dyDescent="0.25">
      <c r="A413" s="85">
        <v>46186</v>
      </c>
      <c r="B413" s="86" t="s">
        <v>1520</v>
      </c>
      <c r="C413" s="86">
        <v>5400</v>
      </c>
      <c r="D413" s="55" t="s">
        <v>1984</v>
      </c>
      <c r="E413" s="87" t="s">
        <v>1946</v>
      </c>
    </row>
    <row r="414" spans="1:5" x14ac:dyDescent="0.25">
      <c r="A414" s="85">
        <v>46186</v>
      </c>
      <c r="B414" s="86" t="s">
        <v>1484</v>
      </c>
      <c r="C414" s="86">
        <v>5400</v>
      </c>
      <c r="D414" s="55" t="s">
        <v>1984</v>
      </c>
      <c r="E414" s="87" t="s">
        <v>1946</v>
      </c>
    </row>
    <row r="415" spans="1:5" x14ac:dyDescent="0.25">
      <c r="A415" s="85">
        <v>46188</v>
      </c>
      <c r="B415" s="86" t="s">
        <v>76</v>
      </c>
      <c r="C415" s="86">
        <v>5600</v>
      </c>
      <c r="D415" s="88" t="s">
        <v>35</v>
      </c>
      <c r="E415" s="87" t="s">
        <v>1946</v>
      </c>
    </row>
    <row r="416" spans="1:5" x14ac:dyDescent="0.25">
      <c r="A416" s="85">
        <v>46188</v>
      </c>
      <c r="B416" s="86" t="s">
        <v>1520</v>
      </c>
      <c r="C416" s="86">
        <v>8100</v>
      </c>
      <c r="D416" s="55" t="s">
        <v>2017</v>
      </c>
      <c r="E416" s="87" t="s">
        <v>1946</v>
      </c>
    </row>
    <row r="417" spans="1:5" x14ac:dyDescent="0.25">
      <c r="A417" s="85">
        <v>46188</v>
      </c>
      <c r="B417" s="86" t="s">
        <v>1778</v>
      </c>
      <c r="C417" s="86">
        <v>5600</v>
      </c>
      <c r="D417" s="88" t="s">
        <v>35</v>
      </c>
      <c r="E417" s="87" t="s">
        <v>1946</v>
      </c>
    </row>
    <row r="418" spans="1:5" x14ac:dyDescent="0.25">
      <c r="A418" s="85">
        <v>46188</v>
      </c>
      <c r="B418" s="86" t="s">
        <v>1486</v>
      </c>
      <c r="C418" s="86">
        <v>8100</v>
      </c>
      <c r="D418" s="55" t="s">
        <v>2018</v>
      </c>
      <c r="E418" s="87" t="s">
        <v>1946</v>
      </c>
    </row>
    <row r="419" spans="1:5" x14ac:dyDescent="0.25">
      <c r="A419" s="85">
        <v>46188</v>
      </c>
      <c r="B419" s="86" t="s">
        <v>1498</v>
      </c>
      <c r="C419" s="86">
        <v>8100</v>
      </c>
      <c r="D419" s="55" t="s">
        <v>2018</v>
      </c>
      <c r="E419" s="87" t="s">
        <v>1946</v>
      </c>
    </row>
    <row r="420" spans="1:5" x14ac:dyDescent="0.25">
      <c r="A420" s="85">
        <v>46188</v>
      </c>
      <c r="B420" s="86" t="s">
        <v>76</v>
      </c>
      <c r="C420" s="86">
        <v>5700</v>
      </c>
      <c r="D420" s="55" t="s">
        <v>2019</v>
      </c>
      <c r="E420" s="87" t="s">
        <v>1946</v>
      </c>
    </row>
    <row r="421" spans="1:5" x14ac:dyDescent="0.25">
      <c r="A421" s="85">
        <v>46188</v>
      </c>
      <c r="B421" s="86" t="s">
        <v>1484</v>
      </c>
      <c r="C421" s="86">
        <v>5850</v>
      </c>
      <c r="D421" s="88" t="s">
        <v>69</v>
      </c>
      <c r="E421" s="87" t="s">
        <v>1946</v>
      </c>
    </row>
    <row r="422" spans="1:5" x14ac:dyDescent="0.25">
      <c r="A422" s="85">
        <v>46188</v>
      </c>
      <c r="B422" s="86" t="s">
        <v>896</v>
      </c>
      <c r="C422" s="86">
        <v>5850</v>
      </c>
      <c r="D422" s="88" t="s">
        <v>69</v>
      </c>
      <c r="E422" s="87" t="s">
        <v>1946</v>
      </c>
    </row>
    <row r="423" spans="1:5" x14ac:dyDescent="0.25">
      <c r="A423" s="85">
        <v>46188</v>
      </c>
      <c r="B423" s="86" t="s">
        <v>1495</v>
      </c>
      <c r="C423" s="86">
        <v>5850</v>
      </c>
      <c r="D423" s="88" t="s">
        <v>69</v>
      </c>
      <c r="E423" s="87" t="s">
        <v>1946</v>
      </c>
    </row>
    <row r="424" spans="1:5" x14ac:dyDescent="0.25">
      <c r="A424" s="85">
        <v>46189</v>
      </c>
      <c r="B424" s="86" t="s">
        <v>904</v>
      </c>
      <c r="C424" s="86">
        <v>8100</v>
      </c>
      <c r="D424" s="55" t="s">
        <v>2018</v>
      </c>
      <c r="E424" s="87" t="s">
        <v>1946</v>
      </c>
    </row>
    <row r="425" spans="1:5" x14ac:dyDescent="0.25">
      <c r="A425" s="85">
        <v>46189</v>
      </c>
      <c r="B425" s="86" t="s">
        <v>1520</v>
      </c>
      <c r="C425" s="86">
        <v>1700</v>
      </c>
      <c r="D425" s="88" t="s">
        <v>1947</v>
      </c>
      <c r="E425" s="87" t="s">
        <v>1946</v>
      </c>
    </row>
    <row r="426" spans="1:5" x14ac:dyDescent="0.25">
      <c r="A426" s="85">
        <v>46189</v>
      </c>
      <c r="B426" s="86" t="s">
        <v>896</v>
      </c>
      <c r="C426" s="86">
        <v>1900</v>
      </c>
      <c r="D426" s="55" t="s">
        <v>1952</v>
      </c>
      <c r="E426" s="87" t="s">
        <v>1946</v>
      </c>
    </row>
    <row r="427" spans="1:5" x14ac:dyDescent="0.25">
      <c r="A427" s="85">
        <v>46189</v>
      </c>
      <c r="B427" s="86" t="s">
        <v>1484</v>
      </c>
      <c r="C427" s="86">
        <v>5850</v>
      </c>
      <c r="D427" s="88" t="s">
        <v>69</v>
      </c>
      <c r="E427" s="87" t="s">
        <v>1946</v>
      </c>
    </row>
    <row r="428" spans="1:5" x14ac:dyDescent="0.25">
      <c r="A428" s="85">
        <v>46189</v>
      </c>
      <c r="B428" s="86" t="s">
        <v>1486</v>
      </c>
      <c r="C428" s="86">
        <v>5850</v>
      </c>
      <c r="D428" s="88" t="s">
        <v>69</v>
      </c>
      <c r="E428" s="87" t="s">
        <v>1946</v>
      </c>
    </row>
    <row r="429" spans="1:5" x14ac:dyDescent="0.25">
      <c r="A429" s="85">
        <v>46189</v>
      </c>
      <c r="B429" s="86" t="s">
        <v>1495</v>
      </c>
      <c r="C429" s="86">
        <v>5850</v>
      </c>
      <c r="D429" s="88" t="s">
        <v>69</v>
      </c>
      <c r="E429" s="87" t="s">
        <v>1946</v>
      </c>
    </row>
    <row r="430" spans="1:5" x14ac:dyDescent="0.25">
      <c r="A430" s="85">
        <v>46190</v>
      </c>
      <c r="B430" s="86" t="s">
        <v>1778</v>
      </c>
      <c r="C430" s="86">
        <v>5700</v>
      </c>
      <c r="D430" s="55" t="s">
        <v>2019</v>
      </c>
      <c r="E430" s="87" t="s">
        <v>1946</v>
      </c>
    </row>
    <row r="431" spans="1:5" x14ac:dyDescent="0.25">
      <c r="A431" s="85">
        <v>46190</v>
      </c>
      <c r="B431" s="86" t="s">
        <v>896</v>
      </c>
      <c r="C431" s="86">
        <f>5400-500</f>
        <v>4900</v>
      </c>
      <c r="D431" s="55" t="s">
        <v>1984</v>
      </c>
      <c r="E431" s="87" t="s">
        <v>1946</v>
      </c>
    </row>
    <row r="432" spans="1:5" x14ac:dyDescent="0.25">
      <c r="A432" s="85">
        <v>46190</v>
      </c>
      <c r="B432" s="86" t="s">
        <v>1484</v>
      </c>
      <c r="C432" s="86">
        <v>1500</v>
      </c>
      <c r="D432" s="55" t="s">
        <v>1952</v>
      </c>
      <c r="E432" s="87" t="s">
        <v>1946</v>
      </c>
    </row>
    <row r="433" spans="1:6" x14ac:dyDescent="0.25">
      <c r="A433" s="85">
        <v>46190</v>
      </c>
      <c r="B433" s="86" t="s">
        <v>1484</v>
      </c>
      <c r="C433" s="86">
        <v>5850</v>
      </c>
      <c r="D433" s="88" t="s">
        <v>69</v>
      </c>
      <c r="E433" s="87" t="s">
        <v>1946</v>
      </c>
      <c r="F433" s="82" t="s">
        <v>2020</v>
      </c>
    </row>
    <row r="434" spans="1:6" x14ac:dyDescent="0.25">
      <c r="A434" s="85">
        <v>46190</v>
      </c>
      <c r="B434" s="86" t="s">
        <v>1484</v>
      </c>
      <c r="C434" s="86">
        <f>7900-5850</f>
        <v>2050</v>
      </c>
      <c r="D434" s="88" t="s">
        <v>1960</v>
      </c>
      <c r="E434" s="87" t="s">
        <v>1946</v>
      </c>
    </row>
    <row r="435" spans="1:6" x14ac:dyDescent="0.25">
      <c r="A435" s="85">
        <v>46190</v>
      </c>
      <c r="B435" s="86" t="s">
        <v>1498</v>
      </c>
      <c r="C435" s="86">
        <v>5850</v>
      </c>
      <c r="D435" s="88" t="s">
        <v>69</v>
      </c>
      <c r="E435" s="87" t="s">
        <v>1946</v>
      </c>
    </row>
    <row r="436" spans="1:6" x14ac:dyDescent="0.25">
      <c r="A436" s="85">
        <v>46190</v>
      </c>
      <c r="B436" s="86" t="s">
        <v>904</v>
      </c>
      <c r="C436" s="86">
        <v>5850</v>
      </c>
      <c r="D436" s="88" t="s">
        <v>69</v>
      </c>
      <c r="E436" s="87" t="s">
        <v>1946</v>
      </c>
    </row>
    <row r="437" spans="1:6" x14ac:dyDescent="0.25">
      <c r="A437" s="85">
        <v>46191</v>
      </c>
      <c r="B437" s="86" t="s">
        <v>1498</v>
      </c>
      <c r="C437" s="86">
        <v>1000</v>
      </c>
      <c r="D437" s="88" t="s">
        <v>1951</v>
      </c>
      <c r="E437" s="87" t="s">
        <v>1946</v>
      </c>
    </row>
    <row r="438" spans="1:6" x14ac:dyDescent="0.25">
      <c r="A438" s="85">
        <v>46191</v>
      </c>
      <c r="B438" s="86" t="s">
        <v>904</v>
      </c>
      <c r="C438" s="86">
        <v>2000</v>
      </c>
      <c r="D438" s="88" t="s">
        <v>2021</v>
      </c>
      <c r="E438" s="87" t="s">
        <v>1946</v>
      </c>
    </row>
    <row r="439" spans="1:6" x14ac:dyDescent="0.25">
      <c r="A439" s="85">
        <v>46191</v>
      </c>
      <c r="B439" s="86" t="s">
        <v>1498</v>
      </c>
      <c r="C439" s="86">
        <v>2000</v>
      </c>
      <c r="D439" s="88" t="s">
        <v>2021</v>
      </c>
      <c r="E439" s="87" t="s">
        <v>1946</v>
      </c>
    </row>
    <row r="440" spans="1:6" x14ac:dyDescent="0.25">
      <c r="A440" s="85">
        <v>46191</v>
      </c>
      <c r="B440" s="86" t="s">
        <v>1520</v>
      </c>
      <c r="C440" s="86">
        <v>1000</v>
      </c>
      <c r="D440" s="88" t="s">
        <v>1951</v>
      </c>
      <c r="E440" s="87" t="s">
        <v>1946</v>
      </c>
      <c r="F440" s="82" t="s">
        <v>2022</v>
      </c>
    </row>
    <row r="441" spans="1:6" x14ac:dyDescent="0.25">
      <c r="A441" s="85">
        <v>46191</v>
      </c>
      <c r="B441" s="86" t="s">
        <v>1520</v>
      </c>
      <c r="C441" s="86">
        <v>700</v>
      </c>
      <c r="D441" s="88" t="s">
        <v>1951</v>
      </c>
      <c r="E441" s="87" t="s">
        <v>1946</v>
      </c>
      <c r="F441" s="82" t="s">
        <v>2022</v>
      </c>
    </row>
    <row r="442" spans="1:6" x14ac:dyDescent="0.25">
      <c r="A442" s="85">
        <v>46191</v>
      </c>
      <c r="B442" s="86" t="s">
        <v>1520</v>
      </c>
      <c r="C442" s="86">
        <v>700</v>
      </c>
      <c r="D442" s="88" t="s">
        <v>1951</v>
      </c>
      <c r="E442" s="87" t="s">
        <v>1946</v>
      </c>
      <c r="F442" s="82" t="s">
        <v>2022</v>
      </c>
    </row>
    <row r="443" spans="1:6" x14ac:dyDescent="0.25">
      <c r="A443" s="85">
        <v>46191</v>
      </c>
      <c r="B443" s="86" t="s">
        <v>904</v>
      </c>
      <c r="C443" s="86">
        <v>1500</v>
      </c>
      <c r="D443" s="55" t="s">
        <v>1952</v>
      </c>
      <c r="E443" s="87" t="s">
        <v>1946</v>
      </c>
    </row>
    <row r="444" spans="1:6" x14ac:dyDescent="0.25">
      <c r="A444" s="85">
        <v>46191</v>
      </c>
      <c r="B444" s="86" t="s">
        <v>1495</v>
      </c>
      <c r="C444" s="86">
        <v>5850</v>
      </c>
      <c r="D444" s="88" t="s">
        <v>69</v>
      </c>
      <c r="E444" s="87" t="s">
        <v>1946</v>
      </c>
    </row>
    <row r="445" spans="1:6" x14ac:dyDescent="0.25">
      <c r="A445" s="85">
        <v>46191</v>
      </c>
      <c r="B445" s="86" t="s">
        <v>896</v>
      </c>
      <c r="C445" s="86">
        <v>5850</v>
      </c>
      <c r="D445" s="88" t="s">
        <v>69</v>
      </c>
      <c r="E445" s="87" t="s">
        <v>1946</v>
      </c>
    </row>
    <row r="446" spans="1:6" x14ac:dyDescent="0.25">
      <c r="A446" s="85">
        <v>46191</v>
      </c>
      <c r="B446" s="86" t="s">
        <v>1498</v>
      </c>
      <c r="C446" s="86">
        <v>7900</v>
      </c>
      <c r="D446" s="88" t="s">
        <v>1960</v>
      </c>
      <c r="E446" s="87" t="s">
        <v>1946</v>
      </c>
    </row>
    <row r="447" spans="1:6" x14ac:dyDescent="0.25">
      <c r="A447" s="85">
        <v>46191</v>
      </c>
      <c r="B447" s="86" t="s">
        <v>904</v>
      </c>
      <c r="C447" s="86">
        <v>5600</v>
      </c>
      <c r="D447" s="88" t="s">
        <v>35</v>
      </c>
      <c r="E447" s="87" t="s">
        <v>1946</v>
      </c>
    </row>
    <row r="448" spans="1:6" x14ac:dyDescent="0.25">
      <c r="A448" s="85">
        <v>46192</v>
      </c>
      <c r="B448" s="86" t="s">
        <v>896</v>
      </c>
      <c r="C448" s="86">
        <v>100</v>
      </c>
      <c r="D448" s="55" t="s">
        <v>2024</v>
      </c>
      <c r="E448" s="87" t="s">
        <v>1946</v>
      </c>
      <c r="F448" s="82" t="s">
        <v>2023</v>
      </c>
    </row>
    <row r="449" spans="1:6" x14ac:dyDescent="0.25">
      <c r="A449" s="85">
        <v>46192</v>
      </c>
      <c r="B449" s="86" t="s">
        <v>1778</v>
      </c>
      <c r="C449" s="86">
        <v>8100</v>
      </c>
      <c r="D449" s="55" t="s">
        <v>2018</v>
      </c>
      <c r="E449" s="87" t="s">
        <v>1946</v>
      </c>
    </row>
    <row r="450" spans="1:6" x14ac:dyDescent="0.25">
      <c r="A450" s="85">
        <v>46192</v>
      </c>
      <c r="B450" s="86" t="s">
        <v>896</v>
      </c>
      <c r="C450" s="86">
        <v>2200</v>
      </c>
      <c r="D450" s="88" t="s">
        <v>1962</v>
      </c>
      <c r="E450" s="87" t="s">
        <v>1946</v>
      </c>
    </row>
    <row r="451" spans="1:6" x14ac:dyDescent="0.25">
      <c r="A451" s="85">
        <v>46192</v>
      </c>
      <c r="B451" s="86" t="s">
        <v>1495</v>
      </c>
      <c r="C451" s="86">
        <v>1900</v>
      </c>
      <c r="D451" s="55" t="s">
        <v>1952</v>
      </c>
      <c r="E451" s="87" t="s">
        <v>1946</v>
      </c>
    </row>
    <row r="452" spans="1:6" x14ac:dyDescent="0.25">
      <c r="A452" s="85">
        <v>46192</v>
      </c>
      <c r="B452" s="86" t="s">
        <v>1484</v>
      </c>
      <c r="C452" s="86">
        <v>1000</v>
      </c>
      <c r="D452" s="88" t="s">
        <v>1950</v>
      </c>
      <c r="E452" s="87" t="s">
        <v>1946</v>
      </c>
    </row>
    <row r="453" spans="1:6" x14ac:dyDescent="0.25">
      <c r="A453" s="85">
        <v>46192</v>
      </c>
      <c r="B453" s="86" t="s">
        <v>76</v>
      </c>
      <c r="C453" s="86" t="s">
        <v>2025</v>
      </c>
      <c r="D453" s="88" t="s">
        <v>1976</v>
      </c>
      <c r="E453" s="87" t="s">
        <v>1946</v>
      </c>
      <c r="F453" s="97" t="s">
        <v>2033</v>
      </c>
    </row>
    <row r="454" spans="1:6" x14ac:dyDescent="0.25">
      <c r="A454" s="85">
        <v>46192</v>
      </c>
      <c r="B454" s="86" t="s">
        <v>2022</v>
      </c>
      <c r="C454" s="86" t="s">
        <v>2025</v>
      </c>
      <c r="D454" s="88" t="s">
        <v>1976</v>
      </c>
      <c r="E454" s="87" t="s">
        <v>1946</v>
      </c>
      <c r="F454" s="97" t="s">
        <v>2033</v>
      </c>
    </row>
    <row r="455" spans="1:6" x14ac:dyDescent="0.25">
      <c r="A455" s="85">
        <v>46193</v>
      </c>
      <c r="B455" s="86" t="s">
        <v>76</v>
      </c>
      <c r="C455" s="86">
        <v>1000</v>
      </c>
      <c r="D455" s="55" t="s">
        <v>2026</v>
      </c>
      <c r="E455" s="87" t="s">
        <v>1946</v>
      </c>
    </row>
    <row r="456" spans="1:6" x14ac:dyDescent="0.25">
      <c r="A456" s="85">
        <v>46193</v>
      </c>
      <c r="B456" s="86" t="s">
        <v>2022</v>
      </c>
      <c r="C456" s="86">
        <v>1000</v>
      </c>
      <c r="D456" s="55" t="s">
        <v>2026</v>
      </c>
      <c r="E456" s="87" t="s">
        <v>1946</v>
      </c>
    </row>
    <row r="457" spans="1:6" x14ac:dyDescent="0.25">
      <c r="A457" s="85">
        <v>46193</v>
      </c>
      <c r="B457" s="86" t="s">
        <v>896</v>
      </c>
      <c r="C457" s="86">
        <v>1000</v>
      </c>
      <c r="D457" s="88" t="s">
        <v>1951</v>
      </c>
      <c r="E457" s="87" t="s">
        <v>1946</v>
      </c>
    </row>
    <row r="458" spans="1:6" x14ac:dyDescent="0.25">
      <c r="A458" s="85">
        <v>46193</v>
      </c>
      <c r="B458" s="86" t="s">
        <v>896</v>
      </c>
      <c r="C458" s="86">
        <v>700</v>
      </c>
      <c r="D458" s="88" t="s">
        <v>1951</v>
      </c>
      <c r="E458" s="87" t="s">
        <v>1946</v>
      </c>
    </row>
    <row r="459" spans="1:6" x14ac:dyDescent="0.25">
      <c r="A459" s="85">
        <v>46193</v>
      </c>
      <c r="B459" s="86" t="s">
        <v>896</v>
      </c>
      <c r="C459" s="86">
        <v>700</v>
      </c>
      <c r="D459" s="88" t="s">
        <v>1951</v>
      </c>
      <c r="E459" s="87" t="s">
        <v>1946</v>
      </c>
    </row>
    <row r="460" spans="1:6" x14ac:dyDescent="0.25">
      <c r="A460" s="85">
        <v>46193</v>
      </c>
      <c r="B460" s="86" t="s">
        <v>1484</v>
      </c>
      <c r="C460" s="86">
        <v>5850</v>
      </c>
      <c r="D460" s="88" t="s">
        <v>69</v>
      </c>
      <c r="E460" s="87" t="s">
        <v>1946</v>
      </c>
    </row>
    <row r="461" spans="1:6" x14ac:dyDescent="0.25">
      <c r="A461" s="85">
        <v>46193</v>
      </c>
      <c r="B461" s="86" t="s">
        <v>1495</v>
      </c>
      <c r="C461" s="86">
        <v>5850</v>
      </c>
      <c r="D461" s="88" t="s">
        <v>69</v>
      </c>
      <c r="E461" s="87" t="s">
        <v>1946</v>
      </c>
    </row>
    <row r="462" spans="1:6" x14ac:dyDescent="0.25">
      <c r="A462" s="85">
        <v>46193</v>
      </c>
      <c r="B462" s="86" t="s">
        <v>896</v>
      </c>
      <c r="C462" s="86">
        <v>3700</v>
      </c>
      <c r="D462" s="88" t="s">
        <v>1955</v>
      </c>
      <c r="E462" s="87" t="s">
        <v>1946</v>
      </c>
    </row>
    <row r="463" spans="1:6" x14ac:dyDescent="0.25">
      <c r="A463" s="85">
        <v>46193</v>
      </c>
      <c r="B463" s="86" t="s">
        <v>1498</v>
      </c>
      <c r="C463" s="86">
        <v>1000</v>
      </c>
      <c r="D463" s="88" t="s">
        <v>1950</v>
      </c>
      <c r="E463" s="87" t="s">
        <v>1946</v>
      </c>
    </row>
    <row r="464" spans="1:6" x14ac:dyDescent="0.25">
      <c r="A464" s="85">
        <v>46194</v>
      </c>
      <c r="B464" s="86" t="s">
        <v>904</v>
      </c>
      <c r="C464" s="86">
        <v>5400</v>
      </c>
      <c r="D464" s="88" t="s">
        <v>2028</v>
      </c>
      <c r="E464" s="87" t="s">
        <v>1946</v>
      </c>
    </row>
    <row r="465" spans="1:6" x14ac:dyDescent="0.25">
      <c r="A465" s="85">
        <v>46194</v>
      </c>
      <c r="B465" s="86" t="s">
        <v>59</v>
      </c>
      <c r="C465" s="86" t="s">
        <v>2027</v>
      </c>
      <c r="D465" s="88" t="s">
        <v>1955</v>
      </c>
      <c r="E465" s="87" t="s">
        <v>1946</v>
      </c>
      <c r="F465" s="82" t="s">
        <v>2015</v>
      </c>
    </row>
    <row r="466" spans="1:6" x14ac:dyDescent="0.25">
      <c r="A466" s="85">
        <v>46195</v>
      </c>
      <c r="B466" s="86" t="s">
        <v>896</v>
      </c>
      <c r="C466" s="86">
        <v>1000</v>
      </c>
      <c r="D466" s="88" t="s">
        <v>1951</v>
      </c>
      <c r="E466" s="87" t="s">
        <v>1946</v>
      </c>
    </row>
    <row r="467" spans="1:6" x14ac:dyDescent="0.25">
      <c r="A467" s="85">
        <v>46195</v>
      </c>
      <c r="B467" s="86" t="s">
        <v>896</v>
      </c>
      <c r="C467" s="86">
        <v>700</v>
      </c>
      <c r="D467" s="88" t="s">
        <v>1951</v>
      </c>
      <c r="E467" s="87" t="s">
        <v>1946</v>
      </c>
    </row>
    <row r="468" spans="1:6" x14ac:dyDescent="0.25">
      <c r="A468" s="85">
        <v>46195</v>
      </c>
      <c r="B468" s="86" t="s">
        <v>896</v>
      </c>
      <c r="C468" s="86">
        <v>700</v>
      </c>
      <c r="D468" s="88" t="s">
        <v>1951</v>
      </c>
      <c r="E468" s="87" t="s">
        <v>1946</v>
      </c>
    </row>
    <row r="469" spans="1:6" x14ac:dyDescent="0.25">
      <c r="A469" s="85">
        <v>46195</v>
      </c>
      <c r="B469" s="86" t="s">
        <v>1498</v>
      </c>
      <c r="C469" s="86">
        <v>1700</v>
      </c>
      <c r="D469" s="88" t="s">
        <v>1947</v>
      </c>
      <c r="E469" s="87" t="s">
        <v>1946</v>
      </c>
    </row>
    <row r="470" spans="1:6" x14ac:dyDescent="0.25">
      <c r="A470" s="85">
        <v>46195</v>
      </c>
      <c r="B470" s="86" t="s">
        <v>1484</v>
      </c>
      <c r="C470" s="86">
        <v>1500</v>
      </c>
      <c r="D470" s="55" t="s">
        <v>1952</v>
      </c>
      <c r="E470" s="87" t="s">
        <v>1946</v>
      </c>
    </row>
    <row r="471" spans="1:6" x14ac:dyDescent="0.25">
      <c r="A471" s="85">
        <v>46195</v>
      </c>
      <c r="B471" s="86" t="s">
        <v>1484</v>
      </c>
      <c r="C471" s="86">
        <v>5850</v>
      </c>
      <c r="D471" s="88" t="s">
        <v>69</v>
      </c>
      <c r="E471" s="87" t="s">
        <v>1946</v>
      </c>
    </row>
    <row r="472" spans="1:6" x14ac:dyDescent="0.25">
      <c r="A472" s="85">
        <v>46195</v>
      </c>
      <c r="B472" s="86" t="s">
        <v>1498</v>
      </c>
      <c r="C472" s="86">
        <v>1000</v>
      </c>
      <c r="D472" s="88" t="s">
        <v>1951</v>
      </c>
      <c r="E472" s="87" t="s">
        <v>1946</v>
      </c>
    </row>
    <row r="473" spans="1:6" x14ac:dyDescent="0.25">
      <c r="A473" s="85">
        <v>46195</v>
      </c>
      <c r="B473" s="86" t="s">
        <v>1498</v>
      </c>
      <c r="C473" s="86">
        <v>700</v>
      </c>
      <c r="D473" s="88" t="s">
        <v>1951</v>
      </c>
      <c r="E473" s="87" t="s">
        <v>1946</v>
      </c>
    </row>
    <row r="474" spans="1:6" x14ac:dyDescent="0.25">
      <c r="A474" s="85">
        <v>46195</v>
      </c>
      <c r="B474" s="86" t="s">
        <v>1498</v>
      </c>
      <c r="C474" s="86">
        <v>5850</v>
      </c>
      <c r="D474" s="88" t="s">
        <v>69</v>
      </c>
      <c r="E474" s="87" t="s">
        <v>1946</v>
      </c>
      <c r="F474" s="97" t="s">
        <v>2029</v>
      </c>
    </row>
    <row r="475" spans="1:6" x14ac:dyDescent="0.25">
      <c r="A475" s="85">
        <v>46195</v>
      </c>
      <c r="B475" s="86" t="s">
        <v>59</v>
      </c>
      <c r="C475" s="86">
        <v>7900</v>
      </c>
      <c r="D475" s="88" t="s">
        <v>1960</v>
      </c>
      <c r="E475" s="87" t="s">
        <v>1946</v>
      </c>
    </row>
    <row r="476" spans="1:6" x14ac:dyDescent="0.25">
      <c r="A476" s="85">
        <v>46196</v>
      </c>
      <c r="B476" s="86" t="s">
        <v>1778</v>
      </c>
      <c r="C476" s="86">
        <v>2200</v>
      </c>
      <c r="D476" s="88" t="s">
        <v>1962</v>
      </c>
      <c r="E476" s="87" t="s">
        <v>1946</v>
      </c>
    </row>
    <row r="477" spans="1:6" x14ac:dyDescent="0.25">
      <c r="A477" s="85">
        <v>46196</v>
      </c>
      <c r="B477" s="86" t="s">
        <v>1498</v>
      </c>
      <c r="C477" s="86">
        <v>1500</v>
      </c>
      <c r="D477" s="55" t="s">
        <v>1952</v>
      </c>
      <c r="E477" s="87" t="s">
        <v>1946</v>
      </c>
      <c r="F477" s="82" t="s">
        <v>2030</v>
      </c>
    </row>
    <row r="478" spans="1:6" x14ac:dyDescent="0.25">
      <c r="A478" s="85">
        <v>46197</v>
      </c>
      <c r="B478" s="86" t="s">
        <v>1498</v>
      </c>
      <c r="C478" s="86">
        <f>5600-650</f>
        <v>4950</v>
      </c>
      <c r="D478" s="88" t="s">
        <v>35</v>
      </c>
      <c r="E478" s="87" t="s">
        <v>1946</v>
      </c>
      <c r="F478" s="82" t="s">
        <v>2031</v>
      </c>
    </row>
    <row r="479" spans="1:6" x14ac:dyDescent="0.25">
      <c r="A479" s="85">
        <v>46197</v>
      </c>
      <c r="B479" s="86" t="s">
        <v>59</v>
      </c>
      <c r="C479" s="86">
        <v>1000</v>
      </c>
      <c r="D479" s="88" t="s">
        <v>1950</v>
      </c>
      <c r="E479" s="87" t="s">
        <v>1946</v>
      </c>
    </row>
    <row r="480" spans="1:6" x14ac:dyDescent="0.25">
      <c r="A480" s="85">
        <v>46197</v>
      </c>
      <c r="B480" s="86" t="s">
        <v>1495</v>
      </c>
      <c r="C480" s="86">
        <v>1500</v>
      </c>
      <c r="D480" s="55" t="s">
        <v>1952</v>
      </c>
      <c r="E480" s="87" t="s">
        <v>1946</v>
      </c>
    </row>
    <row r="481" spans="1:6" x14ac:dyDescent="0.25">
      <c r="A481" s="85">
        <v>46197</v>
      </c>
      <c r="B481" s="86" t="s">
        <v>1495</v>
      </c>
      <c r="C481" s="86">
        <v>7900</v>
      </c>
      <c r="D481" s="88" t="s">
        <v>1960</v>
      </c>
      <c r="E481" s="87" t="s">
        <v>1946</v>
      </c>
    </row>
    <row r="482" spans="1:6" x14ac:dyDescent="0.25">
      <c r="A482" s="85">
        <v>46197</v>
      </c>
      <c r="B482" s="86" t="s">
        <v>76</v>
      </c>
      <c r="C482" s="86">
        <v>100</v>
      </c>
      <c r="D482" s="55" t="s">
        <v>2034</v>
      </c>
      <c r="E482" s="87" t="s">
        <v>1946</v>
      </c>
      <c r="F482" s="82" t="s">
        <v>2035</v>
      </c>
    </row>
    <row r="483" spans="1:6" x14ac:dyDescent="0.25">
      <c r="A483" s="85">
        <v>46197</v>
      </c>
      <c r="B483" s="86" t="s">
        <v>2022</v>
      </c>
      <c r="C483" s="86">
        <v>100</v>
      </c>
      <c r="D483" s="55" t="s">
        <v>2034</v>
      </c>
      <c r="E483" s="87" t="s">
        <v>1946</v>
      </c>
      <c r="F483" s="82" t="s">
        <v>2035</v>
      </c>
    </row>
    <row r="484" spans="1:6" x14ac:dyDescent="0.25">
      <c r="A484" s="85">
        <v>46197</v>
      </c>
      <c r="B484" s="86" t="s">
        <v>76</v>
      </c>
      <c r="C484" s="86" t="s">
        <v>2036</v>
      </c>
      <c r="D484" s="88" t="s">
        <v>1976</v>
      </c>
      <c r="E484" s="87" t="s">
        <v>1946</v>
      </c>
      <c r="F484" s="82" t="s">
        <v>2032</v>
      </c>
    </row>
    <row r="485" spans="1:6" x14ac:dyDescent="0.25">
      <c r="A485" s="85">
        <v>46197</v>
      </c>
      <c r="B485" s="86" t="s">
        <v>2022</v>
      </c>
      <c r="C485" s="86" t="s">
        <v>2036</v>
      </c>
      <c r="D485" s="88" t="s">
        <v>1976</v>
      </c>
      <c r="E485" s="87" t="s">
        <v>1946</v>
      </c>
      <c r="F485" s="82" t="s">
        <v>2032</v>
      </c>
    </row>
    <row r="486" spans="1:6" x14ac:dyDescent="0.25">
      <c r="A486" s="85">
        <v>46197</v>
      </c>
      <c r="B486" s="86" t="s">
        <v>76</v>
      </c>
      <c r="C486" s="86">
        <v>1000</v>
      </c>
      <c r="D486" s="55" t="s">
        <v>2026</v>
      </c>
      <c r="E486" s="87" t="s">
        <v>1946</v>
      </c>
    </row>
    <row r="487" spans="1:6" x14ac:dyDescent="0.25">
      <c r="A487" s="85">
        <v>46197</v>
      </c>
      <c r="B487" s="86" t="s">
        <v>2022</v>
      </c>
      <c r="C487" s="86">
        <v>1000</v>
      </c>
      <c r="D487" s="55" t="s">
        <v>2026</v>
      </c>
      <c r="E487" s="87" t="s">
        <v>1946</v>
      </c>
    </row>
    <row r="488" spans="1:6" x14ac:dyDescent="0.25">
      <c r="A488" s="85">
        <v>46197</v>
      </c>
      <c r="B488" s="86" t="s">
        <v>1778</v>
      </c>
      <c r="C488" s="86">
        <v>1000</v>
      </c>
      <c r="D488" s="88" t="s">
        <v>1951</v>
      </c>
      <c r="E488" s="87" t="s">
        <v>1946</v>
      </c>
    </row>
    <row r="489" spans="1:6" x14ac:dyDescent="0.25">
      <c r="A489" s="85">
        <v>46197</v>
      </c>
      <c r="B489" s="86" t="s">
        <v>1778</v>
      </c>
      <c r="C489" s="86">
        <v>700</v>
      </c>
      <c r="D489" s="88" t="s">
        <v>1951</v>
      </c>
      <c r="E489" s="87" t="s">
        <v>1946</v>
      </c>
    </row>
    <row r="490" spans="1:6" x14ac:dyDescent="0.25">
      <c r="A490" s="85">
        <v>46197</v>
      </c>
      <c r="B490" s="86" t="s">
        <v>896</v>
      </c>
      <c r="C490" s="86">
        <v>5400</v>
      </c>
      <c r="D490" s="55" t="s">
        <v>1984</v>
      </c>
      <c r="E490" s="87" t="s">
        <v>1946</v>
      </c>
    </row>
    <row r="491" spans="1:6" x14ac:dyDescent="0.25">
      <c r="A491" s="85">
        <v>46197</v>
      </c>
      <c r="B491" s="86" t="s">
        <v>1484</v>
      </c>
      <c r="C491" s="86">
        <v>5400</v>
      </c>
      <c r="D491" s="55" t="s">
        <v>1984</v>
      </c>
      <c r="E491" s="87" t="s">
        <v>1946</v>
      </c>
    </row>
    <row r="492" spans="1:6" x14ac:dyDescent="0.25">
      <c r="A492" s="85">
        <v>46198</v>
      </c>
      <c r="B492" s="86" t="s">
        <v>1778</v>
      </c>
      <c r="C492" s="86">
        <v>1000</v>
      </c>
      <c r="D492" s="88" t="s">
        <v>1951</v>
      </c>
      <c r="E492" s="87" t="s">
        <v>1946</v>
      </c>
    </row>
    <row r="493" spans="1:6" x14ac:dyDescent="0.25">
      <c r="A493" s="85">
        <v>46198</v>
      </c>
      <c r="B493" s="86" t="s">
        <v>1778</v>
      </c>
      <c r="C493" s="86">
        <v>700</v>
      </c>
      <c r="D493" s="88" t="s">
        <v>1951</v>
      </c>
      <c r="E493" s="87" t="s">
        <v>1946</v>
      </c>
    </row>
    <row r="494" spans="1:6" x14ac:dyDescent="0.25">
      <c r="A494" s="85">
        <v>46198</v>
      </c>
      <c r="B494" s="86" t="s">
        <v>1778</v>
      </c>
      <c r="C494" s="86">
        <v>5400</v>
      </c>
      <c r="D494" s="55" t="s">
        <v>1966</v>
      </c>
      <c r="E494" s="87" t="s">
        <v>1946</v>
      </c>
    </row>
    <row r="495" spans="1:6" x14ac:dyDescent="0.25">
      <c r="A495" s="85">
        <v>46198</v>
      </c>
      <c r="B495" s="86" t="s">
        <v>904</v>
      </c>
      <c r="C495" s="86">
        <v>5700</v>
      </c>
      <c r="D495" s="88" t="s">
        <v>1967</v>
      </c>
      <c r="E495" s="87" t="s">
        <v>1946</v>
      </c>
    </row>
    <row r="496" spans="1:6" x14ac:dyDescent="0.25">
      <c r="A496" s="85">
        <v>46198</v>
      </c>
      <c r="B496" s="86" t="s">
        <v>1778</v>
      </c>
      <c r="C496" s="86">
        <v>700</v>
      </c>
      <c r="D496" s="88" t="s">
        <v>2013</v>
      </c>
      <c r="E496" s="87" t="s">
        <v>1946</v>
      </c>
    </row>
    <row r="497" spans="1:6" x14ac:dyDescent="0.25">
      <c r="A497" s="85">
        <v>46198</v>
      </c>
      <c r="B497" s="86" t="s">
        <v>1498</v>
      </c>
      <c r="C497" s="86">
        <v>2000</v>
      </c>
      <c r="D497" s="55" t="s">
        <v>2037</v>
      </c>
      <c r="E497" s="87" t="s">
        <v>1946</v>
      </c>
      <c r="F497" s="82" t="s">
        <v>2038</v>
      </c>
    </row>
    <row r="498" spans="1:6" x14ac:dyDescent="0.25">
      <c r="A498" s="85">
        <v>46198</v>
      </c>
      <c r="B498" s="86" t="s">
        <v>76</v>
      </c>
      <c r="C498" s="86">
        <v>1000</v>
      </c>
      <c r="D498" s="55" t="s">
        <v>2026</v>
      </c>
      <c r="E498" s="87" t="s">
        <v>1946</v>
      </c>
    </row>
    <row r="499" spans="1:6" x14ac:dyDescent="0.25">
      <c r="A499" s="85">
        <v>46198</v>
      </c>
      <c r="B499" s="86" t="s">
        <v>2022</v>
      </c>
      <c r="C499" s="86">
        <v>1000</v>
      </c>
      <c r="D499" s="55" t="s">
        <v>2026</v>
      </c>
      <c r="E499" s="87" t="s">
        <v>1946</v>
      </c>
    </row>
    <row r="500" spans="1:6" x14ac:dyDescent="0.25">
      <c r="A500" s="85">
        <v>46198</v>
      </c>
      <c r="B500" s="86" t="s">
        <v>76</v>
      </c>
      <c r="C500" s="86">
        <v>1000</v>
      </c>
      <c r="D500" s="55" t="s">
        <v>2026</v>
      </c>
      <c r="E500" s="87" t="s">
        <v>1946</v>
      </c>
    </row>
    <row r="501" spans="1:6" x14ac:dyDescent="0.25">
      <c r="A501" s="85">
        <v>46198</v>
      </c>
      <c r="B501" s="86" t="s">
        <v>2022</v>
      </c>
      <c r="C501" s="86">
        <v>1000</v>
      </c>
      <c r="D501" s="55" t="s">
        <v>2026</v>
      </c>
      <c r="E501" s="87" t="s">
        <v>1946</v>
      </c>
    </row>
    <row r="502" spans="1:6" x14ac:dyDescent="0.25">
      <c r="A502" s="85">
        <v>46199</v>
      </c>
      <c r="B502" s="86" t="s">
        <v>1498</v>
      </c>
      <c r="C502" s="86">
        <v>400</v>
      </c>
      <c r="D502" s="55" t="s">
        <v>2037</v>
      </c>
      <c r="E502" s="87" t="s">
        <v>1946</v>
      </c>
      <c r="F502" s="82" t="s">
        <v>2039</v>
      </c>
    </row>
    <row r="503" spans="1:6" x14ac:dyDescent="0.25">
      <c r="A503" s="85">
        <v>46199</v>
      </c>
      <c r="B503" s="86" t="s">
        <v>1778</v>
      </c>
      <c r="C503" s="86">
        <v>7900</v>
      </c>
      <c r="D503" s="88" t="s">
        <v>1960</v>
      </c>
      <c r="E503" s="87" t="s">
        <v>1946</v>
      </c>
    </row>
    <row r="504" spans="1:6" x14ac:dyDescent="0.25">
      <c r="A504" s="85">
        <v>46199</v>
      </c>
      <c r="B504" s="86" t="s">
        <v>904</v>
      </c>
      <c r="C504" s="86">
        <v>7900</v>
      </c>
      <c r="D504" s="88" t="s">
        <v>1960</v>
      </c>
      <c r="E504" s="87" t="s">
        <v>1946</v>
      </c>
    </row>
    <row r="505" spans="1:6" x14ac:dyDescent="0.25">
      <c r="A505" s="85">
        <v>46199</v>
      </c>
      <c r="B505" s="86" t="s">
        <v>1498</v>
      </c>
      <c r="C505" s="86">
        <v>2000</v>
      </c>
      <c r="D505" s="55" t="s">
        <v>2040</v>
      </c>
      <c r="E505" s="87" t="s">
        <v>1946</v>
      </c>
    </row>
    <row r="506" spans="1:6" x14ac:dyDescent="0.25">
      <c r="A506" s="85">
        <v>46199</v>
      </c>
      <c r="B506" s="86" t="s">
        <v>896</v>
      </c>
      <c r="C506" s="86">
        <v>2000</v>
      </c>
      <c r="D506" s="55" t="s">
        <v>2041</v>
      </c>
      <c r="E506" s="87" t="s">
        <v>1946</v>
      </c>
    </row>
    <row r="507" spans="1:6" x14ac:dyDescent="0.25">
      <c r="A507" s="85">
        <v>46199</v>
      </c>
      <c r="B507" s="86" t="s">
        <v>1484</v>
      </c>
      <c r="C507" s="86">
        <v>2200</v>
      </c>
      <c r="D507" s="88" t="s">
        <v>1962</v>
      </c>
      <c r="E507" s="87" t="s">
        <v>1946</v>
      </c>
    </row>
    <row r="508" spans="1:6" x14ac:dyDescent="0.25">
      <c r="A508" s="85">
        <v>46199</v>
      </c>
      <c r="B508" s="86" t="s">
        <v>896</v>
      </c>
      <c r="C508" s="86">
        <v>5850</v>
      </c>
      <c r="D508" s="88" t="s">
        <v>69</v>
      </c>
      <c r="E508" s="87" t="s">
        <v>1946</v>
      </c>
    </row>
    <row r="509" spans="1:6" x14ac:dyDescent="0.25">
      <c r="A509" s="85">
        <v>46199</v>
      </c>
      <c r="B509" s="86" t="s">
        <v>1498</v>
      </c>
      <c r="C509" s="86">
        <v>5850</v>
      </c>
      <c r="D509" s="88" t="s">
        <v>69</v>
      </c>
      <c r="E509" s="87" t="s">
        <v>1946</v>
      </c>
    </row>
    <row r="510" spans="1:6" x14ac:dyDescent="0.25">
      <c r="A510" s="85">
        <v>46199</v>
      </c>
      <c r="B510" s="86" t="s">
        <v>1484</v>
      </c>
      <c r="C510" s="86">
        <v>1000</v>
      </c>
      <c r="D510" s="88" t="s">
        <v>1951</v>
      </c>
      <c r="E510" s="87" t="s">
        <v>1946</v>
      </c>
    </row>
    <row r="511" spans="1:6" x14ac:dyDescent="0.25">
      <c r="A511" s="85">
        <v>46199</v>
      </c>
      <c r="B511" s="86" t="s">
        <v>1484</v>
      </c>
      <c r="C511" s="86">
        <v>700</v>
      </c>
      <c r="D511" s="88" t="s">
        <v>1951</v>
      </c>
      <c r="E511" s="87" t="s">
        <v>1946</v>
      </c>
    </row>
    <row r="512" spans="1:6" x14ac:dyDescent="0.25">
      <c r="A512" s="85">
        <v>46200</v>
      </c>
      <c r="B512" s="86" t="s">
        <v>1484</v>
      </c>
      <c r="C512" s="86">
        <v>700</v>
      </c>
      <c r="D512" s="88" t="s">
        <v>1951</v>
      </c>
      <c r="E512" s="87" t="s">
        <v>1946</v>
      </c>
    </row>
    <row r="513" spans="1:5" x14ac:dyDescent="0.25">
      <c r="A513" s="85">
        <v>46200</v>
      </c>
      <c r="B513" s="86" t="s">
        <v>1484</v>
      </c>
      <c r="C513" s="86">
        <v>700</v>
      </c>
      <c r="D513" s="88" t="s">
        <v>1951</v>
      </c>
      <c r="E513" s="87" t="s">
        <v>1946</v>
      </c>
    </row>
    <row r="514" spans="1:5" x14ac:dyDescent="0.25">
      <c r="A514" s="85">
        <v>46200</v>
      </c>
      <c r="B514" s="86" t="s">
        <v>1484</v>
      </c>
      <c r="C514" s="86">
        <v>3700</v>
      </c>
      <c r="D514" s="88" t="s">
        <v>1955</v>
      </c>
      <c r="E514" s="87" t="s">
        <v>1946</v>
      </c>
    </row>
    <row r="515" spans="1:5" x14ac:dyDescent="0.25">
      <c r="A515" s="85">
        <v>46200</v>
      </c>
      <c r="B515" s="86" t="s">
        <v>904</v>
      </c>
      <c r="C515" s="86">
        <v>1000</v>
      </c>
      <c r="D515" s="88" t="s">
        <v>1950</v>
      </c>
      <c r="E515" s="87" t="s">
        <v>1946</v>
      </c>
    </row>
    <row r="516" spans="1:5" x14ac:dyDescent="0.25">
      <c r="A516" s="85">
        <v>46200</v>
      </c>
      <c r="B516" s="86" t="s">
        <v>1778</v>
      </c>
      <c r="C516" s="86">
        <v>1000</v>
      </c>
      <c r="D516" s="88" t="s">
        <v>1950</v>
      </c>
      <c r="E516" s="87" t="s">
        <v>1946</v>
      </c>
    </row>
    <row r="517" spans="1:5" x14ac:dyDescent="0.25">
      <c r="A517" s="85">
        <v>46200</v>
      </c>
      <c r="B517" s="86" t="s">
        <v>76</v>
      </c>
      <c r="C517" s="86">
        <v>900</v>
      </c>
      <c r="D517" s="55" t="s">
        <v>2042</v>
      </c>
      <c r="E517" s="87" t="s">
        <v>1946</v>
      </c>
    </row>
    <row r="518" spans="1:5" x14ac:dyDescent="0.25">
      <c r="A518" s="85">
        <v>46200</v>
      </c>
      <c r="B518" s="86" t="s">
        <v>2022</v>
      </c>
      <c r="C518" s="86">
        <v>900</v>
      </c>
      <c r="D518" s="55" t="s">
        <v>2042</v>
      </c>
      <c r="E518" s="87" t="s">
        <v>1946</v>
      </c>
    </row>
    <row r="519" spans="1:5" x14ac:dyDescent="0.25">
      <c r="A519" s="85">
        <v>46200</v>
      </c>
      <c r="B519" s="86" t="s">
        <v>896</v>
      </c>
      <c r="C519" s="86">
        <v>5850</v>
      </c>
      <c r="D519" s="88" t="s">
        <v>69</v>
      </c>
      <c r="E519" s="87" t="s">
        <v>1946</v>
      </c>
    </row>
    <row r="520" spans="1:5" x14ac:dyDescent="0.25">
      <c r="A520" s="85">
        <v>46200</v>
      </c>
      <c r="B520" s="86" t="s">
        <v>1484</v>
      </c>
      <c r="C520" s="86">
        <v>5850</v>
      </c>
      <c r="D520" s="88" t="s">
        <v>69</v>
      </c>
      <c r="E520" s="87" t="s">
        <v>1946</v>
      </c>
    </row>
    <row r="521" spans="1:5" x14ac:dyDescent="0.25">
      <c r="A521" s="85">
        <v>46200</v>
      </c>
      <c r="B521" s="86" t="s">
        <v>76</v>
      </c>
      <c r="C521" s="86">
        <v>5850</v>
      </c>
      <c r="D521" s="88" t="s">
        <v>69</v>
      </c>
      <c r="E521" s="87" t="s">
        <v>1946</v>
      </c>
    </row>
    <row r="522" spans="1:5" x14ac:dyDescent="0.25">
      <c r="A522" s="85">
        <v>46200</v>
      </c>
      <c r="B522" s="86" t="s">
        <v>1495</v>
      </c>
      <c r="C522" s="86">
        <v>1000</v>
      </c>
      <c r="D522" s="88" t="s">
        <v>1950</v>
      </c>
      <c r="E522" s="87" t="s">
        <v>1946</v>
      </c>
    </row>
    <row r="523" spans="1:5" x14ac:dyDescent="0.25">
      <c r="A523" s="85">
        <v>46201</v>
      </c>
      <c r="B523" s="86" t="s">
        <v>1520</v>
      </c>
      <c r="C523" s="86">
        <v>3700</v>
      </c>
      <c r="D523" s="88" t="s">
        <v>1955</v>
      </c>
      <c r="E523" s="87" t="s">
        <v>1946</v>
      </c>
    </row>
    <row r="524" spans="1:5" x14ac:dyDescent="0.25">
      <c r="A524" s="85">
        <v>46202</v>
      </c>
      <c r="B524" s="86" t="s">
        <v>1484</v>
      </c>
      <c r="C524" s="86">
        <v>1500</v>
      </c>
      <c r="D524" s="55" t="s">
        <v>1952</v>
      </c>
      <c r="E524" s="87" t="s">
        <v>1946</v>
      </c>
    </row>
    <row r="525" spans="1:5" x14ac:dyDescent="0.25">
      <c r="A525" s="85">
        <v>46202</v>
      </c>
      <c r="B525" s="86" t="s">
        <v>1484</v>
      </c>
      <c r="C525" s="86">
        <v>5600</v>
      </c>
      <c r="D525" s="88" t="s">
        <v>35</v>
      </c>
      <c r="E525" s="87" t="s">
        <v>1946</v>
      </c>
    </row>
    <row r="526" spans="1:5" x14ac:dyDescent="0.25">
      <c r="A526" s="85">
        <v>46202</v>
      </c>
      <c r="B526" s="86" t="s">
        <v>1778</v>
      </c>
      <c r="C526" s="86">
        <v>5850</v>
      </c>
      <c r="D526" s="88" t="s">
        <v>69</v>
      </c>
      <c r="E526" s="87" t="s">
        <v>1946</v>
      </c>
    </row>
    <row r="527" spans="1:5" x14ac:dyDescent="0.25">
      <c r="A527" s="85">
        <v>46202</v>
      </c>
      <c r="B527" s="86" t="s">
        <v>1778</v>
      </c>
      <c r="C527" s="86">
        <v>400</v>
      </c>
      <c r="D527" s="88" t="s">
        <v>2043</v>
      </c>
      <c r="E527" s="87" t="s">
        <v>1946</v>
      </c>
    </row>
    <row r="528" spans="1:5" x14ac:dyDescent="0.25">
      <c r="A528" s="85">
        <v>46202</v>
      </c>
      <c r="B528" s="86" t="s">
        <v>904</v>
      </c>
      <c r="C528" s="86">
        <v>5850</v>
      </c>
      <c r="D528" s="88" t="s">
        <v>69</v>
      </c>
      <c r="E528" s="87" t="s">
        <v>1946</v>
      </c>
    </row>
    <row r="529" spans="1:6" x14ac:dyDescent="0.25">
      <c r="A529" s="85">
        <v>46202</v>
      </c>
      <c r="B529" s="86" t="s">
        <v>904</v>
      </c>
      <c r="C529" s="86">
        <v>400</v>
      </c>
      <c r="D529" s="88" t="s">
        <v>2043</v>
      </c>
      <c r="E529" s="87" t="s">
        <v>1946</v>
      </c>
    </row>
    <row r="530" spans="1:6" x14ac:dyDescent="0.25">
      <c r="A530" s="85">
        <v>46202</v>
      </c>
      <c r="B530" s="86" t="s">
        <v>1495</v>
      </c>
      <c r="C530" s="86">
        <v>5850</v>
      </c>
      <c r="D530" s="88" t="s">
        <v>69</v>
      </c>
      <c r="E530" s="87" t="s">
        <v>1946</v>
      </c>
    </row>
    <row r="531" spans="1:6" x14ac:dyDescent="0.25">
      <c r="A531" s="85">
        <v>46203</v>
      </c>
      <c r="B531" s="86" t="s">
        <v>1498</v>
      </c>
      <c r="C531" s="86">
        <v>5850</v>
      </c>
      <c r="D531" s="88" t="s">
        <v>69</v>
      </c>
      <c r="E531" s="87" t="s">
        <v>1946</v>
      </c>
    </row>
    <row r="532" spans="1:6" x14ac:dyDescent="0.25">
      <c r="A532" s="85">
        <v>46203</v>
      </c>
      <c r="B532" s="86" t="s">
        <v>76</v>
      </c>
      <c r="C532" s="86">
        <v>2200</v>
      </c>
      <c r="D532" s="88" t="s">
        <v>1962</v>
      </c>
      <c r="E532" s="87" t="s">
        <v>1946</v>
      </c>
    </row>
    <row r="533" spans="1:6" x14ac:dyDescent="0.25">
      <c r="A533" s="85">
        <v>46203</v>
      </c>
      <c r="B533" s="86" t="s">
        <v>904</v>
      </c>
      <c r="C533" s="86">
        <v>1500</v>
      </c>
      <c r="D533" s="55" t="s">
        <v>1952</v>
      </c>
      <c r="E533" s="87" t="s">
        <v>1946</v>
      </c>
    </row>
    <row r="534" spans="1:6" x14ac:dyDescent="0.25">
      <c r="A534" s="85">
        <v>46203</v>
      </c>
      <c r="B534" s="86" t="s">
        <v>1778</v>
      </c>
      <c r="C534" s="86">
        <v>1500</v>
      </c>
      <c r="D534" s="55" t="s">
        <v>1952</v>
      </c>
      <c r="E534" s="87" t="s">
        <v>1946</v>
      </c>
    </row>
    <row r="535" spans="1:6" x14ac:dyDescent="0.25">
      <c r="A535" s="85">
        <v>46203</v>
      </c>
      <c r="B535" s="86" t="s">
        <v>2044</v>
      </c>
      <c r="C535" s="86">
        <v>4350</v>
      </c>
      <c r="D535" s="88" t="s">
        <v>2045</v>
      </c>
      <c r="E535" s="87" t="s">
        <v>1946</v>
      </c>
      <c r="F535" s="82" t="s">
        <v>2046</v>
      </c>
    </row>
    <row r="536" spans="1:6" x14ac:dyDescent="0.25">
      <c r="A536" s="85">
        <v>46203</v>
      </c>
      <c r="B536" s="86" t="s">
        <v>896</v>
      </c>
      <c r="C536" s="86">
        <v>7900</v>
      </c>
      <c r="D536" s="88" t="s">
        <v>1960</v>
      </c>
      <c r="E536" s="87" t="s">
        <v>1946</v>
      </c>
    </row>
    <row r="537" spans="1:6" x14ac:dyDescent="0.25">
      <c r="A537" s="85">
        <v>46203</v>
      </c>
      <c r="B537" s="86" t="s">
        <v>1778</v>
      </c>
      <c r="C537" s="86">
        <v>5850</v>
      </c>
      <c r="D537" s="88" t="s">
        <v>69</v>
      </c>
      <c r="E537" s="87" t="s">
        <v>1946</v>
      </c>
    </row>
    <row r="538" spans="1:6" x14ac:dyDescent="0.25">
      <c r="A538" s="85">
        <v>46203</v>
      </c>
      <c r="B538" s="86" t="s">
        <v>904</v>
      </c>
      <c r="C538" s="86">
        <v>5850</v>
      </c>
      <c r="D538" s="88" t="s">
        <v>69</v>
      </c>
      <c r="E538" s="87" t="s">
        <v>1946</v>
      </c>
    </row>
    <row r="539" spans="1:6" x14ac:dyDescent="0.25">
      <c r="A539" s="85">
        <v>46203</v>
      </c>
      <c r="B539" s="86" t="s">
        <v>1498</v>
      </c>
      <c r="C539" s="86">
        <v>5850</v>
      </c>
      <c r="D539" s="88" t="s">
        <v>69</v>
      </c>
      <c r="E539" s="87" t="s">
        <v>1946</v>
      </c>
    </row>
    <row r="540" spans="1:6" x14ac:dyDescent="0.25">
      <c r="A540" s="85">
        <v>46204</v>
      </c>
      <c r="B540" s="86" t="s">
        <v>59</v>
      </c>
      <c r="C540" s="86">
        <v>5850</v>
      </c>
      <c r="D540" s="88" t="s">
        <v>69</v>
      </c>
      <c r="E540" s="87" t="s">
        <v>1946</v>
      </c>
    </row>
    <row r="541" spans="1:6" x14ac:dyDescent="0.25">
      <c r="A541" s="85">
        <v>46204</v>
      </c>
      <c r="B541" s="86" t="s">
        <v>76</v>
      </c>
      <c r="C541" s="86">
        <v>1000</v>
      </c>
      <c r="D541" s="88" t="s">
        <v>1951</v>
      </c>
      <c r="E541" s="87" t="s">
        <v>1946</v>
      </c>
    </row>
    <row r="542" spans="1:6" x14ac:dyDescent="0.25">
      <c r="A542" s="85">
        <v>46204</v>
      </c>
      <c r="B542" s="86" t="s">
        <v>76</v>
      </c>
      <c r="C542" s="86">
        <v>700</v>
      </c>
      <c r="D542" s="88" t="s">
        <v>1951</v>
      </c>
      <c r="E542" s="87" t="s">
        <v>1946</v>
      </c>
    </row>
    <row r="543" spans="1:6" x14ac:dyDescent="0.25">
      <c r="A543" s="85">
        <v>46204</v>
      </c>
      <c r="B543" s="86" t="s">
        <v>76</v>
      </c>
      <c r="C543" s="86">
        <v>700</v>
      </c>
      <c r="D543" s="88" t="s">
        <v>1951</v>
      </c>
      <c r="E543" s="87" t="s">
        <v>1946</v>
      </c>
    </row>
    <row r="544" spans="1:6" x14ac:dyDescent="0.25">
      <c r="A544" s="85">
        <v>46204</v>
      </c>
      <c r="B544" s="86" t="s">
        <v>76</v>
      </c>
      <c r="C544" s="86">
        <v>3700</v>
      </c>
      <c r="D544" s="88" t="s">
        <v>1955</v>
      </c>
      <c r="E544" s="87" t="s">
        <v>1946</v>
      </c>
    </row>
    <row r="545" spans="1:5" x14ac:dyDescent="0.25">
      <c r="A545" s="85">
        <v>46204</v>
      </c>
      <c r="B545" s="86" t="s">
        <v>59</v>
      </c>
      <c r="C545" s="86">
        <v>5850</v>
      </c>
      <c r="D545" s="88" t="s">
        <v>69</v>
      </c>
      <c r="E545" s="87" t="s">
        <v>1946</v>
      </c>
    </row>
    <row r="546" spans="1:5" x14ac:dyDescent="0.25">
      <c r="A546" s="85">
        <v>46204</v>
      </c>
      <c r="B546" s="86" t="s">
        <v>1495</v>
      </c>
      <c r="C546" s="86">
        <v>5850</v>
      </c>
      <c r="D546" s="88" t="s">
        <v>69</v>
      </c>
      <c r="E546" s="87" t="s">
        <v>1946</v>
      </c>
    </row>
    <row r="547" spans="1:5" x14ac:dyDescent="0.25">
      <c r="A547" s="85">
        <v>46204</v>
      </c>
      <c r="B547" s="86" t="s">
        <v>1484</v>
      </c>
      <c r="C547" s="86">
        <v>3950</v>
      </c>
      <c r="D547" s="88" t="s">
        <v>1972</v>
      </c>
      <c r="E547" s="87" t="s">
        <v>1946</v>
      </c>
    </row>
    <row r="548" spans="1:5" x14ac:dyDescent="0.25">
      <c r="A548" s="85">
        <v>46204</v>
      </c>
      <c r="B548" s="86" t="s">
        <v>1498</v>
      </c>
      <c r="C548" s="86">
        <v>1500</v>
      </c>
      <c r="D548" s="55" t="s">
        <v>1952</v>
      </c>
      <c r="E548" s="87" t="s">
        <v>1946</v>
      </c>
    </row>
    <row r="549" spans="1:5" x14ac:dyDescent="0.25">
      <c r="A549" s="85">
        <v>46204</v>
      </c>
      <c r="B549" s="86" t="s">
        <v>1498</v>
      </c>
      <c r="C549" s="86">
        <v>5600</v>
      </c>
      <c r="D549" s="88" t="s">
        <v>35</v>
      </c>
      <c r="E549" s="87" t="s">
        <v>1946</v>
      </c>
    </row>
    <row r="550" spans="1:5" x14ac:dyDescent="0.25">
      <c r="A550" s="85">
        <v>46205</v>
      </c>
      <c r="B550" s="86" t="s">
        <v>1484</v>
      </c>
      <c r="C550" s="86">
        <v>1500</v>
      </c>
      <c r="D550" s="55" t="s">
        <v>1952</v>
      </c>
      <c r="E550" s="87" t="s">
        <v>1946</v>
      </c>
    </row>
    <row r="551" spans="1:5" x14ac:dyDescent="0.25">
      <c r="A551" s="85">
        <v>46205</v>
      </c>
      <c r="B551" s="86" t="s">
        <v>1778</v>
      </c>
      <c r="C551" s="86">
        <v>5850</v>
      </c>
      <c r="D551" s="88" t="s">
        <v>69</v>
      </c>
      <c r="E551" s="87" t="s">
        <v>1946</v>
      </c>
    </row>
    <row r="552" spans="1:5" x14ac:dyDescent="0.25">
      <c r="A552" s="85">
        <v>46205</v>
      </c>
      <c r="B552" s="86" t="s">
        <v>904</v>
      </c>
      <c r="C552" s="86">
        <v>5850</v>
      </c>
      <c r="D552" s="88" t="s">
        <v>69</v>
      </c>
      <c r="E552" s="87" t="s">
        <v>1946</v>
      </c>
    </row>
    <row r="553" spans="1:5" x14ac:dyDescent="0.25">
      <c r="A553" s="85">
        <v>46205</v>
      </c>
      <c r="B553" s="86" t="s">
        <v>1498</v>
      </c>
      <c r="C553" s="86">
        <v>3950</v>
      </c>
      <c r="D553" s="88" t="s">
        <v>1972</v>
      </c>
      <c r="E553" s="87" t="s">
        <v>1946</v>
      </c>
    </row>
    <row r="554" spans="1:5" x14ac:dyDescent="0.25">
      <c r="A554" s="85">
        <v>46205</v>
      </c>
      <c r="B554" s="86" t="s">
        <v>896</v>
      </c>
      <c r="C554" s="86">
        <v>5850</v>
      </c>
      <c r="D554" s="88" t="s">
        <v>69</v>
      </c>
      <c r="E554" s="87" t="s">
        <v>1946</v>
      </c>
    </row>
    <row r="555" spans="1:5" x14ac:dyDescent="0.25">
      <c r="A555" s="85">
        <v>46205</v>
      </c>
      <c r="B555" s="86" t="s">
        <v>896</v>
      </c>
      <c r="C555" s="86">
        <v>1000</v>
      </c>
      <c r="D555" s="88" t="s">
        <v>1950</v>
      </c>
      <c r="E555" s="87" t="s">
        <v>1946</v>
      </c>
    </row>
    <row r="556" spans="1:5" x14ac:dyDescent="0.25">
      <c r="A556" s="85">
        <v>46205</v>
      </c>
      <c r="B556" s="86" t="s">
        <v>1520</v>
      </c>
      <c r="C556" s="86" t="s">
        <v>2047</v>
      </c>
      <c r="D556" s="88" t="s">
        <v>2013</v>
      </c>
      <c r="E556" s="87" t="s">
        <v>1946</v>
      </c>
    </row>
    <row r="557" spans="1:5" x14ac:dyDescent="0.25">
      <c r="A557" s="85">
        <v>46205</v>
      </c>
      <c r="B557" s="86" t="s">
        <v>1520</v>
      </c>
      <c r="C557" s="86">
        <v>5000</v>
      </c>
      <c r="D557" s="88" t="s">
        <v>2048</v>
      </c>
      <c r="E557" s="87" t="s">
        <v>1946</v>
      </c>
    </row>
    <row r="558" spans="1:5" x14ac:dyDescent="0.25">
      <c r="A558" s="85">
        <v>46205</v>
      </c>
      <c r="B558" s="86" t="s">
        <v>1484</v>
      </c>
      <c r="C558" s="86">
        <v>5400</v>
      </c>
      <c r="D558" s="55" t="s">
        <v>1984</v>
      </c>
      <c r="E558" s="87" t="s">
        <v>1946</v>
      </c>
    </row>
    <row r="559" spans="1:5" x14ac:dyDescent="0.25">
      <c r="A559" s="85">
        <v>46206</v>
      </c>
      <c r="B559" s="86" t="s">
        <v>1498</v>
      </c>
      <c r="C559" s="86">
        <v>2200</v>
      </c>
      <c r="D559" s="88" t="s">
        <v>1962</v>
      </c>
      <c r="E559" s="87" t="s">
        <v>1946</v>
      </c>
    </row>
    <row r="560" spans="1:5" x14ac:dyDescent="0.25">
      <c r="A560" s="85">
        <v>46206</v>
      </c>
      <c r="B560" s="86" t="s">
        <v>59</v>
      </c>
      <c r="C560" s="86">
        <v>5400</v>
      </c>
      <c r="D560" s="55" t="s">
        <v>1984</v>
      </c>
      <c r="E560" s="87" t="s">
        <v>1946</v>
      </c>
    </row>
    <row r="561" spans="1:5" x14ac:dyDescent="0.25">
      <c r="A561" s="85">
        <v>46206</v>
      </c>
      <c r="B561" s="86" t="s">
        <v>1778</v>
      </c>
      <c r="C561" s="86">
        <v>5400</v>
      </c>
      <c r="D561" s="55" t="s">
        <v>1984</v>
      </c>
      <c r="E561" s="87" t="s">
        <v>1946</v>
      </c>
    </row>
    <row r="562" spans="1:5" x14ac:dyDescent="0.25">
      <c r="A562" s="85">
        <v>46206</v>
      </c>
      <c r="B562" s="86" t="s">
        <v>904</v>
      </c>
      <c r="C562" s="86">
        <v>5400</v>
      </c>
      <c r="D562" s="55" t="s">
        <v>1984</v>
      </c>
      <c r="E562" s="87" t="s">
        <v>1946</v>
      </c>
    </row>
    <row r="563" spans="1:5" x14ac:dyDescent="0.25">
      <c r="A563" s="85">
        <v>46207</v>
      </c>
      <c r="B563" s="86" t="s">
        <v>1498</v>
      </c>
      <c r="C563" s="86">
        <v>1000</v>
      </c>
      <c r="D563" s="55" t="s">
        <v>1984</v>
      </c>
      <c r="E563" s="87" t="s">
        <v>1946</v>
      </c>
    </row>
    <row r="564" spans="1:5" x14ac:dyDescent="0.25">
      <c r="A564" s="85">
        <v>46207</v>
      </c>
      <c r="B564" s="86" t="s">
        <v>1498</v>
      </c>
      <c r="C564" s="86">
        <v>700</v>
      </c>
      <c r="D564" s="55" t="s">
        <v>1984</v>
      </c>
      <c r="E564" s="87" t="s">
        <v>1946</v>
      </c>
    </row>
    <row r="565" spans="1:5" x14ac:dyDescent="0.25">
      <c r="A565" s="85">
        <v>46207</v>
      </c>
      <c r="B565" s="86" t="s">
        <v>896</v>
      </c>
      <c r="C565" s="86">
        <v>5400</v>
      </c>
      <c r="D565" s="55" t="s">
        <v>1984</v>
      </c>
      <c r="E565" s="87" t="s">
        <v>1946</v>
      </c>
    </row>
    <row r="566" spans="1:5" x14ac:dyDescent="0.25">
      <c r="A566" s="92">
        <v>46207</v>
      </c>
      <c r="B566" s="82" t="s">
        <v>1520</v>
      </c>
      <c r="C566" s="82">
        <v>2000</v>
      </c>
      <c r="D566" s="94" t="s">
        <v>2048</v>
      </c>
      <c r="E566" s="95" t="s">
        <v>1946</v>
      </c>
    </row>
    <row r="567" spans="1:5" x14ac:dyDescent="0.25">
      <c r="A567" s="85">
        <v>46207</v>
      </c>
      <c r="B567" s="86" t="s">
        <v>1520</v>
      </c>
      <c r="C567" s="86">
        <v>1500</v>
      </c>
      <c r="D567" s="88" t="s">
        <v>2049</v>
      </c>
      <c r="E567" s="87" t="s">
        <v>1946</v>
      </c>
    </row>
    <row r="568" spans="1:5" x14ac:dyDescent="0.25">
      <c r="A568" s="85">
        <v>46208</v>
      </c>
      <c r="B568" s="86" t="s">
        <v>76</v>
      </c>
      <c r="C568" s="86">
        <v>5850</v>
      </c>
      <c r="D568" s="88" t="s">
        <v>69</v>
      </c>
      <c r="E568" s="87" t="s">
        <v>1946</v>
      </c>
    </row>
    <row r="569" spans="1:5" x14ac:dyDescent="0.25">
      <c r="A569" s="85">
        <v>46208</v>
      </c>
      <c r="B569" s="86" t="s">
        <v>1484</v>
      </c>
      <c r="C569" s="86">
        <v>5850</v>
      </c>
      <c r="D569" s="88" t="s">
        <v>69</v>
      </c>
      <c r="E569" s="87" t="s">
        <v>1946</v>
      </c>
    </row>
    <row r="570" spans="1:5" x14ac:dyDescent="0.25">
      <c r="A570" s="85">
        <v>46209</v>
      </c>
      <c r="B570" s="86" t="s">
        <v>1495</v>
      </c>
      <c r="C570" s="86">
        <v>5850</v>
      </c>
      <c r="D570" s="88" t="s">
        <v>69</v>
      </c>
      <c r="E570" s="87" t="s">
        <v>1946</v>
      </c>
    </row>
    <row r="571" spans="1:5" x14ac:dyDescent="0.25">
      <c r="A571" s="85">
        <v>46209</v>
      </c>
      <c r="B571" s="86" t="s">
        <v>59</v>
      </c>
      <c r="C571" s="86">
        <v>5850</v>
      </c>
      <c r="D571" s="88" t="s">
        <v>69</v>
      </c>
      <c r="E571" s="87" t="s">
        <v>1946</v>
      </c>
    </row>
    <row r="572" spans="1:5" x14ac:dyDescent="0.25">
      <c r="A572" s="85">
        <v>46209</v>
      </c>
      <c r="B572" s="86" t="s">
        <v>1778</v>
      </c>
      <c r="C572" s="86">
        <v>5850</v>
      </c>
      <c r="D572" s="88" t="s">
        <v>69</v>
      </c>
      <c r="E572" s="87" t="s">
        <v>1946</v>
      </c>
    </row>
    <row r="573" spans="1:5" x14ac:dyDescent="0.25">
      <c r="A573" s="85">
        <v>46209</v>
      </c>
      <c r="B573" s="86" t="s">
        <v>904</v>
      </c>
      <c r="C573" s="86">
        <v>5850</v>
      </c>
      <c r="D573" s="88" t="s">
        <v>69</v>
      </c>
      <c r="E573" s="87" t="s">
        <v>1946</v>
      </c>
    </row>
    <row r="574" spans="1:5" x14ac:dyDescent="0.25">
      <c r="A574" s="85">
        <v>46209</v>
      </c>
      <c r="B574" s="86" t="s">
        <v>76</v>
      </c>
      <c r="C574" s="86">
        <v>1500</v>
      </c>
      <c r="D574" s="55" t="s">
        <v>1952</v>
      </c>
      <c r="E574" s="87" t="s">
        <v>1946</v>
      </c>
    </row>
    <row r="575" spans="1:5" x14ac:dyDescent="0.25">
      <c r="A575" s="98">
        <v>46209</v>
      </c>
      <c r="B575" s="99" t="s">
        <v>896</v>
      </c>
      <c r="C575" s="99">
        <v>2500</v>
      </c>
      <c r="D575" s="100" t="s">
        <v>2041</v>
      </c>
      <c r="E575" s="95" t="s">
        <v>1946</v>
      </c>
    </row>
    <row r="576" spans="1:5" x14ac:dyDescent="0.25">
      <c r="A576" s="85">
        <v>46209</v>
      </c>
      <c r="B576" s="86" t="s">
        <v>1486</v>
      </c>
      <c r="C576" s="86">
        <v>1900</v>
      </c>
      <c r="D576" s="55" t="s">
        <v>1952</v>
      </c>
      <c r="E576" s="87" t="s">
        <v>1946</v>
      </c>
    </row>
    <row r="577" spans="1:5" x14ac:dyDescent="0.25">
      <c r="A577" s="85">
        <v>46209</v>
      </c>
      <c r="B577" s="86" t="s">
        <v>76</v>
      </c>
      <c r="C577" s="86">
        <v>5600</v>
      </c>
      <c r="D577" s="55" t="s">
        <v>35</v>
      </c>
      <c r="E577" s="87" t="s">
        <v>1946</v>
      </c>
    </row>
    <row r="578" spans="1:5" x14ac:dyDescent="0.25">
      <c r="A578" s="85">
        <v>46210</v>
      </c>
      <c r="B578" s="86" t="s">
        <v>1495</v>
      </c>
      <c r="C578" s="86">
        <v>1900</v>
      </c>
      <c r="D578" s="55" t="s">
        <v>1952</v>
      </c>
      <c r="E578" s="87" t="s">
        <v>1946</v>
      </c>
    </row>
    <row r="579" spans="1:5" x14ac:dyDescent="0.25">
      <c r="A579" s="85">
        <v>46210</v>
      </c>
      <c r="B579" s="86" t="s">
        <v>1486</v>
      </c>
      <c r="C579" s="86">
        <v>5850</v>
      </c>
      <c r="D579" s="88" t="s">
        <v>69</v>
      </c>
      <c r="E579" s="87" t="s">
        <v>1946</v>
      </c>
    </row>
    <row r="580" spans="1:5" x14ac:dyDescent="0.25">
      <c r="A580" s="85">
        <v>46210</v>
      </c>
      <c r="B580" s="86" t="s">
        <v>901</v>
      </c>
      <c r="C580" s="86">
        <v>5850</v>
      </c>
      <c r="D580" s="88" t="s">
        <v>69</v>
      </c>
      <c r="E580" s="87" t="s">
        <v>1946</v>
      </c>
    </row>
    <row r="581" spans="1:5" x14ac:dyDescent="0.25">
      <c r="A581" s="85">
        <v>46210</v>
      </c>
      <c r="B581" s="86" t="s">
        <v>896</v>
      </c>
      <c r="C581" s="86">
        <v>5850</v>
      </c>
      <c r="D581" s="88" t="s">
        <v>69</v>
      </c>
      <c r="E581" s="87" t="s">
        <v>1946</v>
      </c>
    </row>
    <row r="582" spans="1:5" x14ac:dyDescent="0.25">
      <c r="A582" s="85">
        <v>46210</v>
      </c>
      <c r="B582" s="86" t="s">
        <v>1484</v>
      </c>
      <c r="C582" s="86">
        <v>5850</v>
      </c>
      <c r="D582" s="88" t="s">
        <v>69</v>
      </c>
      <c r="E582" s="87" t="s">
        <v>1946</v>
      </c>
    </row>
    <row r="583" spans="1:5" x14ac:dyDescent="0.25">
      <c r="A583" s="85">
        <v>46210</v>
      </c>
      <c r="B583" s="86" t="s">
        <v>1498</v>
      </c>
      <c r="C583" s="86">
        <v>1000</v>
      </c>
      <c r="D583" s="88" t="s">
        <v>1951</v>
      </c>
      <c r="E583" s="87" t="s">
        <v>1946</v>
      </c>
    </row>
    <row r="584" spans="1:5" x14ac:dyDescent="0.25">
      <c r="A584" s="85">
        <v>46210</v>
      </c>
      <c r="B584" s="86" t="s">
        <v>1498</v>
      </c>
      <c r="C584" s="86">
        <v>700</v>
      </c>
      <c r="D584" s="88" t="s">
        <v>1951</v>
      </c>
      <c r="E584" s="87" t="s">
        <v>1946</v>
      </c>
    </row>
    <row r="585" spans="1:5" x14ac:dyDescent="0.25">
      <c r="A585" s="85">
        <v>46211</v>
      </c>
      <c r="B585" s="86" t="s">
        <v>59</v>
      </c>
      <c r="C585" s="86">
        <v>5850</v>
      </c>
      <c r="D585" s="88" t="s">
        <v>69</v>
      </c>
      <c r="E585" s="87" t="s">
        <v>1946</v>
      </c>
    </row>
    <row r="586" spans="1:5" x14ac:dyDescent="0.25">
      <c r="A586" s="85">
        <v>46211</v>
      </c>
      <c r="B586" s="86" t="s">
        <v>1778</v>
      </c>
      <c r="C586" s="86">
        <v>5850</v>
      </c>
      <c r="D586" s="88" t="s">
        <v>69</v>
      </c>
      <c r="E586" s="87" t="s">
        <v>1946</v>
      </c>
    </row>
    <row r="587" spans="1:5" x14ac:dyDescent="0.25">
      <c r="A587" s="85">
        <v>46211</v>
      </c>
      <c r="B587" s="86" t="s">
        <v>904</v>
      </c>
      <c r="C587" s="86">
        <v>2200</v>
      </c>
      <c r="D587" s="88" t="s">
        <v>1962</v>
      </c>
      <c r="E587" s="87" t="s">
        <v>1946</v>
      </c>
    </row>
    <row r="588" spans="1:5" x14ac:dyDescent="0.25">
      <c r="A588" s="85">
        <v>46211</v>
      </c>
      <c r="B588" s="86" t="s">
        <v>1484</v>
      </c>
      <c r="C588" s="86">
        <v>1900</v>
      </c>
      <c r="D588" s="55" t="s">
        <v>1952</v>
      </c>
      <c r="E588" s="87" t="s">
        <v>1946</v>
      </c>
    </row>
    <row r="589" spans="1:5" x14ac:dyDescent="0.25">
      <c r="A589" s="85">
        <v>46211</v>
      </c>
      <c r="B589" s="86" t="s">
        <v>901</v>
      </c>
      <c r="C589" s="86">
        <v>1900</v>
      </c>
      <c r="D589" s="55" t="s">
        <v>1952</v>
      </c>
      <c r="E589" s="87" t="s">
        <v>1946</v>
      </c>
    </row>
    <row r="590" spans="1:5" x14ac:dyDescent="0.25">
      <c r="A590" s="85">
        <v>46212</v>
      </c>
      <c r="B590" s="86" t="s">
        <v>904</v>
      </c>
      <c r="C590" s="86">
        <v>1000</v>
      </c>
      <c r="D590" s="88" t="s">
        <v>1951</v>
      </c>
      <c r="E590" s="87" t="s">
        <v>1946</v>
      </c>
    </row>
    <row r="591" spans="1:5" x14ac:dyDescent="0.25">
      <c r="A591" s="85">
        <v>46212</v>
      </c>
      <c r="B591" s="86" t="s">
        <v>904</v>
      </c>
      <c r="C591" s="86">
        <v>700</v>
      </c>
      <c r="D591" s="88" t="s">
        <v>1951</v>
      </c>
      <c r="E591" s="87" t="s">
        <v>1946</v>
      </c>
    </row>
    <row r="592" spans="1:5" x14ac:dyDescent="0.25">
      <c r="A592" s="85">
        <v>46212</v>
      </c>
      <c r="B592" s="86" t="s">
        <v>1486</v>
      </c>
      <c r="C592" s="86">
        <v>5850</v>
      </c>
      <c r="D592" s="88" t="s">
        <v>69</v>
      </c>
      <c r="E592" s="87" t="s">
        <v>1946</v>
      </c>
    </row>
    <row r="593" spans="1:5" x14ac:dyDescent="0.25">
      <c r="A593" s="85">
        <v>46212</v>
      </c>
      <c r="B593" s="86" t="s">
        <v>901</v>
      </c>
      <c r="C593" s="86">
        <v>5850</v>
      </c>
      <c r="D593" s="88" t="s">
        <v>69</v>
      </c>
      <c r="E593" s="87" t="s">
        <v>1946</v>
      </c>
    </row>
    <row r="594" spans="1:5" x14ac:dyDescent="0.25">
      <c r="A594" s="85">
        <v>46212</v>
      </c>
      <c r="B594" s="86" t="s">
        <v>1484</v>
      </c>
      <c r="C594" s="86">
        <v>5400</v>
      </c>
      <c r="D594" s="55" t="s">
        <v>1984</v>
      </c>
      <c r="E594" s="87" t="s">
        <v>1946</v>
      </c>
    </row>
    <row r="595" spans="1:5" x14ac:dyDescent="0.25">
      <c r="A595" s="85">
        <v>46212</v>
      </c>
      <c r="B595" s="86" t="s">
        <v>896</v>
      </c>
      <c r="C595" s="86">
        <v>5400</v>
      </c>
      <c r="D595" s="55" t="s">
        <v>1984</v>
      </c>
      <c r="E595" s="87" t="s">
        <v>1946</v>
      </c>
    </row>
    <row r="596" spans="1:5" x14ac:dyDescent="0.25">
      <c r="A596" s="85">
        <v>46212</v>
      </c>
      <c r="B596" s="86" t="s">
        <v>1495</v>
      </c>
      <c r="C596" s="86">
        <v>5600</v>
      </c>
      <c r="D596" s="88" t="s">
        <v>35</v>
      </c>
      <c r="E596" s="87" t="s">
        <v>1946</v>
      </c>
    </row>
    <row r="597" spans="1:5" x14ac:dyDescent="0.25">
      <c r="A597" s="85">
        <v>46212</v>
      </c>
      <c r="B597" s="86" t="s">
        <v>59</v>
      </c>
      <c r="C597" s="86">
        <v>1500</v>
      </c>
      <c r="D597" s="55" t="s">
        <v>1952</v>
      </c>
      <c r="E597" s="87" t="s">
        <v>1946</v>
      </c>
    </row>
    <row r="598" spans="1:5" x14ac:dyDescent="0.25">
      <c r="A598" s="85">
        <v>46212</v>
      </c>
      <c r="B598" s="86" t="s">
        <v>59</v>
      </c>
      <c r="C598" s="86">
        <v>7900</v>
      </c>
      <c r="D598" s="88" t="s">
        <v>1960</v>
      </c>
      <c r="E598" s="87" t="s">
        <v>1946</v>
      </c>
    </row>
    <row r="599" spans="1:5" x14ac:dyDescent="0.25">
      <c r="A599" s="85">
        <v>46212</v>
      </c>
      <c r="B599" s="86" t="s">
        <v>1778</v>
      </c>
      <c r="C599" s="86">
        <v>7900</v>
      </c>
      <c r="D599" s="88" t="s">
        <v>1960</v>
      </c>
      <c r="E599" s="87" t="s">
        <v>1946</v>
      </c>
    </row>
    <row r="600" spans="1:5" x14ac:dyDescent="0.25">
      <c r="A600" s="85">
        <v>46213</v>
      </c>
      <c r="B600" s="86" t="s">
        <v>1486</v>
      </c>
      <c r="C600" s="86">
        <v>1900</v>
      </c>
      <c r="D600" s="55" t="s">
        <v>1952</v>
      </c>
      <c r="E600" s="87" t="s">
        <v>1946</v>
      </c>
    </row>
    <row r="601" spans="1:5" x14ac:dyDescent="0.25">
      <c r="A601" s="85">
        <v>46213</v>
      </c>
      <c r="B601" s="86" t="s">
        <v>901</v>
      </c>
      <c r="C601" s="86">
        <v>1900</v>
      </c>
      <c r="D601" s="55" t="s">
        <v>1952</v>
      </c>
      <c r="E601" s="87" t="s">
        <v>1946</v>
      </c>
    </row>
    <row r="602" spans="1:5" x14ac:dyDescent="0.25">
      <c r="A602" s="85">
        <v>46213</v>
      </c>
      <c r="B602" s="86" t="s">
        <v>1520</v>
      </c>
      <c r="C602" s="86">
        <v>2500</v>
      </c>
      <c r="D602" s="88" t="s">
        <v>2052</v>
      </c>
      <c r="E602" s="87" t="s">
        <v>1946</v>
      </c>
    </row>
    <row r="603" spans="1:5" x14ac:dyDescent="0.25">
      <c r="A603" s="85">
        <v>46214</v>
      </c>
      <c r="B603" s="86" t="s">
        <v>59</v>
      </c>
      <c r="C603" s="86">
        <v>1000</v>
      </c>
      <c r="D603" s="88" t="s">
        <v>1950</v>
      </c>
      <c r="E603" s="87" t="s">
        <v>1946</v>
      </c>
    </row>
    <row r="604" spans="1:5" x14ac:dyDescent="0.25">
      <c r="A604" s="85">
        <v>46214</v>
      </c>
      <c r="B604" s="86" t="s">
        <v>1778</v>
      </c>
      <c r="C604" s="86">
        <v>1000</v>
      </c>
      <c r="D604" s="88" t="s">
        <v>1950</v>
      </c>
      <c r="E604" s="87" t="s">
        <v>1946</v>
      </c>
    </row>
    <row r="605" spans="1:5" x14ac:dyDescent="0.25">
      <c r="A605" s="85">
        <v>46214</v>
      </c>
      <c r="B605" s="86" t="s">
        <v>1486</v>
      </c>
      <c r="C605" s="86">
        <v>5850</v>
      </c>
      <c r="D605" s="88" t="s">
        <v>69</v>
      </c>
      <c r="E605" s="87" t="s">
        <v>1946</v>
      </c>
    </row>
    <row r="606" spans="1:5" x14ac:dyDescent="0.25">
      <c r="A606" s="85">
        <v>46214</v>
      </c>
      <c r="B606" s="86" t="s">
        <v>1484</v>
      </c>
      <c r="C606" s="86">
        <v>5850</v>
      </c>
      <c r="D606" s="88" t="s">
        <v>69</v>
      </c>
      <c r="E606" s="87" t="s">
        <v>1946</v>
      </c>
    </row>
    <row r="607" spans="1:5" x14ac:dyDescent="0.25">
      <c r="A607" s="85">
        <v>46214</v>
      </c>
      <c r="B607" s="86" t="s">
        <v>896</v>
      </c>
      <c r="C607" s="86">
        <v>5850</v>
      </c>
      <c r="D607" s="88" t="s">
        <v>69</v>
      </c>
      <c r="E607" s="87" t="s">
        <v>1946</v>
      </c>
    </row>
    <row r="608" spans="1:5" x14ac:dyDescent="0.25">
      <c r="A608" s="85">
        <v>46214</v>
      </c>
      <c r="B608" s="86" t="s">
        <v>901</v>
      </c>
      <c r="C608" s="86">
        <v>5850</v>
      </c>
      <c r="D608" s="88" t="s">
        <v>69</v>
      </c>
      <c r="E608" s="87" t="s">
        <v>1946</v>
      </c>
    </row>
    <row r="609" spans="1:5" x14ac:dyDescent="0.25">
      <c r="A609" s="85">
        <v>46214</v>
      </c>
      <c r="B609" s="86" t="s">
        <v>1495</v>
      </c>
      <c r="C609" s="86">
        <v>3950</v>
      </c>
      <c r="D609" s="88" t="s">
        <v>1972</v>
      </c>
      <c r="E609" s="87" t="s">
        <v>1946</v>
      </c>
    </row>
    <row r="610" spans="1:5" x14ac:dyDescent="0.25">
      <c r="A610" s="85">
        <v>46214</v>
      </c>
      <c r="B610" s="86" t="s">
        <v>1498</v>
      </c>
      <c r="C610" s="86">
        <v>3700</v>
      </c>
      <c r="D610" s="88" t="s">
        <v>1955</v>
      </c>
      <c r="E610" s="87" t="s">
        <v>1946</v>
      </c>
    </row>
    <row r="611" spans="1:5" x14ac:dyDescent="0.25">
      <c r="A611" s="85">
        <v>46214</v>
      </c>
      <c r="B611" s="86" t="s">
        <v>1520</v>
      </c>
      <c r="C611" s="86">
        <v>3000</v>
      </c>
      <c r="D611" s="88" t="s">
        <v>2050</v>
      </c>
      <c r="E611" s="87" t="s">
        <v>1946</v>
      </c>
    </row>
    <row r="612" spans="1:5" x14ac:dyDescent="0.25">
      <c r="A612" s="85">
        <v>46216</v>
      </c>
      <c r="B612" s="86" t="s">
        <v>1520</v>
      </c>
      <c r="C612" s="86">
        <v>500</v>
      </c>
      <c r="D612" s="88" t="s">
        <v>2051</v>
      </c>
      <c r="E612" s="87" t="s">
        <v>1946</v>
      </c>
    </row>
    <row r="613" spans="1:5" x14ac:dyDescent="0.25">
      <c r="A613" s="85">
        <v>46216</v>
      </c>
      <c r="B613" s="86" t="s">
        <v>1520</v>
      </c>
      <c r="C613" s="86">
        <v>5000</v>
      </c>
      <c r="D613" s="88" t="s">
        <v>2048</v>
      </c>
      <c r="E613" s="87" t="s">
        <v>1946</v>
      </c>
    </row>
    <row r="614" spans="1:5" x14ac:dyDescent="0.25">
      <c r="A614" s="85">
        <v>46216</v>
      </c>
      <c r="B614" s="86" t="s">
        <v>59</v>
      </c>
      <c r="C614" s="86">
        <v>5850</v>
      </c>
      <c r="D614" s="88" t="s">
        <v>69</v>
      </c>
      <c r="E614" s="87" t="s">
        <v>1946</v>
      </c>
    </row>
    <row r="615" spans="1:5" x14ac:dyDescent="0.25">
      <c r="A615" s="85">
        <v>46216</v>
      </c>
      <c r="B615" s="86" t="s">
        <v>1778</v>
      </c>
      <c r="C615" s="86">
        <v>5850</v>
      </c>
      <c r="D615" s="88" t="s">
        <v>69</v>
      </c>
      <c r="E615" s="87" t="s">
        <v>1946</v>
      </c>
    </row>
    <row r="616" spans="1:5" x14ac:dyDescent="0.25">
      <c r="A616" s="85">
        <v>46216</v>
      </c>
      <c r="B616" s="86" t="s">
        <v>1495</v>
      </c>
      <c r="C616" s="86">
        <v>5850</v>
      </c>
      <c r="D616" s="88" t="s">
        <v>69</v>
      </c>
      <c r="E616" s="87" t="s">
        <v>1946</v>
      </c>
    </row>
    <row r="617" spans="1:5" x14ac:dyDescent="0.25">
      <c r="A617" s="85">
        <v>46216</v>
      </c>
      <c r="B617" s="86" t="s">
        <v>1486</v>
      </c>
      <c r="C617" s="86">
        <v>5850</v>
      </c>
      <c r="D617" s="88" t="s">
        <v>69</v>
      </c>
      <c r="E617" s="87" t="s">
        <v>1946</v>
      </c>
    </row>
    <row r="618" spans="1:5" x14ac:dyDescent="0.25">
      <c r="A618" s="85">
        <v>46216</v>
      </c>
      <c r="B618" s="86" t="s">
        <v>901</v>
      </c>
      <c r="C618" s="86">
        <v>5850</v>
      </c>
      <c r="D618" s="88" t="s">
        <v>69</v>
      </c>
      <c r="E618" s="87" t="s">
        <v>1946</v>
      </c>
    </row>
    <row r="619" spans="1:5" x14ac:dyDescent="0.25">
      <c r="A619" s="85">
        <v>46216</v>
      </c>
      <c r="B619" s="86" t="s">
        <v>896</v>
      </c>
      <c r="C619" s="86">
        <v>5850</v>
      </c>
      <c r="D619" s="88" t="s">
        <v>69</v>
      </c>
      <c r="E619" s="87" t="s">
        <v>1946</v>
      </c>
    </row>
    <row r="620" spans="1:5" x14ac:dyDescent="0.25">
      <c r="A620" s="85">
        <v>46216</v>
      </c>
      <c r="B620" s="86" t="s">
        <v>1484</v>
      </c>
      <c r="C620" s="86">
        <v>1900</v>
      </c>
      <c r="D620" s="55" t="s">
        <v>1952</v>
      </c>
      <c r="E620" s="87" t="s">
        <v>1946</v>
      </c>
    </row>
    <row r="621" spans="1:5" x14ac:dyDescent="0.25">
      <c r="A621" s="85">
        <v>46217</v>
      </c>
      <c r="B621" s="86" t="s">
        <v>1495</v>
      </c>
      <c r="C621" s="86">
        <v>1900</v>
      </c>
      <c r="D621" s="55" t="s">
        <v>1952</v>
      </c>
      <c r="E621" s="87" t="s">
        <v>1946</v>
      </c>
    </row>
    <row r="622" spans="1:5" x14ac:dyDescent="0.25">
      <c r="A622" s="85">
        <v>46217</v>
      </c>
      <c r="B622" s="86" t="s">
        <v>1484</v>
      </c>
      <c r="C622" s="86">
        <v>5850</v>
      </c>
      <c r="D622" s="88" t="s">
        <v>69</v>
      </c>
      <c r="E622" s="87" t="s">
        <v>1946</v>
      </c>
    </row>
    <row r="623" spans="1:5" x14ac:dyDescent="0.25">
      <c r="A623" s="85">
        <v>46217</v>
      </c>
      <c r="B623" s="86" t="s">
        <v>1498</v>
      </c>
      <c r="C623" s="86">
        <v>5850</v>
      </c>
      <c r="D623" s="88" t="s">
        <v>69</v>
      </c>
      <c r="E623" s="87" t="s">
        <v>1946</v>
      </c>
    </row>
    <row r="624" spans="1:5" x14ac:dyDescent="0.25">
      <c r="A624" s="85">
        <v>46217</v>
      </c>
      <c r="B624" s="86" t="s">
        <v>59</v>
      </c>
      <c r="C624" s="86">
        <v>5850</v>
      </c>
      <c r="D624" s="88" t="s">
        <v>69</v>
      </c>
      <c r="E624" s="87" t="s">
        <v>1946</v>
      </c>
    </row>
    <row r="625" spans="1:5" x14ac:dyDescent="0.25">
      <c r="A625" s="85">
        <v>46217</v>
      </c>
      <c r="B625" s="86" t="s">
        <v>1778</v>
      </c>
      <c r="C625" s="86">
        <v>5850</v>
      </c>
      <c r="D625" s="88" t="s">
        <v>69</v>
      </c>
      <c r="E625" s="87" t="s">
        <v>1946</v>
      </c>
    </row>
    <row r="626" spans="1:5" x14ac:dyDescent="0.25">
      <c r="A626" s="85">
        <v>46217</v>
      </c>
      <c r="B626" s="86" t="s">
        <v>1520</v>
      </c>
      <c r="C626" s="86">
        <v>1500</v>
      </c>
      <c r="D626" s="88" t="s">
        <v>2053</v>
      </c>
      <c r="E626" s="87" t="s">
        <v>1946</v>
      </c>
    </row>
    <row r="627" spans="1:5" x14ac:dyDescent="0.25">
      <c r="A627" s="85">
        <v>46217</v>
      </c>
      <c r="B627" s="86" t="s">
        <v>1520</v>
      </c>
      <c r="C627" s="86">
        <v>2000</v>
      </c>
      <c r="D627" s="88" t="s">
        <v>2048</v>
      </c>
      <c r="E627" s="87" t="s">
        <v>1946</v>
      </c>
    </row>
    <row r="628" spans="1:5" x14ac:dyDescent="0.25">
      <c r="A628" s="85">
        <v>46218</v>
      </c>
      <c r="B628" s="86" t="s">
        <v>1495</v>
      </c>
      <c r="C628" s="86">
        <v>5850</v>
      </c>
      <c r="D628" s="88" t="s">
        <v>69</v>
      </c>
      <c r="E628" s="87" t="s">
        <v>1946</v>
      </c>
    </row>
    <row r="629" spans="1:5" x14ac:dyDescent="0.25">
      <c r="A629" s="85">
        <v>46218</v>
      </c>
      <c r="B629" s="86" t="s">
        <v>1486</v>
      </c>
      <c r="C629" s="86">
        <v>5850</v>
      </c>
      <c r="D629" s="88" t="s">
        <v>69</v>
      </c>
      <c r="E629" s="87" t="s">
        <v>1946</v>
      </c>
    </row>
    <row r="630" spans="1:5" x14ac:dyDescent="0.25">
      <c r="A630" s="85">
        <v>46218</v>
      </c>
      <c r="B630" s="86" t="s">
        <v>901</v>
      </c>
      <c r="C630" s="86">
        <v>5850</v>
      </c>
      <c r="D630" s="88" t="s">
        <v>69</v>
      </c>
      <c r="E630" s="87" t="s">
        <v>1946</v>
      </c>
    </row>
    <row r="631" spans="1:5" x14ac:dyDescent="0.25">
      <c r="A631" s="85">
        <v>46218</v>
      </c>
      <c r="B631" s="86" t="s">
        <v>896</v>
      </c>
      <c r="C631" s="86">
        <v>5850</v>
      </c>
      <c r="D631" s="88" t="s">
        <v>69</v>
      </c>
      <c r="E631" s="87" t="s">
        <v>1946</v>
      </c>
    </row>
    <row r="632" spans="1:5" x14ac:dyDescent="0.25">
      <c r="A632" s="85">
        <v>46218</v>
      </c>
      <c r="B632" s="86" t="s">
        <v>1498</v>
      </c>
      <c r="C632" s="86">
        <v>1500</v>
      </c>
      <c r="D632" s="55" t="s">
        <v>1952</v>
      </c>
      <c r="E632" s="87" t="s">
        <v>1946</v>
      </c>
    </row>
    <row r="633" spans="1:5" x14ac:dyDescent="0.25">
      <c r="A633" s="85">
        <v>46219</v>
      </c>
      <c r="B633" s="86" t="s">
        <v>1498</v>
      </c>
      <c r="C633" s="86">
        <v>400</v>
      </c>
      <c r="D633" s="55" t="s">
        <v>1952</v>
      </c>
      <c r="E633" s="87" t="s">
        <v>1946</v>
      </c>
    </row>
    <row r="634" spans="1:5" x14ac:dyDescent="0.25">
      <c r="A634" s="85">
        <v>46218</v>
      </c>
      <c r="B634" s="86" t="s">
        <v>1498</v>
      </c>
      <c r="C634" s="86">
        <v>5600</v>
      </c>
      <c r="D634" s="88" t="s">
        <v>35</v>
      </c>
      <c r="E634" s="87" t="s">
        <v>1946</v>
      </c>
    </row>
    <row r="635" spans="1:5" x14ac:dyDescent="0.25">
      <c r="A635" s="85">
        <v>46219</v>
      </c>
      <c r="B635" s="86" t="s">
        <v>1484</v>
      </c>
      <c r="C635" s="86">
        <v>5400</v>
      </c>
      <c r="D635" s="55" t="s">
        <v>1984</v>
      </c>
      <c r="E635" s="87" t="s">
        <v>1946</v>
      </c>
    </row>
    <row r="636" spans="1:5" x14ac:dyDescent="0.25">
      <c r="A636" s="85">
        <v>46219</v>
      </c>
      <c r="B636" s="86" t="s">
        <v>59</v>
      </c>
      <c r="C636" s="86">
        <v>5400</v>
      </c>
      <c r="D636" s="55" t="s">
        <v>1984</v>
      </c>
      <c r="E636" s="87" t="s">
        <v>1946</v>
      </c>
    </row>
    <row r="637" spans="1:5" x14ac:dyDescent="0.25">
      <c r="A637" s="85">
        <v>46219</v>
      </c>
      <c r="B637" s="86" t="s">
        <v>1778</v>
      </c>
      <c r="C637" s="86">
        <v>5400</v>
      </c>
      <c r="D637" s="55" t="s">
        <v>1984</v>
      </c>
      <c r="E637" s="87" t="s">
        <v>1946</v>
      </c>
    </row>
    <row r="638" spans="1:5" x14ac:dyDescent="0.25">
      <c r="A638" s="85">
        <v>46219</v>
      </c>
      <c r="B638" s="86" t="s">
        <v>904</v>
      </c>
      <c r="C638" s="86">
        <v>5400</v>
      </c>
      <c r="D638" s="55" t="s">
        <v>1966</v>
      </c>
      <c r="E638" s="87" t="s">
        <v>1946</v>
      </c>
    </row>
    <row r="639" spans="1:5" x14ac:dyDescent="0.25">
      <c r="A639" s="85">
        <v>46219</v>
      </c>
      <c r="B639" s="86" t="s">
        <v>1495</v>
      </c>
      <c r="C639" s="86">
        <v>1500</v>
      </c>
      <c r="D639" s="55" t="s">
        <v>1952</v>
      </c>
      <c r="E639" s="87" t="s">
        <v>1946</v>
      </c>
    </row>
    <row r="640" spans="1:5" x14ac:dyDescent="0.25">
      <c r="A640" s="85">
        <v>46219</v>
      </c>
      <c r="B640" s="86" t="s">
        <v>901</v>
      </c>
      <c r="C640" s="86">
        <v>1900</v>
      </c>
      <c r="D640" s="55" t="s">
        <v>1952</v>
      </c>
      <c r="E640" s="87" t="s">
        <v>1946</v>
      </c>
    </row>
    <row r="641" spans="1:6" x14ac:dyDescent="0.25">
      <c r="A641" s="85">
        <v>46219</v>
      </c>
      <c r="B641" s="86" t="s">
        <v>1495</v>
      </c>
      <c r="C641" s="86">
        <v>5850</v>
      </c>
      <c r="D641" s="88" t="s">
        <v>69</v>
      </c>
      <c r="E641" s="87" t="s">
        <v>1946</v>
      </c>
    </row>
    <row r="642" spans="1:6" x14ac:dyDescent="0.25">
      <c r="A642" s="85">
        <v>46219</v>
      </c>
      <c r="B642" s="86" t="s">
        <v>1486</v>
      </c>
      <c r="C642" s="86">
        <v>5850</v>
      </c>
      <c r="D642" s="88" t="s">
        <v>69</v>
      </c>
      <c r="E642" s="87" t="s">
        <v>1946</v>
      </c>
    </row>
    <row r="643" spans="1:6" x14ac:dyDescent="0.25">
      <c r="A643" s="85">
        <v>46219</v>
      </c>
      <c r="B643" s="86" t="s">
        <v>1484</v>
      </c>
      <c r="C643" s="86">
        <v>3700</v>
      </c>
      <c r="D643" s="55" t="s">
        <v>1948</v>
      </c>
      <c r="E643" s="87" t="s">
        <v>1946</v>
      </c>
    </row>
    <row r="644" spans="1:6" x14ac:dyDescent="0.25">
      <c r="A644" s="85">
        <v>46219</v>
      </c>
      <c r="B644" s="86" t="s">
        <v>904</v>
      </c>
      <c r="C644" s="86">
        <v>3700</v>
      </c>
      <c r="D644" s="55" t="s">
        <v>1948</v>
      </c>
      <c r="E644" s="87" t="s">
        <v>1946</v>
      </c>
    </row>
    <row r="645" spans="1:6" x14ac:dyDescent="0.25">
      <c r="A645" s="85">
        <v>46219</v>
      </c>
      <c r="B645" s="86" t="s">
        <v>1520</v>
      </c>
      <c r="C645" s="86">
        <v>1000</v>
      </c>
      <c r="D645" s="88" t="s">
        <v>2048</v>
      </c>
      <c r="E645" s="87" t="s">
        <v>1946</v>
      </c>
    </row>
    <row r="646" spans="1:6" x14ac:dyDescent="0.25">
      <c r="A646" s="85">
        <v>46220</v>
      </c>
      <c r="B646" s="86" t="s">
        <v>1495</v>
      </c>
      <c r="C646" s="86">
        <v>1900</v>
      </c>
      <c r="D646" s="55" t="s">
        <v>1952</v>
      </c>
      <c r="E646" s="87" t="s">
        <v>1946</v>
      </c>
    </row>
    <row r="647" spans="1:6" x14ac:dyDescent="0.25">
      <c r="A647" s="85">
        <v>46221</v>
      </c>
      <c r="B647" s="86" t="s">
        <v>59</v>
      </c>
      <c r="C647" s="86">
        <v>5000</v>
      </c>
      <c r="D647" s="88" t="s">
        <v>2056</v>
      </c>
      <c r="E647" s="87" t="s">
        <v>1946</v>
      </c>
      <c r="F647" s="82" t="s">
        <v>2055</v>
      </c>
    </row>
    <row r="648" spans="1:6" x14ac:dyDescent="0.25">
      <c r="A648" s="85">
        <v>46221</v>
      </c>
      <c r="B648" s="86" t="s">
        <v>1495</v>
      </c>
      <c r="C648" s="86">
        <v>5600</v>
      </c>
      <c r="D648" s="88" t="s">
        <v>35</v>
      </c>
      <c r="E648" s="87" t="s">
        <v>1946</v>
      </c>
    </row>
    <row r="649" spans="1:6" x14ac:dyDescent="0.25">
      <c r="A649" s="85">
        <v>46223</v>
      </c>
      <c r="B649" s="86" t="s">
        <v>59</v>
      </c>
      <c r="C649" s="86">
        <v>1800</v>
      </c>
      <c r="D649" s="88" t="s">
        <v>2056</v>
      </c>
      <c r="E649" s="87" t="s">
        <v>1946</v>
      </c>
      <c r="F649" s="82" t="s">
        <v>2055</v>
      </c>
    </row>
    <row r="650" spans="1:6" x14ac:dyDescent="0.25">
      <c r="A650" s="85">
        <v>46223</v>
      </c>
      <c r="B650" s="86" t="s">
        <v>1520</v>
      </c>
      <c r="C650" s="86">
        <v>6300</v>
      </c>
      <c r="D650" s="88" t="s">
        <v>2054</v>
      </c>
      <c r="E650" s="87" t="s">
        <v>1946</v>
      </c>
      <c r="F650" s="82" t="s">
        <v>2055</v>
      </c>
    </row>
    <row r="651" spans="1:6" x14ac:dyDescent="0.25">
      <c r="A651" s="85">
        <v>46223</v>
      </c>
      <c r="B651" s="86" t="s">
        <v>1484</v>
      </c>
      <c r="C651" s="86">
        <v>2200</v>
      </c>
      <c r="D651" s="88" t="s">
        <v>1962</v>
      </c>
      <c r="E651" s="87" t="s">
        <v>1946</v>
      </c>
    </row>
    <row r="652" spans="1:6" x14ac:dyDescent="0.25">
      <c r="A652" s="85">
        <v>46223</v>
      </c>
      <c r="B652" s="86" t="s">
        <v>901</v>
      </c>
      <c r="C652" s="86">
        <v>5850</v>
      </c>
      <c r="D652" s="88" t="s">
        <v>69</v>
      </c>
      <c r="E652" s="87" t="s">
        <v>1946</v>
      </c>
    </row>
    <row r="653" spans="1:6" x14ac:dyDescent="0.25">
      <c r="A653" s="85">
        <v>46223</v>
      </c>
      <c r="B653" s="86" t="s">
        <v>1486</v>
      </c>
      <c r="C653" s="86">
        <v>5850</v>
      </c>
      <c r="D653" s="88" t="s">
        <v>69</v>
      </c>
      <c r="E653" s="87" t="s">
        <v>1946</v>
      </c>
    </row>
    <row r="654" spans="1:6" x14ac:dyDescent="0.25">
      <c r="A654" s="85">
        <v>46223</v>
      </c>
      <c r="B654" s="86" t="s">
        <v>1498</v>
      </c>
      <c r="C654" s="86">
        <v>3950</v>
      </c>
      <c r="D654" s="88" t="s">
        <v>1972</v>
      </c>
      <c r="E654" s="87" t="s">
        <v>1946</v>
      </c>
    </row>
    <row r="655" spans="1:6" x14ac:dyDescent="0.25">
      <c r="A655" s="85">
        <v>46223</v>
      </c>
      <c r="B655" s="86" t="s">
        <v>896</v>
      </c>
      <c r="C655" s="86">
        <v>1500</v>
      </c>
      <c r="D655" s="55" t="s">
        <v>1952</v>
      </c>
      <c r="E655" s="87" t="s">
        <v>1946</v>
      </c>
    </row>
    <row r="656" spans="1:6" x14ac:dyDescent="0.25">
      <c r="A656" s="85">
        <v>46223</v>
      </c>
      <c r="B656" s="86" t="s">
        <v>896</v>
      </c>
      <c r="C656" s="86">
        <v>5600</v>
      </c>
      <c r="D656" s="55" t="s">
        <v>35</v>
      </c>
      <c r="E656" s="87" t="s">
        <v>1946</v>
      </c>
    </row>
    <row r="657" spans="1:5" x14ac:dyDescent="0.25">
      <c r="A657" s="85">
        <v>46224</v>
      </c>
      <c r="B657" s="86" t="s">
        <v>2022</v>
      </c>
      <c r="C657" s="86">
        <v>1500</v>
      </c>
      <c r="D657" s="55" t="s">
        <v>1952</v>
      </c>
      <c r="E657" s="87" t="s">
        <v>1946</v>
      </c>
    </row>
    <row r="658" spans="1:5" x14ac:dyDescent="0.25">
      <c r="A658" s="85">
        <v>46223</v>
      </c>
      <c r="B658" s="86" t="s">
        <v>2022</v>
      </c>
      <c r="C658" s="86">
        <v>5400</v>
      </c>
      <c r="D658" s="55" t="s">
        <v>1984</v>
      </c>
      <c r="E658" s="87" t="s">
        <v>1946</v>
      </c>
    </row>
    <row r="659" spans="1:5" x14ac:dyDescent="0.25">
      <c r="A659" s="85">
        <v>46224</v>
      </c>
      <c r="B659" s="86" t="s">
        <v>901</v>
      </c>
      <c r="C659" s="86">
        <v>600</v>
      </c>
      <c r="D659" s="88" t="s">
        <v>2013</v>
      </c>
      <c r="E659" s="87" t="s">
        <v>1946</v>
      </c>
    </row>
    <row r="660" spans="1:5" x14ac:dyDescent="0.25">
      <c r="A660" s="85">
        <v>46224</v>
      </c>
      <c r="B660" s="86" t="s">
        <v>904</v>
      </c>
      <c r="C660" s="86">
        <v>5850</v>
      </c>
      <c r="D660" s="88" t="s">
        <v>69</v>
      </c>
      <c r="E660" s="87" t="s">
        <v>1946</v>
      </c>
    </row>
    <row r="661" spans="1:5" x14ac:dyDescent="0.25">
      <c r="A661" s="85">
        <v>46224</v>
      </c>
      <c r="B661" s="86" t="s">
        <v>1778</v>
      </c>
      <c r="C661" s="86">
        <v>5850</v>
      </c>
      <c r="D661" s="88" t="s">
        <v>69</v>
      </c>
      <c r="E661" s="87" t="s">
        <v>1946</v>
      </c>
    </row>
    <row r="662" spans="1:5" x14ac:dyDescent="0.25">
      <c r="A662" s="85">
        <v>46224</v>
      </c>
      <c r="B662" s="86" t="s">
        <v>1498</v>
      </c>
      <c r="C662" s="86">
        <v>1900</v>
      </c>
      <c r="D662" s="55" t="s">
        <v>1952</v>
      </c>
      <c r="E662" s="87" t="s">
        <v>1946</v>
      </c>
    </row>
    <row r="663" spans="1:5" x14ac:dyDescent="0.25">
      <c r="A663" s="85">
        <v>46224</v>
      </c>
      <c r="B663" s="86" t="s">
        <v>896</v>
      </c>
      <c r="C663" s="86">
        <v>5400</v>
      </c>
      <c r="D663" s="88" t="s">
        <v>2057</v>
      </c>
      <c r="E663" s="87" t="s">
        <v>1946</v>
      </c>
    </row>
    <row r="664" spans="1:5" x14ac:dyDescent="0.25">
      <c r="A664" s="85">
        <v>46224</v>
      </c>
      <c r="B664" s="86" t="s">
        <v>2022</v>
      </c>
      <c r="C664" s="86">
        <v>3700</v>
      </c>
      <c r="D664" s="55" t="s">
        <v>1948</v>
      </c>
      <c r="E664" s="87" t="s">
        <v>1946</v>
      </c>
    </row>
    <row r="665" spans="1:5" x14ac:dyDescent="0.25">
      <c r="A665" s="85">
        <v>46224</v>
      </c>
      <c r="B665" s="86" t="s">
        <v>901</v>
      </c>
      <c r="C665" s="86">
        <v>5400</v>
      </c>
      <c r="D665" s="88" t="s">
        <v>1957</v>
      </c>
      <c r="E665" s="87" t="s">
        <v>1946</v>
      </c>
    </row>
    <row r="666" spans="1:5" x14ac:dyDescent="0.25">
      <c r="A666" s="85">
        <v>46225</v>
      </c>
      <c r="B666" s="86" t="s">
        <v>2044</v>
      </c>
      <c r="C666" s="86">
        <v>2200</v>
      </c>
      <c r="D666" s="88" t="s">
        <v>2058</v>
      </c>
      <c r="E666" s="87" t="s">
        <v>1946</v>
      </c>
    </row>
    <row r="667" spans="1:5" x14ac:dyDescent="0.25">
      <c r="A667" s="85">
        <v>46225</v>
      </c>
      <c r="B667" s="86" t="s">
        <v>2044</v>
      </c>
      <c r="C667" s="86">
        <v>7900</v>
      </c>
      <c r="D667" s="88" t="s">
        <v>2059</v>
      </c>
      <c r="E667" s="87" t="s">
        <v>1946</v>
      </c>
    </row>
    <row r="668" spans="1:5" x14ac:dyDescent="0.25">
      <c r="A668" s="85">
        <v>46225</v>
      </c>
      <c r="B668" s="86" t="s">
        <v>2022</v>
      </c>
      <c r="C668" s="86">
        <v>3700</v>
      </c>
      <c r="D668" s="55" t="s">
        <v>1948</v>
      </c>
      <c r="E668" s="87" t="s">
        <v>1946</v>
      </c>
    </row>
    <row r="669" spans="1:5" x14ac:dyDescent="0.25">
      <c r="A669" s="85">
        <v>46225</v>
      </c>
      <c r="B669" s="86" t="s">
        <v>1520</v>
      </c>
      <c r="C669" s="86">
        <v>5850</v>
      </c>
      <c r="D669" s="88" t="s">
        <v>69</v>
      </c>
      <c r="E669" s="87" t="s">
        <v>1946</v>
      </c>
    </row>
    <row r="670" spans="1:5" x14ac:dyDescent="0.25">
      <c r="A670" s="85">
        <v>46225</v>
      </c>
      <c r="B670" s="86" t="s">
        <v>1520</v>
      </c>
      <c r="C670" s="86">
        <v>400</v>
      </c>
      <c r="D670" s="88" t="s">
        <v>2060</v>
      </c>
      <c r="E670" s="87" t="s">
        <v>1946</v>
      </c>
    </row>
    <row r="671" spans="1:5" x14ac:dyDescent="0.25">
      <c r="A671" s="85">
        <v>46225</v>
      </c>
      <c r="B671" s="86" t="s">
        <v>1486</v>
      </c>
      <c r="C671" s="86">
        <v>5850</v>
      </c>
      <c r="D671" s="88" t="s">
        <v>69</v>
      </c>
      <c r="E671" s="87" t="s">
        <v>1946</v>
      </c>
    </row>
    <row r="672" spans="1:5" x14ac:dyDescent="0.25">
      <c r="A672" s="85">
        <v>46225</v>
      </c>
      <c r="B672" s="86" t="s">
        <v>1498</v>
      </c>
      <c r="C672" s="86">
        <v>5850</v>
      </c>
      <c r="D672" s="88" t="s">
        <v>69</v>
      </c>
      <c r="E672" s="87" t="s">
        <v>1946</v>
      </c>
    </row>
    <row r="673" spans="1:5" x14ac:dyDescent="0.25">
      <c r="A673" s="85">
        <v>46225</v>
      </c>
      <c r="B673" s="86" t="s">
        <v>1778</v>
      </c>
      <c r="C673" s="86">
        <v>5850</v>
      </c>
      <c r="D673" s="88" t="s">
        <v>69</v>
      </c>
      <c r="E673" s="87" t="s">
        <v>1946</v>
      </c>
    </row>
    <row r="674" spans="1:5" x14ac:dyDescent="0.25">
      <c r="A674" s="85">
        <v>46226</v>
      </c>
      <c r="B674" s="86" t="s">
        <v>896</v>
      </c>
      <c r="C674" s="86">
        <v>2200</v>
      </c>
      <c r="D674" s="88" t="s">
        <v>1962</v>
      </c>
      <c r="E674" s="87" t="s">
        <v>1946</v>
      </c>
    </row>
    <row r="675" spans="1:5" x14ac:dyDescent="0.25">
      <c r="A675" s="85">
        <v>46226</v>
      </c>
      <c r="B675" s="86" t="s">
        <v>1520</v>
      </c>
      <c r="C675" s="86">
        <v>1900</v>
      </c>
      <c r="D675" s="55" t="s">
        <v>1952</v>
      </c>
      <c r="E675" s="87" t="s">
        <v>1946</v>
      </c>
    </row>
    <row r="676" spans="1:5" x14ac:dyDescent="0.25">
      <c r="A676" s="85">
        <v>46226</v>
      </c>
      <c r="B676" s="86" t="s">
        <v>1498</v>
      </c>
      <c r="C676" s="86">
        <v>1900</v>
      </c>
      <c r="D676" s="55" t="s">
        <v>1952</v>
      </c>
      <c r="E676" s="87" t="s">
        <v>1946</v>
      </c>
    </row>
    <row r="677" spans="1:5" x14ac:dyDescent="0.25">
      <c r="A677" s="85">
        <v>46226</v>
      </c>
      <c r="B677" s="86" t="s">
        <v>2022</v>
      </c>
      <c r="C677" s="86">
        <v>5850</v>
      </c>
      <c r="D677" s="88" t="s">
        <v>69</v>
      </c>
      <c r="E677" s="87" t="s">
        <v>1946</v>
      </c>
    </row>
    <row r="678" spans="1:5" x14ac:dyDescent="0.25">
      <c r="A678" s="85">
        <v>46226</v>
      </c>
      <c r="B678" s="86" t="s">
        <v>901</v>
      </c>
      <c r="C678" s="86">
        <v>5850</v>
      </c>
      <c r="D678" s="88" t="s">
        <v>69</v>
      </c>
      <c r="E678" s="87" t="s">
        <v>1946</v>
      </c>
    </row>
    <row r="679" spans="1:5" x14ac:dyDescent="0.25">
      <c r="A679" s="85">
        <v>46227</v>
      </c>
      <c r="B679" s="86" t="s">
        <v>904</v>
      </c>
      <c r="C679" s="86">
        <v>5850</v>
      </c>
      <c r="D679" s="88" t="s">
        <v>69</v>
      </c>
      <c r="E679" s="87" t="s">
        <v>1946</v>
      </c>
    </row>
    <row r="680" spans="1:5" x14ac:dyDescent="0.25">
      <c r="A680" s="85">
        <v>46227</v>
      </c>
      <c r="B680" s="86" t="s">
        <v>896</v>
      </c>
      <c r="C680" s="86">
        <v>1000</v>
      </c>
      <c r="D680" s="88" t="s">
        <v>1951</v>
      </c>
      <c r="E680" s="87" t="s">
        <v>1946</v>
      </c>
    </row>
    <row r="681" spans="1:5" x14ac:dyDescent="0.25">
      <c r="A681" s="85">
        <v>46227</v>
      </c>
      <c r="B681" s="86" t="s">
        <v>896</v>
      </c>
      <c r="C681" s="86">
        <v>700</v>
      </c>
      <c r="D681" s="88" t="s">
        <v>1951</v>
      </c>
      <c r="E681" s="87" t="s">
        <v>1946</v>
      </c>
    </row>
    <row r="682" spans="1:5" x14ac:dyDescent="0.25">
      <c r="A682" s="85">
        <v>46227</v>
      </c>
      <c r="B682" s="86" t="s">
        <v>896</v>
      </c>
      <c r="C682" s="86">
        <v>700</v>
      </c>
      <c r="D682" s="88" t="s">
        <v>1951</v>
      </c>
      <c r="E682" s="87" t="s">
        <v>1946</v>
      </c>
    </row>
    <row r="683" spans="1:5" x14ac:dyDescent="0.25">
      <c r="A683" s="85">
        <v>46227</v>
      </c>
      <c r="B683" s="86" t="s">
        <v>896</v>
      </c>
      <c r="C683" s="86">
        <v>700</v>
      </c>
      <c r="D683" s="88" t="s">
        <v>1951</v>
      </c>
      <c r="E683" s="87" t="s">
        <v>1946</v>
      </c>
    </row>
    <row r="684" spans="1:5" x14ac:dyDescent="0.25">
      <c r="A684" s="85">
        <v>46227</v>
      </c>
      <c r="B684" s="86" t="s">
        <v>2044</v>
      </c>
      <c r="C684" s="86">
        <v>1000</v>
      </c>
      <c r="D684" s="88" t="s">
        <v>1950</v>
      </c>
      <c r="E684" s="87" t="s">
        <v>1946</v>
      </c>
    </row>
    <row r="685" spans="1:5" x14ac:dyDescent="0.25">
      <c r="A685" s="85">
        <v>46227</v>
      </c>
      <c r="B685" s="86" t="s">
        <v>904</v>
      </c>
      <c r="C685" s="86">
        <v>1900</v>
      </c>
      <c r="D685" s="55" t="s">
        <v>1952</v>
      </c>
      <c r="E685" s="87" t="s">
        <v>1946</v>
      </c>
    </row>
    <row r="686" spans="1:5" x14ac:dyDescent="0.25">
      <c r="A686" s="85">
        <v>46227</v>
      </c>
      <c r="B686" s="86" t="s">
        <v>1498</v>
      </c>
      <c r="C686" s="86">
        <v>1500</v>
      </c>
      <c r="D686" s="55" t="s">
        <v>1952</v>
      </c>
      <c r="E686" s="87" t="s">
        <v>1946</v>
      </c>
    </row>
    <row r="687" spans="1:5" x14ac:dyDescent="0.25">
      <c r="A687" s="85">
        <v>46227</v>
      </c>
      <c r="B687" s="86" t="s">
        <v>1498</v>
      </c>
      <c r="C687" s="86">
        <v>5600</v>
      </c>
      <c r="D687" s="88" t="s">
        <v>35</v>
      </c>
      <c r="E687" s="87" t="s">
        <v>1946</v>
      </c>
    </row>
    <row r="688" spans="1:5" x14ac:dyDescent="0.25">
      <c r="A688" s="85">
        <v>46228</v>
      </c>
      <c r="B688" s="86" t="s">
        <v>1486</v>
      </c>
      <c r="C688" s="86">
        <v>5850</v>
      </c>
      <c r="D688" s="88" t="s">
        <v>69</v>
      </c>
      <c r="E688" s="87" t="s">
        <v>1946</v>
      </c>
    </row>
    <row r="689" spans="1:6" x14ac:dyDescent="0.25">
      <c r="A689" s="85">
        <v>46228</v>
      </c>
      <c r="B689" s="86" t="s">
        <v>1778</v>
      </c>
      <c r="C689" s="86">
        <v>5850</v>
      </c>
      <c r="D689" s="88" t="s">
        <v>69</v>
      </c>
      <c r="E689" s="87" t="s">
        <v>1946</v>
      </c>
    </row>
    <row r="690" spans="1:6" x14ac:dyDescent="0.25">
      <c r="A690" s="85">
        <v>46228</v>
      </c>
      <c r="B690" s="86" t="s">
        <v>901</v>
      </c>
      <c r="C690" s="86">
        <v>5850</v>
      </c>
      <c r="D690" s="88" t="s">
        <v>69</v>
      </c>
      <c r="E690" s="87" t="s">
        <v>1946</v>
      </c>
    </row>
    <row r="691" spans="1:6" x14ac:dyDescent="0.25">
      <c r="A691" s="85">
        <v>46228</v>
      </c>
      <c r="B691" s="86" t="s">
        <v>896</v>
      </c>
      <c r="C691" s="86">
        <v>1000</v>
      </c>
      <c r="D691" s="88" t="s">
        <v>1951</v>
      </c>
      <c r="E691" s="87" t="s">
        <v>1946</v>
      </c>
    </row>
    <row r="692" spans="1:6" x14ac:dyDescent="0.25">
      <c r="A692" s="85">
        <v>46228</v>
      </c>
      <c r="B692" s="86" t="s">
        <v>896</v>
      </c>
      <c r="C692" s="86">
        <v>700</v>
      </c>
      <c r="D692" s="88" t="s">
        <v>1951</v>
      </c>
      <c r="E692" s="87" t="s">
        <v>1946</v>
      </c>
    </row>
    <row r="693" spans="1:6" x14ac:dyDescent="0.25">
      <c r="A693" s="85">
        <v>46228</v>
      </c>
      <c r="B693" s="86" t="s">
        <v>2044</v>
      </c>
      <c r="C693" s="86">
        <v>7900</v>
      </c>
      <c r="D693" s="88" t="s">
        <v>2008</v>
      </c>
      <c r="E693" s="87" t="s">
        <v>1946</v>
      </c>
    </row>
    <row r="694" spans="1:6" x14ac:dyDescent="0.25">
      <c r="A694" s="85">
        <v>46228</v>
      </c>
      <c r="B694" s="86" t="s">
        <v>896</v>
      </c>
      <c r="C694" s="86">
        <v>1000</v>
      </c>
      <c r="D694" s="88" t="s">
        <v>1951</v>
      </c>
      <c r="E694" s="87" t="s">
        <v>1946</v>
      </c>
    </row>
    <row r="695" spans="1:6" x14ac:dyDescent="0.25">
      <c r="A695" s="85">
        <v>46228</v>
      </c>
      <c r="B695" s="86" t="s">
        <v>896</v>
      </c>
      <c r="C695" s="86">
        <v>700</v>
      </c>
      <c r="D695" s="88" t="s">
        <v>1951</v>
      </c>
      <c r="E695" s="87" t="s">
        <v>1946</v>
      </c>
    </row>
    <row r="696" spans="1:6" x14ac:dyDescent="0.25">
      <c r="A696" s="85">
        <v>46230</v>
      </c>
      <c r="B696" s="86" t="s">
        <v>1520</v>
      </c>
      <c r="C696" s="86">
        <v>900</v>
      </c>
      <c r="D696" s="88" t="s">
        <v>2061</v>
      </c>
      <c r="E696" s="87" t="s">
        <v>1946</v>
      </c>
    </row>
    <row r="697" spans="1:6" x14ac:dyDescent="0.25">
      <c r="A697" s="85">
        <v>46230</v>
      </c>
      <c r="B697" s="86" t="s">
        <v>1520</v>
      </c>
      <c r="C697" s="86">
        <v>7900</v>
      </c>
      <c r="D697" s="88" t="s">
        <v>1960</v>
      </c>
      <c r="E697" s="87" t="s">
        <v>1946</v>
      </c>
    </row>
    <row r="698" spans="1:6" x14ac:dyDescent="0.25">
      <c r="A698" s="85">
        <v>46230</v>
      </c>
      <c r="B698" s="86" t="s">
        <v>2022</v>
      </c>
      <c r="C698" s="86">
        <v>7900</v>
      </c>
      <c r="D698" s="88" t="s">
        <v>1960</v>
      </c>
      <c r="E698" s="87" t="s">
        <v>1946</v>
      </c>
    </row>
    <row r="699" spans="1:6" x14ac:dyDescent="0.25">
      <c r="A699" s="85">
        <v>46230</v>
      </c>
      <c r="B699" s="86" t="s">
        <v>1495</v>
      </c>
      <c r="C699" s="86">
        <v>1000</v>
      </c>
      <c r="D699" s="88" t="s">
        <v>1950</v>
      </c>
      <c r="E699" s="87" t="s">
        <v>1946</v>
      </c>
    </row>
    <row r="700" spans="1:6" x14ac:dyDescent="0.25">
      <c r="A700" s="85">
        <v>46230</v>
      </c>
      <c r="B700" s="86" t="s">
        <v>1495</v>
      </c>
      <c r="C700" s="86">
        <v>1000</v>
      </c>
      <c r="D700" s="88" t="s">
        <v>2062</v>
      </c>
      <c r="E700" s="87" t="s">
        <v>1946</v>
      </c>
    </row>
    <row r="701" spans="1:6" x14ac:dyDescent="0.25">
      <c r="A701" s="85">
        <v>46230</v>
      </c>
      <c r="B701" s="86" t="s">
        <v>2044</v>
      </c>
      <c r="C701" s="86">
        <v>1000</v>
      </c>
      <c r="D701" s="88" t="s">
        <v>1950</v>
      </c>
      <c r="E701" s="87" t="s">
        <v>1946</v>
      </c>
    </row>
    <row r="702" spans="1:6" x14ac:dyDescent="0.25">
      <c r="A702" s="85">
        <v>46230</v>
      </c>
      <c r="B702" s="86" t="s">
        <v>904</v>
      </c>
      <c r="C702" s="86">
        <v>3500</v>
      </c>
      <c r="D702" s="88" t="s">
        <v>2063</v>
      </c>
      <c r="E702" s="87" t="s">
        <v>1946</v>
      </c>
      <c r="F702" s="82" t="s">
        <v>2064</v>
      </c>
    </row>
    <row r="703" spans="1:6" x14ac:dyDescent="0.25">
      <c r="A703" s="85">
        <v>46230</v>
      </c>
      <c r="B703" s="86" t="s">
        <v>896</v>
      </c>
      <c r="C703" s="86">
        <v>3700</v>
      </c>
      <c r="D703" s="88" t="s">
        <v>1955</v>
      </c>
      <c r="E703" s="87" t="s">
        <v>1946</v>
      </c>
    </row>
    <row r="704" spans="1:6" x14ac:dyDescent="0.25">
      <c r="A704" s="85">
        <v>46230</v>
      </c>
      <c r="B704" s="86" t="s">
        <v>904</v>
      </c>
      <c r="C704" s="86">
        <v>5850</v>
      </c>
      <c r="D704" s="88" t="s">
        <v>69</v>
      </c>
      <c r="E704" s="87" t="s">
        <v>1946</v>
      </c>
    </row>
    <row r="705" spans="1:5" x14ac:dyDescent="0.25">
      <c r="A705" s="85">
        <v>46230</v>
      </c>
      <c r="B705" s="86" t="s">
        <v>1498</v>
      </c>
      <c r="C705" s="86">
        <v>3950</v>
      </c>
      <c r="D705" s="88" t="s">
        <v>1972</v>
      </c>
      <c r="E705" s="87" t="s">
        <v>1946</v>
      </c>
    </row>
    <row r="706" spans="1:5" x14ac:dyDescent="0.25">
      <c r="A706" s="85">
        <v>46230</v>
      </c>
      <c r="B706" s="86" t="s">
        <v>901</v>
      </c>
      <c r="C706" s="86">
        <v>1500</v>
      </c>
      <c r="D706" s="55" t="s">
        <v>1952</v>
      </c>
      <c r="E706" s="87" t="s">
        <v>1946</v>
      </c>
    </row>
    <row r="707" spans="1:5" x14ac:dyDescent="0.25">
      <c r="A707" s="85">
        <v>46230</v>
      </c>
      <c r="B707" s="86" t="s">
        <v>1486</v>
      </c>
      <c r="C707" s="86">
        <v>5850</v>
      </c>
      <c r="D707" s="88" t="s">
        <v>69</v>
      </c>
      <c r="E707" s="87" t="s">
        <v>1946</v>
      </c>
    </row>
    <row r="708" spans="1:5" x14ac:dyDescent="0.25">
      <c r="A708" s="85">
        <v>46230</v>
      </c>
      <c r="B708" s="86" t="s">
        <v>901</v>
      </c>
      <c r="C708" s="86">
        <v>5600</v>
      </c>
      <c r="D708" s="88" t="s">
        <v>35</v>
      </c>
      <c r="E708" s="87" t="s">
        <v>1946</v>
      </c>
    </row>
    <row r="709" spans="1:5" x14ac:dyDescent="0.25">
      <c r="A709" s="85">
        <v>46230</v>
      </c>
      <c r="B709" s="86" t="s">
        <v>1778</v>
      </c>
      <c r="C709" s="86">
        <v>7900</v>
      </c>
      <c r="D709" s="88" t="s">
        <v>1960</v>
      </c>
      <c r="E709" s="87" t="s">
        <v>1946</v>
      </c>
    </row>
    <row r="710" spans="1:5" x14ac:dyDescent="0.25">
      <c r="A710" s="85">
        <v>46230</v>
      </c>
      <c r="B710" s="86" t="s">
        <v>2044</v>
      </c>
      <c r="C710" s="86">
        <v>7900</v>
      </c>
      <c r="D710" s="88" t="s">
        <v>1960</v>
      </c>
      <c r="E710" s="87" t="s">
        <v>1946</v>
      </c>
    </row>
    <row r="711" spans="1:5" x14ac:dyDescent="0.25">
      <c r="A711" s="85">
        <v>46231</v>
      </c>
      <c r="B711" s="86" t="s">
        <v>1484</v>
      </c>
      <c r="C711" s="86">
        <v>3700</v>
      </c>
      <c r="D711" s="88" t="s">
        <v>1955</v>
      </c>
      <c r="E711" s="87" t="s">
        <v>1946</v>
      </c>
    </row>
    <row r="712" spans="1:5" x14ac:dyDescent="0.25">
      <c r="A712" s="85">
        <v>46231</v>
      </c>
      <c r="B712" s="86" t="s">
        <v>1486</v>
      </c>
      <c r="C712" s="86">
        <v>1500</v>
      </c>
      <c r="D712" s="55" t="s">
        <v>1952</v>
      </c>
      <c r="E712" s="87" t="s">
        <v>1946</v>
      </c>
    </row>
    <row r="713" spans="1:5" x14ac:dyDescent="0.25">
      <c r="A713" s="85">
        <v>46231</v>
      </c>
      <c r="B713" s="86" t="s">
        <v>1520</v>
      </c>
      <c r="C713" s="86">
        <v>1000</v>
      </c>
      <c r="D713" s="88" t="s">
        <v>1950</v>
      </c>
      <c r="E713" s="87" t="s">
        <v>1946</v>
      </c>
    </row>
    <row r="714" spans="1:5" x14ac:dyDescent="0.25">
      <c r="A714" s="85">
        <v>46231</v>
      </c>
      <c r="B714" s="86" t="s">
        <v>1778</v>
      </c>
      <c r="C714" s="86">
        <v>1000</v>
      </c>
      <c r="D714" s="88" t="s">
        <v>1950</v>
      </c>
      <c r="E714" s="87" t="s">
        <v>1946</v>
      </c>
    </row>
    <row r="715" spans="1:5" x14ac:dyDescent="0.25">
      <c r="A715" s="85">
        <v>46231</v>
      </c>
      <c r="B715" s="86" t="s">
        <v>2044</v>
      </c>
      <c r="C715" s="86">
        <v>1000</v>
      </c>
      <c r="D715" s="88" t="s">
        <v>1950</v>
      </c>
      <c r="E715" s="87" t="s">
        <v>1946</v>
      </c>
    </row>
    <row r="716" spans="1:5" x14ac:dyDescent="0.25">
      <c r="A716" s="85">
        <v>46231</v>
      </c>
      <c r="B716" s="86" t="s">
        <v>2022</v>
      </c>
      <c r="C716" s="86">
        <v>1000</v>
      </c>
      <c r="D716" s="88" t="s">
        <v>1950</v>
      </c>
      <c r="E716" s="87" t="s">
        <v>1946</v>
      </c>
    </row>
    <row r="717" spans="1:5" x14ac:dyDescent="0.25">
      <c r="A717" s="85">
        <v>46231</v>
      </c>
      <c r="B717" s="86" t="s">
        <v>1486</v>
      </c>
      <c r="C717" s="86">
        <v>5850</v>
      </c>
      <c r="D717" s="88" t="s">
        <v>69</v>
      </c>
      <c r="E717" s="87" t="s">
        <v>1946</v>
      </c>
    </row>
    <row r="718" spans="1:5" x14ac:dyDescent="0.25">
      <c r="A718" s="85">
        <v>46231</v>
      </c>
      <c r="B718" s="86" t="s">
        <v>1495</v>
      </c>
      <c r="C718" s="86">
        <v>5850</v>
      </c>
      <c r="D718" s="88" t="s">
        <v>69</v>
      </c>
      <c r="E718" s="87" t="s">
        <v>1946</v>
      </c>
    </row>
    <row r="719" spans="1:5" x14ac:dyDescent="0.25">
      <c r="A719" s="85">
        <v>46231</v>
      </c>
      <c r="B719" s="86" t="s">
        <v>1498</v>
      </c>
      <c r="C719" s="86">
        <v>5850</v>
      </c>
      <c r="D719" s="88" t="s">
        <v>69</v>
      </c>
      <c r="E719" s="87" t="s">
        <v>1946</v>
      </c>
    </row>
    <row r="720" spans="1:5" x14ac:dyDescent="0.25">
      <c r="A720" s="85">
        <v>46231</v>
      </c>
      <c r="B720" s="86" t="s">
        <v>904</v>
      </c>
      <c r="C720" s="86">
        <v>5850</v>
      </c>
      <c r="D720" s="88" t="s">
        <v>69</v>
      </c>
      <c r="E720" s="87" t="s">
        <v>1946</v>
      </c>
    </row>
    <row r="721" spans="1:6" x14ac:dyDescent="0.25">
      <c r="A721" s="85">
        <v>46231</v>
      </c>
      <c r="B721" s="86" t="s">
        <v>896</v>
      </c>
      <c r="C721" s="86">
        <v>5850</v>
      </c>
      <c r="D721" s="88" t="s">
        <v>69</v>
      </c>
      <c r="E721" s="87" t="s">
        <v>1946</v>
      </c>
    </row>
    <row r="722" spans="1:6" x14ac:dyDescent="0.25">
      <c r="A722" s="85">
        <v>46231</v>
      </c>
      <c r="B722" s="86" t="s">
        <v>2044</v>
      </c>
      <c r="C722" s="86">
        <v>5850</v>
      </c>
      <c r="D722" s="88" t="s">
        <v>69</v>
      </c>
      <c r="E722" s="87" t="s">
        <v>1946</v>
      </c>
    </row>
    <row r="723" spans="1:6" x14ac:dyDescent="0.25">
      <c r="A723" s="85">
        <v>46231</v>
      </c>
      <c r="B723" s="86" t="s">
        <v>1484</v>
      </c>
      <c r="C723" s="86">
        <v>1500</v>
      </c>
      <c r="D723" s="55" t="s">
        <v>1952</v>
      </c>
      <c r="E723" s="87" t="s">
        <v>1946</v>
      </c>
    </row>
    <row r="724" spans="1:6" x14ac:dyDescent="0.25">
      <c r="A724" s="85">
        <v>46231</v>
      </c>
      <c r="B724" s="86" t="s">
        <v>1484</v>
      </c>
      <c r="C724" s="86">
        <v>5400</v>
      </c>
      <c r="D724" s="88" t="s">
        <v>1957</v>
      </c>
      <c r="E724" s="87" t="s">
        <v>1946</v>
      </c>
    </row>
    <row r="725" spans="1:6" x14ac:dyDescent="0.25">
      <c r="A725" s="85">
        <v>46232</v>
      </c>
      <c r="B725" s="86" t="s">
        <v>896</v>
      </c>
      <c r="C725" s="86">
        <v>500</v>
      </c>
      <c r="D725" s="88" t="s">
        <v>2065</v>
      </c>
      <c r="E725" s="87" t="s">
        <v>1946</v>
      </c>
      <c r="F725" s="101" t="s">
        <v>2066</v>
      </c>
    </row>
    <row r="726" spans="1:6" x14ac:dyDescent="0.25">
      <c r="A726" s="85">
        <v>46232</v>
      </c>
      <c r="B726" s="86" t="s">
        <v>1520</v>
      </c>
      <c r="C726" s="86">
        <v>5700</v>
      </c>
      <c r="D726" s="55" t="s">
        <v>1967</v>
      </c>
      <c r="E726" s="87" t="s">
        <v>1946</v>
      </c>
    </row>
    <row r="727" spans="1:6" x14ac:dyDescent="0.25">
      <c r="A727" s="85">
        <v>46232</v>
      </c>
      <c r="B727" s="86" t="s">
        <v>1520</v>
      </c>
      <c r="C727" s="86">
        <v>200</v>
      </c>
      <c r="D727" s="88" t="s">
        <v>2067</v>
      </c>
      <c r="E727" s="87" t="s">
        <v>1946</v>
      </c>
    </row>
    <row r="728" spans="1:6" x14ac:dyDescent="0.25">
      <c r="A728" s="85">
        <v>46232</v>
      </c>
      <c r="B728" s="86" t="s">
        <v>1495</v>
      </c>
      <c r="C728" s="86">
        <v>1500</v>
      </c>
      <c r="D728" s="55" t="s">
        <v>1952</v>
      </c>
      <c r="E728" s="87" t="s">
        <v>1946</v>
      </c>
    </row>
    <row r="729" spans="1:6" x14ac:dyDescent="0.25">
      <c r="A729" s="85">
        <v>46232</v>
      </c>
      <c r="B729" s="86" t="s">
        <v>1486</v>
      </c>
      <c r="C729" s="86">
        <v>5850</v>
      </c>
      <c r="D729" s="88" t="s">
        <v>69</v>
      </c>
      <c r="E729" s="87" t="s">
        <v>1946</v>
      </c>
    </row>
    <row r="730" spans="1:6" x14ac:dyDescent="0.25">
      <c r="A730" s="85">
        <v>46232</v>
      </c>
      <c r="B730" s="86" t="s">
        <v>1495</v>
      </c>
      <c r="C730" s="86">
        <v>5850</v>
      </c>
      <c r="D730" s="88" t="s">
        <v>69</v>
      </c>
      <c r="E730" s="87" t="s">
        <v>1946</v>
      </c>
    </row>
    <row r="731" spans="1:6" x14ac:dyDescent="0.25">
      <c r="A731" s="85">
        <v>46232</v>
      </c>
      <c r="B731" s="86" t="s">
        <v>2044</v>
      </c>
      <c r="C731" s="86">
        <v>5850</v>
      </c>
      <c r="D731" s="88" t="s">
        <v>69</v>
      </c>
      <c r="E731" s="87" t="s">
        <v>1946</v>
      </c>
    </row>
    <row r="732" spans="1:6" x14ac:dyDescent="0.25">
      <c r="A732" s="85">
        <v>46232</v>
      </c>
      <c r="B732" s="86" t="s">
        <v>1498</v>
      </c>
      <c r="C732" s="86">
        <v>7900</v>
      </c>
      <c r="D732" s="88" t="s">
        <v>1960</v>
      </c>
      <c r="E732" s="87" t="s">
        <v>1946</v>
      </c>
      <c r="F732" s="82" t="s">
        <v>2071</v>
      </c>
    </row>
    <row r="733" spans="1:6" x14ac:dyDescent="0.25">
      <c r="A733" s="85">
        <v>46232</v>
      </c>
      <c r="B733" s="86" t="s">
        <v>904</v>
      </c>
      <c r="C733" s="86">
        <v>5400</v>
      </c>
      <c r="D733" s="88" t="s">
        <v>1957</v>
      </c>
      <c r="E733" s="87" t="s">
        <v>1946</v>
      </c>
    </row>
    <row r="734" spans="1:6" x14ac:dyDescent="0.25">
      <c r="A734" s="85">
        <v>46232</v>
      </c>
      <c r="B734" s="86" t="s">
        <v>1484</v>
      </c>
      <c r="C734" s="86">
        <v>3700</v>
      </c>
      <c r="D734" s="55" t="s">
        <v>1948</v>
      </c>
      <c r="E734" s="87" t="s">
        <v>1946</v>
      </c>
    </row>
    <row r="735" spans="1:6" x14ac:dyDescent="0.25">
      <c r="A735" s="85">
        <v>46233</v>
      </c>
      <c r="B735" s="86" t="s">
        <v>896</v>
      </c>
      <c r="C735" s="86">
        <v>1500</v>
      </c>
      <c r="D735" s="55" t="s">
        <v>1952</v>
      </c>
      <c r="E735" s="87" t="s">
        <v>1946</v>
      </c>
    </row>
    <row r="736" spans="1:6" x14ac:dyDescent="0.25">
      <c r="A736" s="85">
        <v>46233</v>
      </c>
      <c r="B736" s="86" t="s">
        <v>1520</v>
      </c>
      <c r="C736" s="86">
        <v>5850</v>
      </c>
      <c r="D736" s="88" t="s">
        <v>69</v>
      </c>
      <c r="E736" s="87" t="s">
        <v>1946</v>
      </c>
    </row>
    <row r="737" spans="1:6" x14ac:dyDescent="0.25">
      <c r="A737" s="85">
        <v>46233</v>
      </c>
      <c r="B737" s="86" t="s">
        <v>1484</v>
      </c>
      <c r="C737" s="86">
        <v>5850</v>
      </c>
      <c r="D737" s="88" t="s">
        <v>69</v>
      </c>
      <c r="E737" s="87" t="s">
        <v>1946</v>
      </c>
    </row>
    <row r="738" spans="1:6" x14ac:dyDescent="0.25">
      <c r="A738" s="85">
        <v>46233</v>
      </c>
      <c r="B738" s="86" t="s">
        <v>904</v>
      </c>
      <c r="C738" s="86">
        <v>5850</v>
      </c>
      <c r="D738" s="88" t="s">
        <v>69</v>
      </c>
      <c r="E738" s="87" t="s">
        <v>1946</v>
      </c>
    </row>
    <row r="739" spans="1:6" x14ac:dyDescent="0.25">
      <c r="A739" s="85">
        <v>46233</v>
      </c>
      <c r="B739" s="86" t="s">
        <v>1486</v>
      </c>
      <c r="C739" s="86">
        <v>8100</v>
      </c>
      <c r="D739" s="55" t="s">
        <v>2018</v>
      </c>
      <c r="E739" s="87" t="s">
        <v>1946</v>
      </c>
    </row>
    <row r="740" spans="1:6" x14ac:dyDescent="0.25">
      <c r="A740" s="85">
        <v>46233</v>
      </c>
      <c r="B740" s="86" t="s">
        <v>896</v>
      </c>
      <c r="C740" s="86">
        <v>8100</v>
      </c>
      <c r="D740" s="55" t="s">
        <v>2018</v>
      </c>
      <c r="E740" s="87" t="s">
        <v>1946</v>
      </c>
    </row>
    <row r="741" spans="1:6" x14ac:dyDescent="0.25">
      <c r="A741" s="85">
        <v>46233</v>
      </c>
      <c r="B741" s="86" t="s">
        <v>2022</v>
      </c>
      <c r="C741" s="86">
        <v>8100</v>
      </c>
      <c r="D741" s="55" t="s">
        <v>2018</v>
      </c>
      <c r="E741" s="87" t="s">
        <v>1946</v>
      </c>
    </row>
    <row r="742" spans="1:6" x14ac:dyDescent="0.25">
      <c r="A742" s="85">
        <v>46233</v>
      </c>
      <c r="B742" s="86" t="s">
        <v>1495</v>
      </c>
      <c r="C742" s="86">
        <v>8100</v>
      </c>
      <c r="D742" s="55" t="s">
        <v>2018</v>
      </c>
      <c r="E742" s="87" t="s">
        <v>1946</v>
      </c>
    </row>
    <row r="743" spans="1:6" x14ac:dyDescent="0.25">
      <c r="A743" s="85">
        <v>46233</v>
      </c>
      <c r="B743" s="86" t="s">
        <v>1778</v>
      </c>
      <c r="C743" s="86">
        <v>5850</v>
      </c>
      <c r="D743" s="88" t="s">
        <v>69</v>
      </c>
      <c r="E743" s="87" t="s">
        <v>1946</v>
      </c>
    </row>
    <row r="744" spans="1:6" x14ac:dyDescent="0.25">
      <c r="A744" s="85">
        <v>46234</v>
      </c>
      <c r="B744" s="86" t="s">
        <v>1484</v>
      </c>
      <c r="C744" s="86">
        <v>1500</v>
      </c>
      <c r="D744" s="55" t="s">
        <v>1952</v>
      </c>
      <c r="E744" s="87" t="s">
        <v>1946</v>
      </c>
    </row>
    <row r="745" spans="1:6" x14ac:dyDescent="0.25">
      <c r="A745" s="85">
        <v>46234</v>
      </c>
      <c r="B745" s="86" t="s">
        <v>1484</v>
      </c>
      <c r="C745" s="86">
        <v>5600</v>
      </c>
      <c r="D745" s="88" t="s">
        <v>35</v>
      </c>
      <c r="E745" s="87" t="s">
        <v>1946</v>
      </c>
    </row>
    <row r="746" spans="1:6" x14ac:dyDescent="0.25">
      <c r="A746" s="85">
        <v>46235</v>
      </c>
      <c r="B746" s="86" t="s">
        <v>1520</v>
      </c>
      <c r="C746" s="86">
        <v>6000</v>
      </c>
      <c r="D746" s="88" t="s">
        <v>2068</v>
      </c>
      <c r="E746" s="87" t="s">
        <v>1946</v>
      </c>
      <c r="F746" s="82" t="s">
        <v>2069</v>
      </c>
    </row>
    <row r="747" spans="1:6" x14ac:dyDescent="0.25">
      <c r="A747" s="85">
        <v>46235</v>
      </c>
      <c r="B747" s="86" t="s">
        <v>1486</v>
      </c>
      <c r="C747" s="86">
        <v>5850</v>
      </c>
      <c r="D747" s="88" t="s">
        <v>69</v>
      </c>
      <c r="E747" s="87" t="s">
        <v>1946</v>
      </c>
    </row>
    <row r="748" spans="1:6" x14ac:dyDescent="0.25">
      <c r="A748" s="85">
        <v>46235</v>
      </c>
      <c r="B748" s="86" t="s">
        <v>1778</v>
      </c>
      <c r="C748" s="86">
        <v>5850</v>
      </c>
      <c r="D748" s="88" t="s">
        <v>69</v>
      </c>
      <c r="E748" s="87" t="s">
        <v>1946</v>
      </c>
    </row>
    <row r="749" spans="1:6" x14ac:dyDescent="0.25">
      <c r="A749" s="85">
        <v>46235</v>
      </c>
      <c r="B749" s="86" t="s">
        <v>2044</v>
      </c>
      <c r="C749" s="86">
        <v>5850</v>
      </c>
      <c r="D749" s="88" t="s">
        <v>69</v>
      </c>
      <c r="E749" s="87" t="s">
        <v>1946</v>
      </c>
    </row>
    <row r="750" spans="1:6" x14ac:dyDescent="0.25">
      <c r="A750" s="85">
        <v>46235</v>
      </c>
      <c r="B750" s="86" t="s">
        <v>904</v>
      </c>
      <c r="C750" s="86">
        <v>5400</v>
      </c>
      <c r="D750" s="88" t="s">
        <v>1957</v>
      </c>
      <c r="E750" s="87" t="s">
        <v>1946</v>
      </c>
    </row>
    <row r="751" spans="1:6" x14ac:dyDescent="0.25">
      <c r="A751" s="85">
        <v>46235</v>
      </c>
      <c r="B751" s="86" t="s">
        <v>1484</v>
      </c>
      <c r="C751" s="86">
        <v>5400</v>
      </c>
      <c r="D751" s="55" t="s">
        <v>2057</v>
      </c>
      <c r="E751" s="87" t="s">
        <v>1946</v>
      </c>
    </row>
    <row r="752" spans="1:6" x14ac:dyDescent="0.25">
      <c r="A752" s="85">
        <v>46237</v>
      </c>
      <c r="B752" s="86" t="s">
        <v>2044</v>
      </c>
      <c r="C752" s="86">
        <v>1500</v>
      </c>
      <c r="D752" s="55" t="s">
        <v>1952</v>
      </c>
      <c r="E752" s="87" t="s">
        <v>1946</v>
      </c>
    </row>
    <row r="753" spans="1:6" x14ac:dyDescent="0.25">
      <c r="A753" s="85">
        <v>46237</v>
      </c>
      <c r="B753" s="86" t="s">
        <v>1778</v>
      </c>
      <c r="C753" s="86">
        <v>1900</v>
      </c>
      <c r="D753" s="55" t="s">
        <v>1952</v>
      </c>
      <c r="E753" s="87" t="s">
        <v>1946</v>
      </c>
    </row>
    <row r="754" spans="1:6" x14ac:dyDescent="0.25">
      <c r="A754" s="85">
        <v>46237</v>
      </c>
      <c r="B754" s="86" t="s">
        <v>1495</v>
      </c>
      <c r="C754" s="86">
        <v>2200</v>
      </c>
      <c r="D754" s="88" t="s">
        <v>1962</v>
      </c>
      <c r="E754" s="87" t="s">
        <v>1946</v>
      </c>
    </row>
    <row r="755" spans="1:6" x14ac:dyDescent="0.25">
      <c r="A755" s="85">
        <v>46237</v>
      </c>
      <c r="B755" s="86" t="s">
        <v>1486</v>
      </c>
      <c r="C755" s="86">
        <v>8100</v>
      </c>
      <c r="D755" s="55" t="s">
        <v>2018</v>
      </c>
      <c r="E755" s="87" t="s">
        <v>1946</v>
      </c>
    </row>
    <row r="756" spans="1:6" x14ac:dyDescent="0.25">
      <c r="A756" s="85">
        <v>46237</v>
      </c>
      <c r="B756" s="86" t="s">
        <v>2022</v>
      </c>
      <c r="C756" s="86">
        <v>8100</v>
      </c>
      <c r="D756" s="55" t="s">
        <v>2018</v>
      </c>
      <c r="E756" s="87" t="s">
        <v>1946</v>
      </c>
    </row>
    <row r="757" spans="1:6" x14ac:dyDescent="0.25">
      <c r="A757" s="85">
        <v>46237</v>
      </c>
      <c r="B757" s="86" t="s">
        <v>896</v>
      </c>
      <c r="C757" s="86">
        <v>5850</v>
      </c>
      <c r="D757" s="88" t="s">
        <v>69</v>
      </c>
      <c r="E757" s="87" t="s">
        <v>1946</v>
      </c>
    </row>
    <row r="758" spans="1:6" x14ac:dyDescent="0.25">
      <c r="A758" s="85">
        <v>46237</v>
      </c>
      <c r="B758" s="86" t="s">
        <v>2044</v>
      </c>
      <c r="C758" s="86">
        <v>5850</v>
      </c>
      <c r="D758" s="88" t="s">
        <v>69</v>
      </c>
      <c r="E758" s="87" t="s">
        <v>1946</v>
      </c>
    </row>
    <row r="759" spans="1:6" x14ac:dyDescent="0.25">
      <c r="A759" s="85">
        <v>46237</v>
      </c>
      <c r="B759" s="86" t="s">
        <v>1520</v>
      </c>
      <c r="C759" s="86">
        <v>5000</v>
      </c>
      <c r="D759" s="88" t="s">
        <v>2115</v>
      </c>
      <c r="E759" s="87" t="s">
        <v>1946</v>
      </c>
      <c r="F759" s="82" t="s">
        <v>2070</v>
      </c>
    </row>
    <row r="760" spans="1:6" x14ac:dyDescent="0.25">
      <c r="A760" s="85">
        <v>46237</v>
      </c>
      <c r="B760" s="86" t="s">
        <v>1778</v>
      </c>
      <c r="C760" s="86">
        <v>2500</v>
      </c>
      <c r="D760" s="88" t="s">
        <v>2096</v>
      </c>
      <c r="E760" s="87" t="s">
        <v>1946</v>
      </c>
    </row>
    <row r="761" spans="1:6" x14ac:dyDescent="0.25">
      <c r="A761" s="85">
        <v>46238</v>
      </c>
      <c r="B761" s="86" t="s">
        <v>1495</v>
      </c>
      <c r="C761" s="86">
        <v>1000</v>
      </c>
      <c r="D761" s="88" t="s">
        <v>1951</v>
      </c>
      <c r="E761" s="87" t="s">
        <v>1946</v>
      </c>
    </row>
    <row r="762" spans="1:6" x14ac:dyDescent="0.25">
      <c r="A762" s="85">
        <v>46238</v>
      </c>
      <c r="B762" s="86" t="s">
        <v>1495</v>
      </c>
      <c r="C762" s="86">
        <v>700</v>
      </c>
      <c r="D762" s="88" t="s">
        <v>1951</v>
      </c>
      <c r="E762" s="87" t="s">
        <v>1946</v>
      </c>
    </row>
    <row r="763" spans="1:6" x14ac:dyDescent="0.25">
      <c r="A763" s="85">
        <v>46238</v>
      </c>
      <c r="B763" s="86" t="s">
        <v>1486</v>
      </c>
      <c r="C763" s="86">
        <v>1900</v>
      </c>
      <c r="D763" s="55" t="s">
        <v>1952</v>
      </c>
      <c r="E763" s="87" t="s">
        <v>1946</v>
      </c>
    </row>
    <row r="764" spans="1:6" x14ac:dyDescent="0.25">
      <c r="A764" s="85">
        <v>46238</v>
      </c>
      <c r="B764" s="86" t="s">
        <v>2022</v>
      </c>
      <c r="C764" s="86">
        <v>1900</v>
      </c>
      <c r="D764" s="55" t="s">
        <v>1952</v>
      </c>
      <c r="E764" s="87" t="s">
        <v>1946</v>
      </c>
    </row>
    <row r="765" spans="1:6" x14ac:dyDescent="0.25">
      <c r="A765" s="85">
        <v>46239</v>
      </c>
      <c r="B765" s="86" t="s">
        <v>1498</v>
      </c>
      <c r="C765" s="86">
        <f>5850-4900</f>
        <v>950</v>
      </c>
      <c r="D765" s="88" t="s">
        <v>69</v>
      </c>
      <c r="E765" s="87" t="s">
        <v>1946</v>
      </c>
      <c r="F765" s="82" t="s">
        <v>2072</v>
      </c>
    </row>
    <row r="766" spans="1:6" x14ac:dyDescent="0.25">
      <c r="A766" s="85">
        <v>46239</v>
      </c>
      <c r="B766" s="86" t="s">
        <v>1495</v>
      </c>
      <c r="C766" s="86">
        <v>1000</v>
      </c>
      <c r="D766" s="88" t="s">
        <v>1951</v>
      </c>
      <c r="E766" s="87" t="s">
        <v>1946</v>
      </c>
    </row>
    <row r="767" spans="1:6" x14ac:dyDescent="0.25">
      <c r="A767" s="85">
        <v>46239</v>
      </c>
      <c r="B767" s="86" t="s">
        <v>1484</v>
      </c>
      <c r="C767" s="86" t="s">
        <v>2092</v>
      </c>
      <c r="D767" s="88" t="s">
        <v>2093</v>
      </c>
      <c r="E767" s="87" t="s">
        <v>1946</v>
      </c>
      <c r="F767" s="82" t="s">
        <v>2094</v>
      </c>
    </row>
    <row r="768" spans="1:6" x14ac:dyDescent="0.25">
      <c r="A768" s="85">
        <v>46239</v>
      </c>
      <c r="B768" s="86" t="s">
        <v>1778</v>
      </c>
      <c r="C768" s="86">
        <v>5400</v>
      </c>
      <c r="D768" s="88" t="s">
        <v>1957</v>
      </c>
      <c r="E768" s="87" t="s">
        <v>1946</v>
      </c>
    </row>
    <row r="769" spans="1:6" x14ac:dyDescent="0.25">
      <c r="A769" s="85">
        <v>46239</v>
      </c>
      <c r="B769" s="86" t="s">
        <v>2022</v>
      </c>
      <c r="C769" s="86">
        <v>5400</v>
      </c>
      <c r="D769" s="88" t="s">
        <v>1957</v>
      </c>
      <c r="E769" s="87" t="s">
        <v>1946</v>
      </c>
    </row>
    <row r="770" spans="1:6" x14ac:dyDescent="0.25">
      <c r="A770" s="85">
        <v>46239</v>
      </c>
      <c r="B770" s="86" t="s">
        <v>1498</v>
      </c>
      <c r="C770" s="86">
        <v>1900</v>
      </c>
      <c r="D770" s="55" t="s">
        <v>1952</v>
      </c>
      <c r="E770" s="87" t="s">
        <v>1946</v>
      </c>
    </row>
    <row r="771" spans="1:6" x14ac:dyDescent="0.25">
      <c r="A771" s="85">
        <v>46239</v>
      </c>
      <c r="B771" s="86" t="s">
        <v>2095</v>
      </c>
      <c r="C771" s="86">
        <v>2500</v>
      </c>
      <c r="D771" s="88" t="s">
        <v>2106</v>
      </c>
      <c r="E771" s="87" t="s">
        <v>1946</v>
      </c>
      <c r="F771" s="82" t="s">
        <v>2111</v>
      </c>
    </row>
    <row r="772" spans="1:6" x14ac:dyDescent="0.25">
      <c r="A772" s="85">
        <v>46239</v>
      </c>
      <c r="B772" s="86" t="s">
        <v>1520</v>
      </c>
      <c r="C772" s="86">
        <v>3000</v>
      </c>
      <c r="D772" s="88" t="s">
        <v>2097</v>
      </c>
      <c r="E772" s="87" t="s">
        <v>1946</v>
      </c>
    </row>
    <row r="773" spans="1:6" x14ac:dyDescent="0.25">
      <c r="A773" s="85">
        <v>46239</v>
      </c>
      <c r="B773" s="86" t="s">
        <v>896</v>
      </c>
      <c r="C773" s="86">
        <v>0</v>
      </c>
      <c r="D773" s="55" t="s">
        <v>1952</v>
      </c>
      <c r="E773" s="87" t="s">
        <v>1946</v>
      </c>
      <c r="F773" s="82" t="s">
        <v>2098</v>
      </c>
    </row>
    <row r="774" spans="1:6" x14ac:dyDescent="0.25">
      <c r="A774" s="85">
        <v>46239</v>
      </c>
      <c r="B774" s="86" t="s">
        <v>896</v>
      </c>
      <c r="C774" s="86">
        <v>5200</v>
      </c>
      <c r="D774" s="88" t="s">
        <v>1957</v>
      </c>
      <c r="E774" s="87" t="s">
        <v>1946</v>
      </c>
      <c r="F774" s="82" t="s">
        <v>2099</v>
      </c>
    </row>
    <row r="775" spans="1:6" x14ac:dyDescent="0.25">
      <c r="A775" s="85">
        <v>46240</v>
      </c>
      <c r="B775" s="86" t="s">
        <v>1484</v>
      </c>
      <c r="C775" s="86">
        <v>6400</v>
      </c>
      <c r="D775" s="88" t="s">
        <v>2093</v>
      </c>
      <c r="E775" s="87" t="s">
        <v>1946</v>
      </c>
      <c r="F775" s="82" t="s">
        <v>2103</v>
      </c>
    </row>
    <row r="776" spans="1:6" x14ac:dyDescent="0.25">
      <c r="A776" s="85">
        <v>46240</v>
      </c>
      <c r="B776" s="86" t="s">
        <v>1484</v>
      </c>
      <c r="C776" s="86">
        <v>2000</v>
      </c>
      <c r="D776" s="88" t="s">
        <v>2104</v>
      </c>
      <c r="E776" s="87" t="s">
        <v>1946</v>
      </c>
    </row>
    <row r="777" spans="1:6" x14ac:dyDescent="0.25">
      <c r="A777" s="85">
        <v>46240</v>
      </c>
      <c r="B777" s="86" t="s">
        <v>1498</v>
      </c>
      <c r="C777" s="86">
        <v>5600</v>
      </c>
      <c r="D777" s="88" t="s">
        <v>35</v>
      </c>
      <c r="E777" s="87" t="s">
        <v>1946</v>
      </c>
    </row>
    <row r="778" spans="1:6" x14ac:dyDescent="0.25">
      <c r="A778" s="85">
        <v>46240</v>
      </c>
      <c r="B778" s="86" t="s">
        <v>1495</v>
      </c>
      <c r="C778" s="86" t="s">
        <v>2105</v>
      </c>
      <c r="D778" s="88" t="s">
        <v>1955</v>
      </c>
      <c r="E778" s="87" t="s">
        <v>1946</v>
      </c>
    </row>
    <row r="779" spans="1:6" x14ac:dyDescent="0.25">
      <c r="A779" s="85">
        <v>46240</v>
      </c>
      <c r="B779" s="86" t="s">
        <v>904</v>
      </c>
      <c r="C779" s="86">
        <v>5850</v>
      </c>
      <c r="D779" s="88" t="s">
        <v>69</v>
      </c>
      <c r="E779" s="87" t="s">
        <v>1946</v>
      </c>
    </row>
    <row r="780" spans="1:6" x14ac:dyDescent="0.25">
      <c r="A780" s="85">
        <v>46240</v>
      </c>
      <c r="B780" s="86" t="s">
        <v>1486</v>
      </c>
      <c r="C780" s="86">
        <v>8100</v>
      </c>
      <c r="D780" s="55" t="s">
        <v>2018</v>
      </c>
      <c r="E780" s="87" t="s">
        <v>1946</v>
      </c>
    </row>
    <row r="781" spans="1:6" x14ac:dyDescent="0.25">
      <c r="A781" s="85">
        <v>46240</v>
      </c>
      <c r="B781" s="86" t="s">
        <v>2044</v>
      </c>
      <c r="C781" s="86">
        <v>8100</v>
      </c>
      <c r="D781" s="55" t="s">
        <v>2018</v>
      </c>
      <c r="E781" s="87" t="s">
        <v>1946</v>
      </c>
    </row>
    <row r="782" spans="1:6" x14ac:dyDescent="0.25">
      <c r="A782" s="85">
        <v>46241</v>
      </c>
      <c r="B782" s="86" t="s">
        <v>1778</v>
      </c>
      <c r="C782" s="86">
        <v>3700</v>
      </c>
      <c r="D782" s="55" t="s">
        <v>1948</v>
      </c>
      <c r="E782" s="87" t="s">
        <v>1946</v>
      </c>
    </row>
    <row r="783" spans="1:6" x14ac:dyDescent="0.25">
      <c r="A783" s="85">
        <v>46241</v>
      </c>
      <c r="B783" s="86" t="s">
        <v>2022</v>
      </c>
      <c r="C783" s="86">
        <v>3700</v>
      </c>
      <c r="D783" s="55" t="s">
        <v>1948</v>
      </c>
      <c r="E783" s="87" t="s">
        <v>1946</v>
      </c>
    </row>
    <row r="784" spans="1:6" x14ac:dyDescent="0.25">
      <c r="A784" s="85">
        <v>46241</v>
      </c>
      <c r="B784" s="86" t="s">
        <v>896</v>
      </c>
      <c r="C784" s="86">
        <v>3700</v>
      </c>
      <c r="D784" s="55" t="s">
        <v>1948</v>
      </c>
      <c r="E784" s="87" t="s">
        <v>1946</v>
      </c>
    </row>
    <row r="785" spans="1:6" x14ac:dyDescent="0.25">
      <c r="A785" s="85">
        <v>46241</v>
      </c>
      <c r="B785" s="86" t="s">
        <v>2044</v>
      </c>
      <c r="C785" s="86">
        <v>1500</v>
      </c>
      <c r="D785" s="55" t="s">
        <v>1952</v>
      </c>
      <c r="E785" s="87" t="s">
        <v>1946</v>
      </c>
    </row>
    <row r="786" spans="1:6" x14ac:dyDescent="0.25">
      <c r="A786" s="85">
        <v>46241</v>
      </c>
      <c r="B786" s="86" t="s">
        <v>2095</v>
      </c>
      <c r="C786" s="86">
        <v>4100</v>
      </c>
      <c r="D786" s="88" t="s">
        <v>2106</v>
      </c>
      <c r="E786" s="87" t="s">
        <v>1946</v>
      </c>
      <c r="F786" s="82" t="s">
        <v>2107</v>
      </c>
    </row>
    <row r="787" spans="1:6" x14ac:dyDescent="0.25">
      <c r="A787" s="85">
        <v>46241</v>
      </c>
      <c r="B787" s="86" t="s">
        <v>2095</v>
      </c>
      <c r="C787" s="86">
        <v>2000</v>
      </c>
      <c r="D787" s="88" t="s">
        <v>2108</v>
      </c>
      <c r="E787" s="87" t="s">
        <v>1946</v>
      </c>
    </row>
    <row r="788" spans="1:6" x14ac:dyDescent="0.25">
      <c r="A788" s="85">
        <v>46241</v>
      </c>
      <c r="B788" s="86" t="s">
        <v>1484</v>
      </c>
      <c r="C788" s="86">
        <v>8700</v>
      </c>
      <c r="D788" s="88" t="s">
        <v>2059</v>
      </c>
      <c r="E788" s="87" t="s">
        <v>1946</v>
      </c>
      <c r="F788" s="102" t="s">
        <v>2109</v>
      </c>
    </row>
    <row r="789" spans="1:6" x14ac:dyDescent="0.25">
      <c r="A789" s="85">
        <v>46241</v>
      </c>
      <c r="B789" s="86" t="s">
        <v>2095</v>
      </c>
      <c r="C789" s="86">
        <v>10000</v>
      </c>
      <c r="D789" s="88" t="s">
        <v>2112</v>
      </c>
      <c r="E789" s="87" t="s">
        <v>1946</v>
      </c>
      <c r="F789" s="82" t="s">
        <v>2113</v>
      </c>
    </row>
    <row r="790" spans="1:6" x14ac:dyDescent="0.25">
      <c r="A790" s="85">
        <v>46242</v>
      </c>
      <c r="B790" s="86" t="s">
        <v>2044</v>
      </c>
      <c r="C790" s="86">
        <v>400</v>
      </c>
      <c r="D790" s="55" t="s">
        <v>1952</v>
      </c>
      <c r="E790" s="87" t="s">
        <v>1946</v>
      </c>
      <c r="F790" s="82" t="s">
        <v>2110</v>
      </c>
    </row>
    <row r="791" spans="1:6" x14ac:dyDescent="0.25">
      <c r="A791" s="85">
        <v>46242</v>
      </c>
      <c r="B791" s="86" t="s">
        <v>2044</v>
      </c>
      <c r="C791" s="86">
        <v>7900</v>
      </c>
      <c r="D791" s="88" t="s">
        <v>1960</v>
      </c>
      <c r="E791" s="87" t="s">
        <v>1946</v>
      </c>
    </row>
    <row r="792" spans="1:6" x14ac:dyDescent="0.25">
      <c r="A792" s="85">
        <v>46242</v>
      </c>
      <c r="B792" s="86" t="s">
        <v>2022</v>
      </c>
      <c r="C792" s="86">
        <v>7900</v>
      </c>
      <c r="D792" s="88" t="s">
        <v>1960</v>
      </c>
      <c r="E792" s="87" t="s">
        <v>1946</v>
      </c>
    </row>
    <row r="793" spans="1:6" x14ac:dyDescent="0.25">
      <c r="A793" s="85">
        <v>46242</v>
      </c>
      <c r="B793" s="86" t="s">
        <v>1778</v>
      </c>
      <c r="C793" s="86">
        <v>7900</v>
      </c>
      <c r="D793" s="88" t="s">
        <v>1960</v>
      </c>
      <c r="E793" s="87" t="s">
        <v>1946</v>
      </c>
    </row>
    <row r="794" spans="1:6" x14ac:dyDescent="0.25">
      <c r="A794" s="85">
        <v>46242</v>
      </c>
      <c r="B794" s="86" t="s">
        <v>1486</v>
      </c>
      <c r="C794" s="86">
        <v>5850</v>
      </c>
      <c r="D794" s="88" t="s">
        <v>69</v>
      </c>
      <c r="E794" s="87" t="s">
        <v>1946</v>
      </c>
      <c r="F794" s="82" t="s">
        <v>2118</v>
      </c>
    </row>
    <row r="795" spans="1:6" x14ac:dyDescent="0.25">
      <c r="A795" s="85">
        <v>46242</v>
      </c>
      <c r="B795" s="86" t="s">
        <v>1495</v>
      </c>
      <c r="C795" s="86">
        <v>5850</v>
      </c>
      <c r="D795" s="88" t="s">
        <v>69</v>
      </c>
      <c r="E795" s="87" t="s">
        <v>1946</v>
      </c>
    </row>
    <row r="796" spans="1:6" x14ac:dyDescent="0.25">
      <c r="A796" s="85">
        <v>46242</v>
      </c>
      <c r="B796" s="86" t="s">
        <v>1498</v>
      </c>
      <c r="C796" s="86">
        <f>3950+200</f>
        <v>4150</v>
      </c>
      <c r="D796" s="88" t="s">
        <v>1972</v>
      </c>
      <c r="E796" s="87" t="s">
        <v>1946</v>
      </c>
    </row>
    <row r="797" spans="1:6" x14ac:dyDescent="0.25">
      <c r="A797" s="85">
        <v>46242</v>
      </c>
      <c r="B797" s="86" t="s">
        <v>896</v>
      </c>
      <c r="C797" s="86">
        <v>5850</v>
      </c>
      <c r="D797" s="88" t="s">
        <v>69</v>
      </c>
      <c r="E797" s="87" t="s">
        <v>1946</v>
      </c>
    </row>
    <row r="798" spans="1:6" x14ac:dyDescent="0.25">
      <c r="A798" s="85">
        <v>46242</v>
      </c>
      <c r="B798" s="86" t="s">
        <v>1520</v>
      </c>
      <c r="C798" s="86">
        <v>5000</v>
      </c>
      <c r="D798" s="88" t="s">
        <v>2114</v>
      </c>
      <c r="E798" s="87" t="s">
        <v>1946</v>
      </c>
    </row>
    <row r="799" spans="1:6" x14ac:dyDescent="0.25">
      <c r="A799" s="85">
        <v>46242</v>
      </c>
      <c r="B799" s="86" t="s">
        <v>1484</v>
      </c>
      <c r="C799" s="86">
        <v>1000</v>
      </c>
      <c r="D799" s="88" t="s">
        <v>2116</v>
      </c>
      <c r="E799" s="87" t="s">
        <v>1946</v>
      </c>
    </row>
    <row r="800" spans="1:6" x14ac:dyDescent="0.25">
      <c r="A800" s="85">
        <v>46242</v>
      </c>
      <c r="B800" s="86" t="s">
        <v>2095</v>
      </c>
      <c r="C800" s="86">
        <v>1000</v>
      </c>
      <c r="D800" s="88" t="s">
        <v>2117</v>
      </c>
      <c r="E800" s="87" t="s">
        <v>1946</v>
      </c>
    </row>
    <row r="801" spans="1:6" x14ac:dyDescent="0.25">
      <c r="A801" s="85">
        <v>46244</v>
      </c>
      <c r="B801" s="86" t="s">
        <v>1486</v>
      </c>
      <c r="C801" s="86">
        <v>5050</v>
      </c>
      <c r="D801" s="88" t="s">
        <v>270</v>
      </c>
      <c r="E801" s="87" t="s">
        <v>1946</v>
      </c>
    </row>
    <row r="802" spans="1:6" x14ac:dyDescent="0.25">
      <c r="A802" s="85">
        <v>46244</v>
      </c>
      <c r="B802" s="86" t="s">
        <v>2044</v>
      </c>
      <c r="C802" s="86">
        <v>1000</v>
      </c>
      <c r="D802" s="88" t="s">
        <v>1950</v>
      </c>
      <c r="E802" s="87" t="s">
        <v>1946</v>
      </c>
    </row>
    <row r="803" spans="1:6" x14ac:dyDescent="0.25">
      <c r="A803" s="85">
        <v>46244</v>
      </c>
      <c r="B803" s="86" t="s">
        <v>1778</v>
      </c>
      <c r="C803" s="86">
        <v>1000</v>
      </c>
      <c r="D803" s="88" t="s">
        <v>1950</v>
      </c>
      <c r="E803" s="87" t="s">
        <v>1946</v>
      </c>
    </row>
    <row r="804" spans="1:6" x14ac:dyDescent="0.25">
      <c r="A804" s="85">
        <v>46244</v>
      </c>
      <c r="B804" s="86" t="s">
        <v>2022</v>
      </c>
      <c r="C804" s="86">
        <v>1000</v>
      </c>
      <c r="D804" s="88" t="s">
        <v>1950</v>
      </c>
      <c r="E804" s="87" t="s">
        <v>1946</v>
      </c>
    </row>
    <row r="805" spans="1:6" x14ac:dyDescent="0.25">
      <c r="A805" s="85">
        <v>46244</v>
      </c>
      <c r="B805" s="86" t="s">
        <v>1484</v>
      </c>
      <c r="C805" s="86">
        <v>1000</v>
      </c>
      <c r="D805" s="88" t="s">
        <v>1950</v>
      </c>
      <c r="E805" s="87" t="s">
        <v>1946</v>
      </c>
    </row>
    <row r="806" spans="1:6" x14ac:dyDescent="0.25">
      <c r="A806" s="85">
        <v>46244</v>
      </c>
      <c r="B806" s="86" t="s">
        <v>2095</v>
      </c>
      <c r="C806" s="86">
        <v>5850</v>
      </c>
      <c r="D806" s="88" t="s">
        <v>69</v>
      </c>
      <c r="E806" s="87" t="s">
        <v>1946</v>
      </c>
    </row>
    <row r="807" spans="1:6" x14ac:dyDescent="0.25">
      <c r="A807" s="85">
        <v>46244</v>
      </c>
      <c r="B807" s="86" t="s">
        <v>904</v>
      </c>
      <c r="C807" s="86">
        <v>5850</v>
      </c>
      <c r="D807" s="88" t="s">
        <v>69</v>
      </c>
      <c r="E807" s="87" t="s">
        <v>1946</v>
      </c>
    </row>
    <row r="808" spans="1:6" x14ac:dyDescent="0.25">
      <c r="A808" s="85">
        <v>46244</v>
      </c>
      <c r="B808" s="86" t="s">
        <v>1484</v>
      </c>
      <c r="C808" s="86">
        <v>5850</v>
      </c>
      <c r="D808" s="88" t="s">
        <v>69</v>
      </c>
      <c r="E808" s="87" t="s">
        <v>1946</v>
      </c>
    </row>
    <row r="809" spans="1:6" x14ac:dyDescent="0.25">
      <c r="A809" s="85">
        <v>46244</v>
      </c>
      <c r="B809" s="86" t="s">
        <v>1486</v>
      </c>
      <c r="C809" s="86">
        <v>5850</v>
      </c>
      <c r="D809" s="88" t="s">
        <v>69</v>
      </c>
      <c r="E809" s="87" t="s">
        <v>1946</v>
      </c>
    </row>
    <row r="810" spans="1:6" x14ac:dyDescent="0.25">
      <c r="A810" s="85">
        <v>46244</v>
      </c>
      <c r="B810" s="86" t="s">
        <v>1520</v>
      </c>
      <c r="C810" s="86">
        <f>4000+500+1500</f>
        <v>6000</v>
      </c>
      <c r="D810" s="88" t="s">
        <v>2120</v>
      </c>
      <c r="E810" s="87" t="s">
        <v>1946</v>
      </c>
      <c r="F810" s="82" t="s">
        <v>2119</v>
      </c>
    </row>
    <row r="811" spans="1:6" x14ac:dyDescent="0.25">
      <c r="A811" s="85">
        <v>46244</v>
      </c>
      <c r="B811" s="86" t="s">
        <v>1495</v>
      </c>
      <c r="C811" s="86">
        <v>1900</v>
      </c>
      <c r="D811" s="55" t="s">
        <v>1952</v>
      </c>
      <c r="E811" s="87" t="s">
        <v>1946</v>
      </c>
    </row>
    <row r="812" spans="1:6" x14ac:dyDescent="0.25">
      <c r="A812" s="85">
        <v>46244</v>
      </c>
      <c r="B812" s="86" t="s">
        <v>896</v>
      </c>
      <c r="C812" s="86">
        <v>1900</v>
      </c>
      <c r="D812" s="55" t="s">
        <v>1952</v>
      </c>
      <c r="E812" s="87" t="s">
        <v>1946</v>
      </c>
    </row>
    <row r="813" spans="1:6" x14ac:dyDescent="0.25">
      <c r="A813" s="85">
        <v>46244</v>
      </c>
      <c r="B813" s="86" t="s">
        <v>1498</v>
      </c>
      <c r="C813" s="86">
        <v>8100</v>
      </c>
      <c r="D813" s="55" t="s">
        <v>2018</v>
      </c>
      <c r="E813" s="87" t="s">
        <v>1946</v>
      </c>
    </row>
    <row r="814" spans="1:6" x14ac:dyDescent="0.25">
      <c r="A814" s="85">
        <v>46245</v>
      </c>
      <c r="B814" s="86" t="s">
        <v>2022</v>
      </c>
      <c r="C814" s="86">
        <v>200</v>
      </c>
      <c r="D814" s="88" t="s">
        <v>2121</v>
      </c>
      <c r="E814" s="87" t="s">
        <v>1946</v>
      </c>
    </row>
    <row r="815" spans="1:6" x14ac:dyDescent="0.25">
      <c r="A815" s="85">
        <v>46245</v>
      </c>
      <c r="B815" s="86" t="s">
        <v>896</v>
      </c>
      <c r="C815" s="86">
        <v>5400</v>
      </c>
      <c r="D815" s="88" t="s">
        <v>1957</v>
      </c>
      <c r="E815" s="87" t="s">
        <v>1946</v>
      </c>
    </row>
    <row r="816" spans="1:6" x14ac:dyDescent="0.25">
      <c r="A816" s="85">
        <v>46245</v>
      </c>
      <c r="B816" s="86" t="s">
        <v>1778</v>
      </c>
      <c r="C816" s="86">
        <v>5850</v>
      </c>
      <c r="D816" s="88" t="s">
        <v>69</v>
      </c>
      <c r="E816" s="87" t="s">
        <v>1946</v>
      </c>
    </row>
    <row r="817" spans="1:6" x14ac:dyDescent="0.25">
      <c r="A817" s="85">
        <v>46245</v>
      </c>
      <c r="B817" s="86" t="s">
        <v>2044</v>
      </c>
      <c r="C817" s="86">
        <v>5850</v>
      </c>
      <c r="D817" s="88" t="s">
        <v>69</v>
      </c>
      <c r="E817" s="87" t="s">
        <v>1946</v>
      </c>
    </row>
    <row r="818" spans="1:6" x14ac:dyDescent="0.25">
      <c r="A818" s="85">
        <v>46245</v>
      </c>
      <c r="B818" s="86" t="s">
        <v>1495</v>
      </c>
      <c r="C818" s="86">
        <v>5850</v>
      </c>
      <c r="D818" s="88" t="s">
        <v>69</v>
      </c>
      <c r="E818" s="87" t="s">
        <v>1946</v>
      </c>
    </row>
    <row r="819" spans="1:6" x14ac:dyDescent="0.25">
      <c r="A819" s="85">
        <v>46245</v>
      </c>
      <c r="B819" s="86" t="s">
        <v>2095</v>
      </c>
      <c r="C819" s="86">
        <v>8100</v>
      </c>
      <c r="D819" s="55" t="s">
        <v>2018</v>
      </c>
      <c r="E819" s="87" t="s">
        <v>1946</v>
      </c>
    </row>
    <row r="820" spans="1:6" x14ac:dyDescent="0.25">
      <c r="A820" s="85">
        <v>46245</v>
      </c>
      <c r="B820" s="86" t="s">
        <v>1484</v>
      </c>
      <c r="C820" s="86">
        <v>0</v>
      </c>
      <c r="D820" s="55" t="s">
        <v>1952</v>
      </c>
      <c r="E820" s="87" t="s">
        <v>1946</v>
      </c>
      <c r="F820" s="82" t="s">
        <v>2122</v>
      </c>
    </row>
    <row r="821" spans="1:6" x14ac:dyDescent="0.25">
      <c r="A821" s="85">
        <v>46245</v>
      </c>
      <c r="B821" s="86" t="s">
        <v>1484</v>
      </c>
      <c r="C821" s="86">
        <v>5200</v>
      </c>
      <c r="D821" s="88" t="s">
        <v>1957</v>
      </c>
      <c r="E821" s="87" t="s">
        <v>1946</v>
      </c>
      <c r="F821" s="82" t="s">
        <v>2123</v>
      </c>
    </row>
    <row r="822" spans="1:6" x14ac:dyDescent="0.25">
      <c r="A822" s="85">
        <v>46245</v>
      </c>
      <c r="B822" s="86" t="s">
        <v>904</v>
      </c>
      <c r="C822" s="86">
        <v>5400</v>
      </c>
      <c r="D822" s="88" t="s">
        <v>1957</v>
      </c>
      <c r="E822" s="87" t="s">
        <v>1946</v>
      </c>
    </row>
    <row r="823" spans="1:6" x14ac:dyDescent="0.25">
      <c r="A823" s="85">
        <v>46245</v>
      </c>
      <c r="B823" s="86" t="s">
        <v>1520</v>
      </c>
      <c r="C823" s="86">
        <v>1500</v>
      </c>
      <c r="D823" s="88" t="s">
        <v>2124</v>
      </c>
      <c r="E823" s="87" t="s">
        <v>1946</v>
      </c>
    </row>
    <row r="824" spans="1:6" x14ac:dyDescent="0.25">
      <c r="A824" s="85">
        <v>46246</v>
      </c>
      <c r="B824" s="86" t="s">
        <v>1486</v>
      </c>
      <c r="C824" s="86">
        <v>5850</v>
      </c>
      <c r="D824" s="88" t="s">
        <v>69</v>
      </c>
      <c r="E824" s="87" t="s">
        <v>1946</v>
      </c>
    </row>
    <row r="825" spans="1:6" x14ac:dyDescent="0.25">
      <c r="A825" s="85">
        <v>46246</v>
      </c>
      <c r="B825" s="86" t="s">
        <v>1495</v>
      </c>
      <c r="C825" s="86">
        <v>2200</v>
      </c>
      <c r="D825" s="88" t="s">
        <v>1962</v>
      </c>
      <c r="E825" s="87" t="s">
        <v>1946</v>
      </c>
    </row>
    <row r="826" spans="1:6" x14ac:dyDescent="0.25">
      <c r="A826" s="85">
        <v>46246</v>
      </c>
      <c r="B826" s="86" t="s">
        <v>2022</v>
      </c>
      <c r="C826" s="86">
        <v>5850</v>
      </c>
      <c r="D826" s="88" t="s">
        <v>69</v>
      </c>
      <c r="E826" s="87" t="s">
        <v>1946</v>
      </c>
    </row>
    <row r="827" spans="1:6" x14ac:dyDescent="0.25">
      <c r="A827" s="85">
        <v>46246</v>
      </c>
      <c r="B827" s="86" t="s">
        <v>1498</v>
      </c>
      <c r="C827" s="86">
        <v>1900</v>
      </c>
      <c r="D827" s="55" t="s">
        <v>1952</v>
      </c>
      <c r="E827" s="87" t="s">
        <v>1946</v>
      </c>
    </row>
    <row r="828" spans="1:6" x14ac:dyDescent="0.25">
      <c r="A828" s="85">
        <v>46246</v>
      </c>
      <c r="B828" s="86" t="s">
        <v>2044</v>
      </c>
      <c r="C828" s="86">
        <v>1900</v>
      </c>
      <c r="D828" s="55" t="s">
        <v>1952</v>
      </c>
      <c r="E828" s="87" t="s">
        <v>1946</v>
      </c>
    </row>
    <row r="829" spans="1:6" x14ac:dyDescent="0.25">
      <c r="A829" s="85">
        <v>46246</v>
      </c>
      <c r="B829" s="86" t="s">
        <v>1520</v>
      </c>
      <c r="C829" s="86">
        <v>4400</v>
      </c>
      <c r="D829" s="88" t="s">
        <v>2125</v>
      </c>
      <c r="E829" s="87" t="s">
        <v>1946</v>
      </c>
      <c r="F829" s="82" t="s">
        <v>2126</v>
      </c>
    </row>
    <row r="830" spans="1:6" x14ac:dyDescent="0.25">
      <c r="A830" s="85">
        <v>46247</v>
      </c>
      <c r="B830" s="86" t="s">
        <v>1520</v>
      </c>
      <c r="C830" s="86">
        <v>3000</v>
      </c>
      <c r="D830" s="88" t="s">
        <v>2127</v>
      </c>
      <c r="E830" s="87" t="s">
        <v>1946</v>
      </c>
    </row>
    <row r="831" spans="1:6" x14ac:dyDescent="0.25">
      <c r="A831" s="85">
        <v>46247</v>
      </c>
      <c r="B831" s="86" t="s">
        <v>1520</v>
      </c>
      <c r="C831" s="86">
        <v>3000</v>
      </c>
      <c r="D831" s="88" t="s">
        <v>2128</v>
      </c>
      <c r="E831" s="87" t="s">
        <v>1946</v>
      </c>
    </row>
    <row r="832" spans="1:6" x14ac:dyDescent="0.25">
      <c r="A832" s="85">
        <v>46247</v>
      </c>
      <c r="B832" s="86" t="s">
        <v>1486</v>
      </c>
      <c r="C832" s="86">
        <v>8100</v>
      </c>
      <c r="D832" s="55" t="s">
        <v>2018</v>
      </c>
      <c r="E832" s="87" t="s">
        <v>1946</v>
      </c>
    </row>
    <row r="833" spans="1:6" x14ac:dyDescent="0.25">
      <c r="A833" s="85">
        <v>46247</v>
      </c>
      <c r="B833" s="86" t="s">
        <v>2095</v>
      </c>
      <c r="C833" s="86">
        <v>8100</v>
      </c>
      <c r="D833" s="55" t="s">
        <v>2018</v>
      </c>
      <c r="E833" s="87" t="s">
        <v>1946</v>
      </c>
    </row>
    <row r="834" spans="1:6" x14ac:dyDescent="0.25">
      <c r="A834" s="85">
        <v>46247</v>
      </c>
      <c r="B834" s="86" t="s">
        <v>1520</v>
      </c>
      <c r="C834" s="86">
        <v>900</v>
      </c>
      <c r="D834" s="88" t="s">
        <v>2129</v>
      </c>
      <c r="E834" s="87" t="s">
        <v>1946</v>
      </c>
    </row>
    <row r="835" spans="1:6" x14ac:dyDescent="0.25">
      <c r="A835" s="85">
        <v>46247</v>
      </c>
      <c r="B835" s="86" t="s">
        <v>1520</v>
      </c>
      <c r="C835" s="86">
        <v>5850</v>
      </c>
      <c r="D835" s="88" t="s">
        <v>1985</v>
      </c>
      <c r="E835" s="87" t="s">
        <v>1946</v>
      </c>
    </row>
    <row r="836" spans="1:6" x14ac:dyDescent="0.25">
      <c r="A836" s="85">
        <v>46247</v>
      </c>
      <c r="B836" s="86" t="s">
        <v>1495</v>
      </c>
      <c r="C836" s="86">
        <v>1000</v>
      </c>
      <c r="D836" s="88" t="s">
        <v>1951</v>
      </c>
      <c r="E836" s="87" t="s">
        <v>1946</v>
      </c>
    </row>
    <row r="837" spans="1:6" x14ac:dyDescent="0.25">
      <c r="A837" s="85">
        <v>46247</v>
      </c>
      <c r="B837" s="86" t="s">
        <v>1495</v>
      </c>
      <c r="C837" s="86">
        <v>700</v>
      </c>
      <c r="D837" s="88" t="s">
        <v>1951</v>
      </c>
      <c r="E837" s="87" t="s">
        <v>1946</v>
      </c>
    </row>
    <row r="838" spans="1:6" x14ac:dyDescent="0.25">
      <c r="A838" s="85">
        <v>46247</v>
      </c>
      <c r="B838" s="86" t="s">
        <v>896</v>
      </c>
      <c r="C838" s="86">
        <v>5850</v>
      </c>
      <c r="D838" s="88" t="s">
        <v>69</v>
      </c>
      <c r="E838" s="87" t="s">
        <v>1946</v>
      </c>
    </row>
    <row r="839" spans="1:6" x14ac:dyDescent="0.25">
      <c r="A839" s="85">
        <v>46247</v>
      </c>
      <c r="B839" s="86" t="s">
        <v>1484</v>
      </c>
      <c r="C839" s="86">
        <v>5850</v>
      </c>
      <c r="D839" s="88" t="s">
        <v>69</v>
      </c>
      <c r="E839" s="87" t="s">
        <v>1946</v>
      </c>
    </row>
    <row r="840" spans="1:6" x14ac:dyDescent="0.25">
      <c r="A840" s="85">
        <v>46247</v>
      </c>
      <c r="B840" s="86" t="s">
        <v>904</v>
      </c>
      <c r="C840" s="86">
        <v>5850</v>
      </c>
      <c r="D840" s="88" t="s">
        <v>69</v>
      </c>
      <c r="E840" s="87" t="s">
        <v>1946</v>
      </c>
    </row>
    <row r="841" spans="1:6" x14ac:dyDescent="0.25">
      <c r="A841" s="85">
        <v>46247</v>
      </c>
      <c r="B841" s="86" t="s">
        <v>2022</v>
      </c>
      <c r="C841" s="86">
        <v>1900</v>
      </c>
      <c r="D841" s="55" t="s">
        <v>1952</v>
      </c>
      <c r="E841" s="87" t="s">
        <v>1946</v>
      </c>
    </row>
    <row r="842" spans="1:6" x14ac:dyDescent="0.25">
      <c r="A842" s="85">
        <v>46247</v>
      </c>
      <c r="B842" s="86" t="s">
        <v>1778</v>
      </c>
      <c r="C842" s="86">
        <v>500</v>
      </c>
      <c r="D842" s="88" t="s">
        <v>2131</v>
      </c>
      <c r="E842" s="87" t="s">
        <v>1946</v>
      </c>
      <c r="F842" s="82" t="s">
        <v>2132</v>
      </c>
    </row>
    <row r="843" spans="1:6" x14ac:dyDescent="0.25">
      <c r="A843" s="85">
        <v>46247</v>
      </c>
      <c r="B843" s="86" t="s">
        <v>1778</v>
      </c>
      <c r="C843" s="86">
        <v>800</v>
      </c>
      <c r="D843" s="88" t="s">
        <v>2013</v>
      </c>
      <c r="E843" s="87" t="s">
        <v>1946</v>
      </c>
    </row>
    <row r="844" spans="1:6" x14ac:dyDescent="0.25">
      <c r="A844" s="85">
        <v>46247</v>
      </c>
      <c r="B844" s="86" t="s">
        <v>1498</v>
      </c>
      <c r="C844" s="86">
        <v>700</v>
      </c>
      <c r="D844" s="88" t="s">
        <v>2130</v>
      </c>
      <c r="E844" s="87" t="s">
        <v>1946</v>
      </c>
    </row>
    <row r="845" spans="1:6" x14ac:dyDescent="0.25">
      <c r="A845" s="85">
        <v>46247</v>
      </c>
      <c r="B845" s="86" t="s">
        <v>1498</v>
      </c>
      <c r="C845" s="86">
        <v>5600</v>
      </c>
      <c r="D845" s="88" t="s">
        <v>35</v>
      </c>
      <c r="E845" s="87" t="s">
        <v>1946</v>
      </c>
    </row>
    <row r="846" spans="1:6" x14ac:dyDescent="0.25">
      <c r="A846" s="85">
        <v>46248</v>
      </c>
      <c r="B846" s="86" t="s">
        <v>1495</v>
      </c>
      <c r="C846" s="86">
        <v>1000</v>
      </c>
      <c r="D846" s="88" t="s">
        <v>1951</v>
      </c>
      <c r="E846" s="87" t="s">
        <v>1946</v>
      </c>
    </row>
    <row r="847" spans="1:6" x14ac:dyDescent="0.25">
      <c r="A847" s="85">
        <v>46248</v>
      </c>
      <c r="B847" s="86" t="s">
        <v>1495</v>
      </c>
      <c r="C847" s="86">
        <v>700</v>
      </c>
      <c r="D847" s="88" t="s">
        <v>1951</v>
      </c>
      <c r="E847" s="87" t="s">
        <v>1946</v>
      </c>
    </row>
    <row r="848" spans="1:6" x14ac:dyDescent="0.25">
      <c r="A848" s="85">
        <v>46248</v>
      </c>
      <c r="B848" s="86" t="s">
        <v>1484</v>
      </c>
      <c r="C848" s="86">
        <v>1900</v>
      </c>
      <c r="D848" s="55" t="s">
        <v>1952</v>
      </c>
      <c r="E848" s="87" t="s">
        <v>1946</v>
      </c>
    </row>
    <row r="849" spans="1:5" x14ac:dyDescent="0.25">
      <c r="A849" s="85">
        <v>46251</v>
      </c>
      <c r="B849" s="86" t="s">
        <v>1495</v>
      </c>
      <c r="C849" s="86">
        <v>1000</v>
      </c>
      <c r="D849" s="88" t="s">
        <v>1951</v>
      </c>
      <c r="E849" s="87" t="s">
        <v>1946</v>
      </c>
    </row>
    <row r="850" spans="1:5" x14ac:dyDescent="0.25">
      <c r="A850" s="85">
        <v>46251</v>
      </c>
      <c r="B850" s="86" t="s">
        <v>1495</v>
      </c>
      <c r="C850" s="86">
        <v>700</v>
      </c>
      <c r="D850" s="88" t="s">
        <v>1951</v>
      </c>
      <c r="E850" s="87" t="s">
        <v>1946</v>
      </c>
    </row>
    <row r="851" spans="1:5" x14ac:dyDescent="0.25">
      <c r="A851" s="85">
        <v>46251</v>
      </c>
      <c r="B851" s="86" t="s">
        <v>2044</v>
      </c>
      <c r="C851" s="86">
        <v>5850</v>
      </c>
      <c r="D851" s="88" t="s">
        <v>69</v>
      </c>
      <c r="E851" s="87" t="s">
        <v>1946</v>
      </c>
    </row>
    <row r="852" spans="1:5" x14ac:dyDescent="0.25">
      <c r="A852" s="85">
        <v>46251</v>
      </c>
      <c r="B852" s="86" t="s">
        <v>1495</v>
      </c>
      <c r="C852" s="86">
        <v>4700</v>
      </c>
      <c r="D852" s="88" t="s">
        <v>1955</v>
      </c>
      <c r="E852" s="87" t="s">
        <v>1946</v>
      </c>
    </row>
    <row r="853" spans="1:5" x14ac:dyDescent="0.25">
      <c r="A853" s="85">
        <v>46251</v>
      </c>
      <c r="B853" s="86" t="s">
        <v>1498</v>
      </c>
      <c r="C853" s="86">
        <v>4150</v>
      </c>
      <c r="D853" s="88" t="s">
        <v>1972</v>
      </c>
      <c r="E853" s="87" t="s">
        <v>1946</v>
      </c>
    </row>
    <row r="854" spans="1:5" x14ac:dyDescent="0.25">
      <c r="A854" s="85">
        <v>46251</v>
      </c>
      <c r="B854" s="86" t="s">
        <v>1520</v>
      </c>
      <c r="C854" s="86">
        <v>5600</v>
      </c>
      <c r="D854" s="88" t="s">
        <v>35</v>
      </c>
      <c r="E854" s="87" t="s">
        <v>1946</v>
      </c>
    </row>
    <row r="855" spans="1:5" x14ac:dyDescent="0.25">
      <c r="A855" s="85">
        <v>46251</v>
      </c>
      <c r="B855" s="86" t="s">
        <v>2022</v>
      </c>
      <c r="C855" s="86">
        <v>7900</v>
      </c>
      <c r="D855" s="88" t="s">
        <v>1960</v>
      </c>
      <c r="E855" s="87" t="s">
        <v>1946</v>
      </c>
    </row>
    <row r="856" spans="1:5" x14ac:dyDescent="0.25">
      <c r="A856" s="85">
        <v>46251</v>
      </c>
      <c r="B856" s="86" t="s">
        <v>1778</v>
      </c>
      <c r="C856" s="86">
        <v>5850</v>
      </c>
      <c r="D856" s="88" t="s">
        <v>69</v>
      </c>
      <c r="E856" s="87" t="s">
        <v>1946</v>
      </c>
    </row>
    <row r="857" spans="1:5" x14ac:dyDescent="0.25">
      <c r="A857" s="85">
        <v>46251</v>
      </c>
      <c r="B857" s="86" t="s">
        <v>2095</v>
      </c>
      <c r="C857" s="86">
        <v>5850</v>
      </c>
      <c r="D857" s="88" t="s">
        <v>69</v>
      </c>
      <c r="E857" s="87" t="s">
        <v>1946</v>
      </c>
    </row>
    <row r="858" spans="1:5" x14ac:dyDescent="0.25">
      <c r="A858" s="85">
        <v>46252</v>
      </c>
      <c r="B858" s="86" t="s">
        <v>1486</v>
      </c>
      <c r="C858" s="86">
        <v>8100</v>
      </c>
      <c r="D858" s="55" t="s">
        <v>2018</v>
      </c>
      <c r="E858" s="87" t="s">
        <v>1946</v>
      </c>
    </row>
    <row r="859" spans="1:5" x14ac:dyDescent="0.25">
      <c r="A859" s="85">
        <v>46252</v>
      </c>
      <c r="B859" s="86" t="s">
        <v>1484</v>
      </c>
      <c r="C859" s="86">
        <v>7900</v>
      </c>
      <c r="D859" s="88" t="s">
        <v>1960</v>
      </c>
      <c r="E859" s="87" t="s">
        <v>1946</v>
      </c>
    </row>
    <row r="860" spans="1:5" x14ac:dyDescent="0.25">
      <c r="A860" s="85">
        <v>46252</v>
      </c>
      <c r="B860" s="86" t="s">
        <v>2022</v>
      </c>
      <c r="C860" s="86">
        <v>1000</v>
      </c>
      <c r="D860" s="88" t="s">
        <v>1950</v>
      </c>
      <c r="E860" s="87" t="s">
        <v>1946</v>
      </c>
    </row>
    <row r="861" spans="1:5" x14ac:dyDescent="0.25">
      <c r="A861" s="85">
        <v>46252</v>
      </c>
      <c r="B861" s="86" t="s">
        <v>896</v>
      </c>
      <c r="C861" s="86">
        <v>5850</v>
      </c>
      <c r="D861" s="88" t="s">
        <v>69</v>
      </c>
      <c r="E861" s="87" t="s">
        <v>1946</v>
      </c>
    </row>
    <row r="862" spans="1:5" x14ac:dyDescent="0.25">
      <c r="A862" s="85">
        <v>46252</v>
      </c>
      <c r="B862" s="86" t="s">
        <v>904</v>
      </c>
      <c r="C862" s="86">
        <v>5850</v>
      </c>
      <c r="D862" s="88" t="s">
        <v>69</v>
      </c>
      <c r="E862" s="87" t="s">
        <v>1946</v>
      </c>
    </row>
    <row r="863" spans="1:5" x14ac:dyDescent="0.25">
      <c r="A863" s="85">
        <v>46252</v>
      </c>
      <c r="B863" s="86" t="s">
        <v>1495</v>
      </c>
      <c r="C863" s="86">
        <v>5850</v>
      </c>
      <c r="D863" s="88" t="s">
        <v>69</v>
      </c>
      <c r="E863" s="87" t="s">
        <v>1946</v>
      </c>
    </row>
    <row r="864" spans="1:5" x14ac:dyDescent="0.25">
      <c r="A864" s="85">
        <v>46253</v>
      </c>
      <c r="B864" s="86" t="s">
        <v>1520</v>
      </c>
      <c r="C864" s="86">
        <v>3000</v>
      </c>
      <c r="D864" s="88" t="s">
        <v>1974</v>
      </c>
      <c r="E864" s="87" t="s">
        <v>1946</v>
      </c>
    </row>
    <row r="865" spans="1:6" x14ac:dyDescent="0.25">
      <c r="A865" s="85">
        <v>46253</v>
      </c>
      <c r="B865" s="86" t="s">
        <v>1778</v>
      </c>
      <c r="C865" s="86">
        <v>1900</v>
      </c>
      <c r="D865" s="55" t="s">
        <v>1952</v>
      </c>
      <c r="E865" s="87" t="s">
        <v>1946</v>
      </c>
    </row>
    <row r="866" spans="1:6" x14ac:dyDescent="0.25">
      <c r="A866" s="85">
        <v>46253</v>
      </c>
      <c r="B866" s="86" t="s">
        <v>2044</v>
      </c>
      <c r="C866" s="86">
        <v>2200</v>
      </c>
      <c r="D866" s="88" t="s">
        <v>1962</v>
      </c>
      <c r="E866" s="87" t="s">
        <v>1946</v>
      </c>
    </row>
    <row r="867" spans="1:6" x14ac:dyDescent="0.25">
      <c r="A867" s="85">
        <v>46253</v>
      </c>
      <c r="B867" s="86" t="s">
        <v>1520</v>
      </c>
      <c r="C867" s="86">
        <v>6000</v>
      </c>
      <c r="D867" s="88" t="s">
        <v>2133</v>
      </c>
      <c r="E867" s="87" t="s">
        <v>1946</v>
      </c>
    </row>
    <row r="868" spans="1:6" x14ac:dyDescent="0.25">
      <c r="A868" s="85">
        <v>46253</v>
      </c>
      <c r="B868" s="86" t="s">
        <v>1498</v>
      </c>
      <c r="C868" s="86">
        <v>5850</v>
      </c>
      <c r="D868" s="88" t="s">
        <v>69</v>
      </c>
      <c r="E868" s="87" t="s">
        <v>1946</v>
      </c>
    </row>
    <row r="869" spans="1:6" x14ac:dyDescent="0.25">
      <c r="A869" s="85">
        <v>46253</v>
      </c>
      <c r="B869" s="86" t="s">
        <v>2095</v>
      </c>
      <c r="C869" s="86">
        <v>5850</v>
      </c>
      <c r="D869" s="88" t="s">
        <v>69</v>
      </c>
      <c r="E869" s="87" t="s">
        <v>1946</v>
      </c>
    </row>
    <row r="870" spans="1:6" x14ac:dyDescent="0.25">
      <c r="A870" s="85">
        <v>46253</v>
      </c>
      <c r="B870" s="86" t="s">
        <v>1778</v>
      </c>
      <c r="C870" s="86">
        <v>5400</v>
      </c>
      <c r="D870" s="88" t="s">
        <v>1957</v>
      </c>
      <c r="E870" s="87" t="s">
        <v>1946</v>
      </c>
    </row>
    <row r="871" spans="1:6" x14ac:dyDescent="0.25">
      <c r="A871" s="85">
        <v>46254</v>
      </c>
      <c r="B871" s="86" t="s">
        <v>1484</v>
      </c>
      <c r="C871" s="86">
        <v>1000</v>
      </c>
      <c r="D871" s="88" t="s">
        <v>1950</v>
      </c>
      <c r="E871" s="87" t="s">
        <v>1946</v>
      </c>
    </row>
    <row r="872" spans="1:6" x14ac:dyDescent="0.25">
      <c r="A872" s="85">
        <v>46254</v>
      </c>
      <c r="B872" s="86" t="s">
        <v>1495</v>
      </c>
      <c r="C872" s="86">
        <v>1900</v>
      </c>
      <c r="D872" s="55" t="s">
        <v>1952</v>
      </c>
      <c r="E872" s="87" t="s">
        <v>1946</v>
      </c>
    </row>
    <row r="873" spans="1:6" x14ac:dyDescent="0.25">
      <c r="A873" s="85">
        <v>46254</v>
      </c>
      <c r="B873" s="86" t="s">
        <v>1486</v>
      </c>
      <c r="C873" s="86">
        <v>8100</v>
      </c>
      <c r="D873" s="55" t="s">
        <v>2018</v>
      </c>
      <c r="E873" s="87" t="s">
        <v>1946</v>
      </c>
    </row>
    <row r="874" spans="1:6" x14ac:dyDescent="0.25">
      <c r="A874" s="85">
        <v>46254</v>
      </c>
      <c r="B874" s="86" t="s">
        <v>1484</v>
      </c>
      <c r="C874" s="86">
        <v>5850</v>
      </c>
      <c r="D874" s="88" t="s">
        <v>69</v>
      </c>
      <c r="E874" s="87" t="s">
        <v>1946</v>
      </c>
    </row>
    <row r="875" spans="1:6" x14ac:dyDescent="0.25">
      <c r="A875" s="85">
        <v>46254</v>
      </c>
      <c r="B875" s="86" t="s">
        <v>904</v>
      </c>
      <c r="C875" s="86">
        <v>8100</v>
      </c>
      <c r="D875" s="55" t="s">
        <v>2018</v>
      </c>
      <c r="E875" s="87" t="s">
        <v>1946</v>
      </c>
    </row>
    <row r="876" spans="1:6" x14ac:dyDescent="0.25">
      <c r="A876" s="85">
        <v>46254</v>
      </c>
      <c r="B876" s="86" t="s">
        <v>896</v>
      </c>
      <c r="C876" s="86">
        <v>7900</v>
      </c>
      <c r="D876" s="88" t="s">
        <v>1960</v>
      </c>
      <c r="E876" s="87" t="s">
        <v>1946</v>
      </c>
      <c r="F876" s="82" t="s">
        <v>2011</v>
      </c>
    </row>
    <row r="877" spans="1:6" x14ac:dyDescent="0.25">
      <c r="A877" s="85">
        <v>46254</v>
      </c>
      <c r="B877" s="86" t="s">
        <v>2022</v>
      </c>
      <c r="C877" s="86">
        <v>7900</v>
      </c>
      <c r="D877" s="88" t="s">
        <v>1960</v>
      </c>
      <c r="E877" s="87" t="s">
        <v>1946</v>
      </c>
    </row>
    <row r="878" spans="1:6" x14ac:dyDescent="0.25">
      <c r="A878" s="85">
        <v>46254</v>
      </c>
      <c r="B878" s="86" t="s">
        <v>2044</v>
      </c>
      <c r="C878" s="86">
        <v>1000</v>
      </c>
      <c r="D878" s="88" t="s">
        <v>1951</v>
      </c>
      <c r="E878" s="87" t="s">
        <v>1946</v>
      </c>
    </row>
    <row r="879" spans="1:6" x14ac:dyDescent="0.25">
      <c r="A879" s="85">
        <v>46254</v>
      </c>
      <c r="B879" s="86" t="s">
        <v>2044</v>
      </c>
      <c r="C879" s="86">
        <v>700</v>
      </c>
      <c r="D879" s="88" t="s">
        <v>1951</v>
      </c>
      <c r="E879" s="87" t="s">
        <v>1946</v>
      </c>
    </row>
    <row r="880" spans="1:6" x14ac:dyDescent="0.25">
      <c r="A880" s="85">
        <v>46254</v>
      </c>
      <c r="B880" s="86" t="s">
        <v>2044</v>
      </c>
      <c r="C880" s="86">
        <v>4700</v>
      </c>
      <c r="D880" s="88" t="s">
        <v>1955</v>
      </c>
      <c r="E880" s="87" t="s">
        <v>1946</v>
      </c>
    </row>
    <row r="881" spans="1:6" x14ac:dyDescent="0.25">
      <c r="A881" s="85">
        <v>46254</v>
      </c>
      <c r="B881" s="86" t="s">
        <v>1495</v>
      </c>
      <c r="C881" s="86">
        <v>5850</v>
      </c>
      <c r="D881" s="88" t="s">
        <v>69</v>
      </c>
      <c r="E881" s="87" t="s">
        <v>1946</v>
      </c>
    </row>
    <row r="882" spans="1:6" x14ac:dyDescent="0.25">
      <c r="A882" s="85">
        <v>46255</v>
      </c>
      <c r="B882" s="86" t="s">
        <v>1778</v>
      </c>
      <c r="C882" s="86">
        <v>7900</v>
      </c>
      <c r="D882" s="88" t="s">
        <v>1960</v>
      </c>
      <c r="E882" s="87" t="s">
        <v>1946</v>
      </c>
    </row>
    <row r="883" spans="1:6" x14ac:dyDescent="0.25">
      <c r="A883" s="85">
        <v>46255</v>
      </c>
      <c r="B883" s="86" t="s">
        <v>1520</v>
      </c>
      <c r="C883" s="86">
        <v>1000</v>
      </c>
      <c r="D883" s="88" t="s">
        <v>2026</v>
      </c>
      <c r="E883" s="87" t="s">
        <v>1946</v>
      </c>
    </row>
    <row r="884" spans="1:6" x14ac:dyDescent="0.25">
      <c r="A884" s="85">
        <v>46256</v>
      </c>
      <c r="B884" s="86" t="s">
        <v>1520</v>
      </c>
      <c r="C884" s="86">
        <v>1300</v>
      </c>
      <c r="D884" s="88" t="s">
        <v>1976</v>
      </c>
      <c r="E884" s="87" t="s">
        <v>1946</v>
      </c>
      <c r="F884" s="82" t="s">
        <v>2134</v>
      </c>
    </row>
    <row r="885" spans="1:6" x14ac:dyDescent="0.25">
      <c r="A885" s="85">
        <v>46256</v>
      </c>
      <c r="B885" s="86" t="s">
        <v>1498</v>
      </c>
      <c r="C885" s="86">
        <v>5850</v>
      </c>
      <c r="D885" s="88" t="s">
        <v>69</v>
      </c>
      <c r="E885" s="87" t="s">
        <v>1946</v>
      </c>
    </row>
    <row r="886" spans="1:6" x14ac:dyDescent="0.25">
      <c r="A886" s="85">
        <v>46256</v>
      </c>
      <c r="B886" s="86" t="s">
        <v>2095</v>
      </c>
      <c r="C886" s="86">
        <v>5850</v>
      </c>
      <c r="D886" s="88" t="s">
        <v>69</v>
      </c>
      <c r="E886" s="87" t="s">
        <v>1946</v>
      </c>
    </row>
    <row r="887" spans="1:6" x14ac:dyDescent="0.25">
      <c r="A887" s="85">
        <v>46256</v>
      </c>
      <c r="B887" s="86" t="s">
        <v>1484</v>
      </c>
      <c r="C887" s="86">
        <v>5850</v>
      </c>
      <c r="D887" s="88" t="s">
        <v>69</v>
      </c>
      <c r="E887" s="87" t="s">
        <v>1946</v>
      </c>
    </row>
    <row r="888" spans="1:6" x14ac:dyDescent="0.25">
      <c r="A888" s="85">
        <v>46256</v>
      </c>
      <c r="B888" s="86" t="s">
        <v>2044</v>
      </c>
      <c r="C888" s="86">
        <v>5850</v>
      </c>
      <c r="D888" s="88" t="s">
        <v>69</v>
      </c>
      <c r="E888" s="87" t="s">
        <v>1946</v>
      </c>
    </row>
    <row r="889" spans="1:6" x14ac:dyDescent="0.25">
      <c r="A889" s="85">
        <v>46256</v>
      </c>
      <c r="B889" s="86" t="s">
        <v>2022</v>
      </c>
      <c r="C889" s="86">
        <v>1000</v>
      </c>
      <c r="D889" s="88" t="s">
        <v>1950</v>
      </c>
      <c r="E889" s="87" t="s">
        <v>1946</v>
      </c>
    </row>
    <row r="890" spans="1:6" x14ac:dyDescent="0.25">
      <c r="A890" s="85">
        <v>46256</v>
      </c>
      <c r="B890" s="86" t="s">
        <v>1778</v>
      </c>
      <c r="C890" s="86">
        <v>1000</v>
      </c>
      <c r="D890" s="88" t="s">
        <v>1950</v>
      </c>
      <c r="E890" s="87" t="s">
        <v>1946</v>
      </c>
    </row>
    <row r="891" spans="1:6" x14ac:dyDescent="0.25">
      <c r="A891" s="85">
        <v>46256</v>
      </c>
      <c r="B891" s="86" t="s">
        <v>1520</v>
      </c>
      <c r="C891" s="86">
        <v>1000</v>
      </c>
      <c r="D891" s="88" t="s">
        <v>2013</v>
      </c>
      <c r="E891" s="87" t="s">
        <v>1946</v>
      </c>
    </row>
    <row r="892" spans="1:6" x14ac:dyDescent="0.25">
      <c r="A892" s="85">
        <v>46257</v>
      </c>
      <c r="B892" s="86" t="s">
        <v>2022</v>
      </c>
      <c r="C892" s="86">
        <v>5850</v>
      </c>
      <c r="D892" s="88" t="s">
        <v>69</v>
      </c>
      <c r="E892" s="87" t="s">
        <v>1946</v>
      </c>
    </row>
    <row r="893" spans="1:6" x14ac:dyDescent="0.25">
      <c r="A893" s="85">
        <v>46257</v>
      </c>
      <c r="B893" s="86" t="s">
        <v>1778</v>
      </c>
      <c r="C893" s="86">
        <v>5850</v>
      </c>
      <c r="D893" s="88" t="s">
        <v>69</v>
      </c>
      <c r="E893" s="87" t="s">
        <v>1946</v>
      </c>
    </row>
    <row r="894" spans="1:6" x14ac:dyDescent="0.25">
      <c r="A894" s="85">
        <v>46257</v>
      </c>
      <c r="B894" s="86" t="s">
        <v>896</v>
      </c>
      <c r="C894" s="86">
        <f>7900-2050</f>
        <v>5850</v>
      </c>
      <c r="D894" s="88" t="s">
        <v>1960</v>
      </c>
      <c r="E894" s="87" t="s">
        <v>1946</v>
      </c>
      <c r="F894" s="82" t="s">
        <v>2135</v>
      </c>
    </row>
    <row r="895" spans="1:6" x14ac:dyDescent="0.25">
      <c r="A895" s="85">
        <v>46258</v>
      </c>
      <c r="B895" s="86" t="s">
        <v>2022</v>
      </c>
      <c r="C895" s="86">
        <v>2200</v>
      </c>
      <c r="D895" s="88" t="s">
        <v>1960</v>
      </c>
      <c r="E895" s="87" t="s">
        <v>1946</v>
      </c>
    </row>
    <row r="896" spans="1:6" x14ac:dyDescent="0.25">
      <c r="A896" s="85">
        <v>46258</v>
      </c>
      <c r="B896" s="86" t="s">
        <v>1495</v>
      </c>
      <c r="C896" s="86">
        <v>7900</v>
      </c>
      <c r="D896" s="88" t="s">
        <v>1960</v>
      </c>
      <c r="E896" s="87" t="s">
        <v>1946</v>
      </c>
    </row>
    <row r="897" spans="1:6" x14ac:dyDescent="0.25">
      <c r="A897" s="85">
        <v>46258</v>
      </c>
      <c r="B897" s="86" t="s">
        <v>896</v>
      </c>
      <c r="C897" s="86">
        <v>1000</v>
      </c>
      <c r="D897" s="88" t="s">
        <v>1950</v>
      </c>
      <c r="E897" s="87" t="s">
        <v>1946</v>
      </c>
    </row>
    <row r="898" spans="1:6" x14ac:dyDescent="0.25">
      <c r="A898" s="85">
        <v>46258</v>
      </c>
      <c r="B898" s="86" t="s">
        <v>2044</v>
      </c>
      <c r="C898" s="86">
        <v>5850</v>
      </c>
      <c r="D898" s="88" t="s">
        <v>69</v>
      </c>
      <c r="E898" s="87" t="s">
        <v>1946</v>
      </c>
    </row>
    <row r="899" spans="1:6" x14ac:dyDescent="0.25">
      <c r="A899" s="85">
        <v>46258</v>
      </c>
      <c r="B899" s="86" t="s">
        <v>1498</v>
      </c>
      <c r="C899" s="86">
        <v>1500</v>
      </c>
      <c r="D899" s="55" t="s">
        <v>1952</v>
      </c>
      <c r="E899" s="87" t="s">
        <v>1946</v>
      </c>
    </row>
    <row r="900" spans="1:6" x14ac:dyDescent="0.25">
      <c r="A900" s="85">
        <v>46258</v>
      </c>
      <c r="B900" s="86" t="s">
        <v>2095</v>
      </c>
      <c r="C900" s="86">
        <v>1500</v>
      </c>
      <c r="D900" s="55" t="s">
        <v>1952</v>
      </c>
      <c r="E900" s="87" t="s">
        <v>1946</v>
      </c>
    </row>
    <row r="901" spans="1:6" x14ac:dyDescent="0.25">
      <c r="A901" s="85">
        <v>46258</v>
      </c>
      <c r="B901" s="86" t="s">
        <v>904</v>
      </c>
      <c r="C901" s="86">
        <v>5200</v>
      </c>
      <c r="D901" s="88" t="s">
        <v>2136</v>
      </c>
      <c r="E901" s="87" t="s">
        <v>1946</v>
      </c>
    </row>
    <row r="902" spans="1:6" x14ac:dyDescent="0.25">
      <c r="A902" s="85">
        <v>46258</v>
      </c>
      <c r="B902" s="82" t="s">
        <v>1520</v>
      </c>
      <c r="C902" s="86">
        <v>6000</v>
      </c>
      <c r="D902" s="88" t="s">
        <v>2133</v>
      </c>
      <c r="E902" s="87" t="s">
        <v>1946</v>
      </c>
      <c r="F902" s="82" t="s">
        <v>2143</v>
      </c>
    </row>
    <row r="903" spans="1:6" x14ac:dyDescent="0.25">
      <c r="A903" s="85">
        <v>46258</v>
      </c>
      <c r="B903" s="86" t="s">
        <v>1520</v>
      </c>
      <c r="C903" s="86">
        <v>1000</v>
      </c>
      <c r="D903" s="88" t="s">
        <v>2026</v>
      </c>
      <c r="E903" s="87" t="s">
        <v>1946</v>
      </c>
    </row>
    <row r="904" spans="1:6" x14ac:dyDescent="0.25">
      <c r="A904" s="85">
        <v>46258</v>
      </c>
      <c r="B904" s="86" t="s">
        <v>1486</v>
      </c>
      <c r="C904" s="86">
        <v>5850</v>
      </c>
      <c r="D904" s="88" t="s">
        <v>69</v>
      </c>
      <c r="E904" s="87" t="s">
        <v>1946</v>
      </c>
    </row>
    <row r="905" spans="1:6" x14ac:dyDescent="0.25">
      <c r="A905" s="85">
        <v>46258</v>
      </c>
      <c r="B905" s="86" t="s">
        <v>1486</v>
      </c>
      <c r="C905" s="86">
        <v>900</v>
      </c>
      <c r="D905" s="88" t="s">
        <v>2138</v>
      </c>
      <c r="E905" s="87" t="s">
        <v>1946</v>
      </c>
    </row>
    <row r="906" spans="1:6" x14ac:dyDescent="0.25">
      <c r="A906" s="85">
        <v>46258</v>
      </c>
      <c r="B906" s="86" t="s">
        <v>1498</v>
      </c>
      <c r="C906" s="86">
        <v>5850</v>
      </c>
      <c r="D906" s="88" t="s">
        <v>69</v>
      </c>
      <c r="E906" s="87" t="s">
        <v>1946</v>
      </c>
    </row>
    <row r="907" spans="1:6" x14ac:dyDescent="0.25">
      <c r="A907" s="85">
        <v>46258</v>
      </c>
      <c r="B907" s="86" t="s">
        <v>2095</v>
      </c>
      <c r="C907" s="86">
        <v>5850</v>
      </c>
      <c r="D907" s="88" t="s">
        <v>69</v>
      </c>
      <c r="E907" s="87" t="s">
        <v>1946</v>
      </c>
    </row>
    <row r="908" spans="1:6" x14ac:dyDescent="0.25">
      <c r="A908" s="85">
        <v>46258</v>
      </c>
      <c r="B908" s="86" t="s">
        <v>2137</v>
      </c>
      <c r="C908" s="86">
        <v>5200</v>
      </c>
      <c r="D908" s="88" t="s">
        <v>2139</v>
      </c>
      <c r="E908" s="87" t="s">
        <v>1946</v>
      </c>
      <c r="F908" s="82" t="s">
        <v>2140</v>
      </c>
    </row>
    <row r="909" spans="1:6" x14ac:dyDescent="0.25">
      <c r="A909" s="85">
        <v>46259</v>
      </c>
      <c r="B909" s="86" t="s">
        <v>904</v>
      </c>
      <c r="C909" s="86">
        <v>900</v>
      </c>
      <c r="D909" s="88" t="s">
        <v>2129</v>
      </c>
      <c r="E909" s="87" t="s">
        <v>1946</v>
      </c>
    </row>
    <row r="910" spans="1:6" x14ac:dyDescent="0.25">
      <c r="A910" s="85">
        <v>46259</v>
      </c>
      <c r="B910" s="86" t="s">
        <v>904</v>
      </c>
      <c r="C910" s="86">
        <v>5850</v>
      </c>
      <c r="D910" s="88" t="s">
        <v>69</v>
      </c>
      <c r="E910" s="87" t="s">
        <v>1946</v>
      </c>
    </row>
    <row r="911" spans="1:6" x14ac:dyDescent="0.25">
      <c r="A911" s="85">
        <v>46259</v>
      </c>
      <c r="B911" s="86" t="s">
        <v>1495</v>
      </c>
      <c r="C911" s="86">
        <v>1000</v>
      </c>
      <c r="D911" s="88" t="s">
        <v>1950</v>
      </c>
      <c r="E911" s="87" t="s">
        <v>1946</v>
      </c>
    </row>
    <row r="912" spans="1:6" x14ac:dyDescent="0.25">
      <c r="A912" s="85">
        <v>46259</v>
      </c>
      <c r="B912" s="86" t="s">
        <v>2137</v>
      </c>
      <c r="C912" s="86">
        <v>2000</v>
      </c>
      <c r="D912" s="88" t="s">
        <v>2139</v>
      </c>
      <c r="E912" s="87" t="s">
        <v>1946</v>
      </c>
    </row>
    <row r="913" spans="1:5" x14ac:dyDescent="0.25">
      <c r="A913" s="85">
        <v>46259</v>
      </c>
      <c r="B913" s="86" t="s">
        <v>1498</v>
      </c>
      <c r="C913" s="86">
        <v>1500</v>
      </c>
      <c r="D913" s="55" t="s">
        <v>1952</v>
      </c>
      <c r="E913" s="87" t="s">
        <v>1946</v>
      </c>
    </row>
    <row r="914" spans="1:5" x14ac:dyDescent="0.25">
      <c r="A914" s="85">
        <v>46259</v>
      </c>
      <c r="B914" s="86" t="s">
        <v>1486</v>
      </c>
      <c r="C914" s="86">
        <v>1500</v>
      </c>
      <c r="D914" s="55" t="s">
        <v>1952</v>
      </c>
      <c r="E914" s="87" t="s">
        <v>1946</v>
      </c>
    </row>
    <row r="915" spans="1:5" x14ac:dyDescent="0.25">
      <c r="A915" s="85">
        <v>46259</v>
      </c>
      <c r="B915" s="86" t="s">
        <v>1778</v>
      </c>
      <c r="C915" s="86">
        <v>5850</v>
      </c>
      <c r="D915" s="88" t="s">
        <v>69</v>
      </c>
      <c r="E915" s="87" t="s">
        <v>1946</v>
      </c>
    </row>
    <row r="916" spans="1:5" x14ac:dyDescent="0.25">
      <c r="A916" s="85">
        <v>46259</v>
      </c>
      <c r="B916" s="86" t="s">
        <v>1486</v>
      </c>
      <c r="C916" s="86">
        <v>5850</v>
      </c>
      <c r="D916" s="88" t="s">
        <v>69</v>
      </c>
      <c r="E916" s="87" t="s">
        <v>1946</v>
      </c>
    </row>
    <row r="917" spans="1:5" x14ac:dyDescent="0.25">
      <c r="A917" s="85">
        <v>46259</v>
      </c>
      <c r="B917" s="86" t="s">
        <v>1498</v>
      </c>
      <c r="C917" s="86">
        <v>5850</v>
      </c>
      <c r="D917" s="88" t="s">
        <v>69</v>
      </c>
      <c r="E917" s="87" t="s">
        <v>1946</v>
      </c>
    </row>
    <row r="918" spans="1:5" x14ac:dyDescent="0.25">
      <c r="A918" s="85">
        <v>46259</v>
      </c>
      <c r="B918" s="86" t="s">
        <v>1495</v>
      </c>
      <c r="C918" s="86">
        <v>5850</v>
      </c>
      <c r="D918" s="88" t="s">
        <v>69</v>
      </c>
      <c r="E918" s="87" t="s">
        <v>1946</v>
      </c>
    </row>
    <row r="919" spans="1:5" x14ac:dyDescent="0.25">
      <c r="A919" s="85">
        <v>46260</v>
      </c>
      <c r="B919" s="86" t="s">
        <v>2022</v>
      </c>
      <c r="C919" s="86">
        <v>1000</v>
      </c>
      <c r="D919" s="88" t="s">
        <v>1951</v>
      </c>
      <c r="E919" s="87" t="s">
        <v>1946</v>
      </c>
    </row>
    <row r="920" spans="1:5" x14ac:dyDescent="0.25">
      <c r="A920" s="85">
        <v>46260</v>
      </c>
      <c r="B920" s="86" t="s">
        <v>1778</v>
      </c>
      <c r="C920" s="86">
        <v>7900</v>
      </c>
      <c r="D920" s="88" t="s">
        <v>1960</v>
      </c>
      <c r="E920" s="87" t="s">
        <v>1946</v>
      </c>
    </row>
    <row r="921" spans="1:5" x14ac:dyDescent="0.25">
      <c r="A921" s="85">
        <v>46260</v>
      </c>
      <c r="B921" s="86" t="s">
        <v>2044</v>
      </c>
      <c r="C921" s="86">
        <v>7900</v>
      </c>
      <c r="D921" s="88" t="s">
        <v>1960</v>
      </c>
      <c r="E921" s="87" t="s">
        <v>1946</v>
      </c>
    </row>
    <row r="922" spans="1:5" x14ac:dyDescent="0.25">
      <c r="A922" s="85">
        <v>46260</v>
      </c>
      <c r="B922" s="86" t="s">
        <v>2095</v>
      </c>
      <c r="C922" s="86">
        <v>1500</v>
      </c>
      <c r="D922" s="55" t="s">
        <v>1952</v>
      </c>
      <c r="E922" s="87" t="s">
        <v>1946</v>
      </c>
    </row>
    <row r="923" spans="1:5" x14ac:dyDescent="0.25">
      <c r="A923" s="85">
        <v>46260</v>
      </c>
      <c r="B923" s="86" t="s">
        <v>904</v>
      </c>
      <c r="C923" s="86">
        <v>5600</v>
      </c>
      <c r="D923" s="88" t="s">
        <v>35</v>
      </c>
      <c r="E923" s="87" t="s">
        <v>1946</v>
      </c>
    </row>
    <row r="924" spans="1:5" x14ac:dyDescent="0.25">
      <c r="A924" s="85">
        <v>46260</v>
      </c>
      <c r="B924" s="86" t="s">
        <v>2095</v>
      </c>
      <c r="C924" s="86">
        <v>5850</v>
      </c>
      <c r="D924" s="88" t="s">
        <v>69</v>
      </c>
      <c r="E924" s="87" t="s">
        <v>1946</v>
      </c>
    </row>
    <row r="925" spans="1:5" x14ac:dyDescent="0.25">
      <c r="A925" s="85">
        <v>46260</v>
      </c>
      <c r="B925" s="86" t="s">
        <v>1486</v>
      </c>
      <c r="C925" s="86">
        <v>5850</v>
      </c>
      <c r="D925" s="88" t="s">
        <v>69</v>
      </c>
      <c r="E925" s="87" t="s">
        <v>1946</v>
      </c>
    </row>
    <row r="926" spans="1:5" x14ac:dyDescent="0.25">
      <c r="A926" s="85">
        <v>46260</v>
      </c>
      <c r="B926" s="86" t="s">
        <v>896</v>
      </c>
      <c r="C926" s="86">
        <v>5850</v>
      </c>
      <c r="D926" s="88" t="s">
        <v>69</v>
      </c>
      <c r="E926" s="87" t="s">
        <v>1946</v>
      </c>
    </row>
    <row r="927" spans="1:5" x14ac:dyDescent="0.25">
      <c r="A927" s="85">
        <v>46260</v>
      </c>
      <c r="B927" s="86" t="s">
        <v>1498</v>
      </c>
      <c r="C927" s="86">
        <v>5850</v>
      </c>
      <c r="D927" s="88" t="s">
        <v>69</v>
      </c>
      <c r="E927" s="87" t="s">
        <v>1946</v>
      </c>
    </row>
    <row r="928" spans="1:5" x14ac:dyDescent="0.25">
      <c r="A928" s="85">
        <v>46260</v>
      </c>
      <c r="B928" s="86" t="s">
        <v>1484</v>
      </c>
      <c r="C928" s="86">
        <v>6000</v>
      </c>
      <c r="D928" s="88" t="s">
        <v>2133</v>
      </c>
      <c r="E928" s="87" t="s">
        <v>1946</v>
      </c>
    </row>
    <row r="929" spans="1:6" x14ac:dyDescent="0.25">
      <c r="A929" s="85">
        <v>46260</v>
      </c>
      <c r="B929" s="86" t="s">
        <v>1484</v>
      </c>
      <c r="C929" s="86">
        <v>1000</v>
      </c>
      <c r="D929" s="88" t="s">
        <v>2026</v>
      </c>
      <c r="E929" s="87" t="s">
        <v>1946</v>
      </c>
    </row>
    <row r="930" spans="1:6" x14ac:dyDescent="0.25">
      <c r="A930" s="85">
        <v>46260</v>
      </c>
      <c r="B930" s="86" t="s">
        <v>1520</v>
      </c>
      <c r="C930" s="86">
        <v>6000</v>
      </c>
      <c r="D930" s="88" t="s">
        <v>2133</v>
      </c>
      <c r="E930" s="87" t="s">
        <v>1946</v>
      </c>
    </row>
    <row r="931" spans="1:6" x14ac:dyDescent="0.25">
      <c r="A931" s="85">
        <v>46260</v>
      </c>
      <c r="B931" s="86" t="s">
        <v>1520</v>
      </c>
      <c r="C931" s="86">
        <v>1000</v>
      </c>
      <c r="D931" s="88" t="s">
        <v>2026</v>
      </c>
      <c r="E931" s="87" t="s">
        <v>1946</v>
      </c>
    </row>
    <row r="932" spans="1:6" x14ac:dyDescent="0.25">
      <c r="A932" s="85">
        <v>46261</v>
      </c>
      <c r="B932" s="86" t="s">
        <v>2044</v>
      </c>
      <c r="C932" s="86">
        <v>1000</v>
      </c>
      <c r="D932" s="88" t="s">
        <v>1950</v>
      </c>
      <c r="E932" s="87" t="s">
        <v>1946</v>
      </c>
    </row>
    <row r="933" spans="1:6" x14ac:dyDescent="0.25">
      <c r="A933" s="85">
        <v>46261</v>
      </c>
      <c r="B933" s="86" t="s">
        <v>1498</v>
      </c>
      <c r="C933" s="86">
        <v>4000</v>
      </c>
      <c r="D933" s="88" t="s">
        <v>2144</v>
      </c>
      <c r="E933" s="87" t="s">
        <v>1946</v>
      </c>
      <c r="F933" s="82" t="s">
        <v>2145</v>
      </c>
    </row>
    <row r="934" spans="1:6" x14ac:dyDescent="0.25">
      <c r="A934" s="85">
        <v>46261</v>
      </c>
      <c r="B934" s="86" t="s">
        <v>1495</v>
      </c>
      <c r="C934" s="86">
        <v>4000</v>
      </c>
      <c r="D934" s="88" t="s">
        <v>2144</v>
      </c>
      <c r="E934" s="87" t="s">
        <v>1946</v>
      </c>
      <c r="F934" s="82" t="s">
        <v>2145</v>
      </c>
    </row>
    <row r="935" spans="1:6" x14ac:dyDescent="0.25">
      <c r="A935" s="85">
        <v>46261</v>
      </c>
      <c r="B935" s="86" t="s">
        <v>2095</v>
      </c>
      <c r="C935" s="86">
        <v>1500</v>
      </c>
      <c r="D935" s="55" t="s">
        <v>1952</v>
      </c>
      <c r="E935" s="87" t="s">
        <v>1946</v>
      </c>
    </row>
    <row r="936" spans="1:6" x14ac:dyDescent="0.25">
      <c r="A936" s="85">
        <v>46261</v>
      </c>
      <c r="B936" s="86" t="s">
        <v>1486</v>
      </c>
      <c r="C936" s="86">
        <v>1500</v>
      </c>
      <c r="D936" s="55" t="s">
        <v>1952</v>
      </c>
      <c r="E936" s="87" t="s">
        <v>1946</v>
      </c>
    </row>
    <row r="937" spans="1:6" x14ac:dyDescent="0.25">
      <c r="A937" s="85">
        <v>46261</v>
      </c>
      <c r="B937" s="86" t="s">
        <v>896</v>
      </c>
      <c r="C937" s="86">
        <v>5850</v>
      </c>
      <c r="D937" s="88" t="s">
        <v>69</v>
      </c>
      <c r="E937" s="87" t="s">
        <v>1946</v>
      </c>
    </row>
    <row r="938" spans="1:6" x14ac:dyDescent="0.25">
      <c r="A938" s="85">
        <v>46261</v>
      </c>
      <c r="B938" s="86" t="s">
        <v>1486</v>
      </c>
      <c r="C938" s="86">
        <v>5850</v>
      </c>
      <c r="D938" s="88" t="s">
        <v>69</v>
      </c>
      <c r="E938" s="87" t="s">
        <v>1946</v>
      </c>
    </row>
    <row r="939" spans="1:6" x14ac:dyDescent="0.25">
      <c r="A939" s="85">
        <v>46261</v>
      </c>
      <c r="B939" s="86" t="s">
        <v>2095</v>
      </c>
      <c r="C939" s="86">
        <v>5850</v>
      </c>
      <c r="D939" s="88" t="s">
        <v>69</v>
      </c>
      <c r="E939" s="87" t="s">
        <v>1946</v>
      </c>
    </row>
    <row r="940" spans="1:6" x14ac:dyDescent="0.25">
      <c r="A940" s="85">
        <v>46261</v>
      </c>
      <c r="B940" s="86" t="s">
        <v>904</v>
      </c>
      <c r="C940" s="86">
        <v>4000</v>
      </c>
      <c r="D940" s="88" t="s">
        <v>2146</v>
      </c>
      <c r="E940" s="87" t="s">
        <v>1946</v>
      </c>
      <c r="F940" s="82" t="s">
        <v>2147</v>
      </c>
    </row>
    <row r="941" spans="1:6" x14ac:dyDescent="0.25">
      <c r="A941" s="85">
        <v>46262</v>
      </c>
      <c r="B941" s="86" t="s">
        <v>1778</v>
      </c>
      <c r="C941" s="86">
        <v>1000</v>
      </c>
      <c r="D941" s="88" t="s">
        <v>1950</v>
      </c>
      <c r="E941" s="87" t="s">
        <v>1946</v>
      </c>
    </row>
    <row r="942" spans="1:6" x14ac:dyDescent="0.25">
      <c r="A942" s="85">
        <v>46262</v>
      </c>
      <c r="B942" s="86" t="s">
        <v>2022</v>
      </c>
      <c r="C942" s="86">
        <v>1000</v>
      </c>
      <c r="D942" s="88" t="s">
        <v>2142</v>
      </c>
      <c r="E942" s="87" t="s">
        <v>1946</v>
      </c>
    </row>
    <row r="943" spans="1:6" x14ac:dyDescent="0.25">
      <c r="A943" s="85">
        <v>46262</v>
      </c>
      <c r="B943" s="86" t="s">
        <v>1520</v>
      </c>
      <c r="C943" s="86">
        <v>1000</v>
      </c>
      <c r="D943" s="88" t="s">
        <v>2013</v>
      </c>
      <c r="E943" s="87" t="s">
        <v>1946</v>
      </c>
    </row>
    <row r="944" spans="1:6" x14ac:dyDescent="0.25">
      <c r="A944" s="85">
        <v>46262</v>
      </c>
      <c r="B944" s="86" t="s">
        <v>1486</v>
      </c>
      <c r="C944" s="86">
        <v>4000</v>
      </c>
      <c r="D944" s="88" t="s">
        <v>2141</v>
      </c>
      <c r="E944" s="87" t="s">
        <v>1946</v>
      </c>
    </row>
    <row r="945" spans="1:6" x14ac:dyDescent="0.25">
      <c r="A945" s="85">
        <v>46262</v>
      </c>
      <c r="B945" s="86" t="s">
        <v>896</v>
      </c>
      <c r="C945" s="86">
        <v>4000</v>
      </c>
      <c r="D945" s="88" t="s">
        <v>2141</v>
      </c>
      <c r="E945" s="87" t="s">
        <v>1946</v>
      </c>
    </row>
    <row r="946" spans="1:6" x14ac:dyDescent="0.25">
      <c r="A946" s="85">
        <v>46262</v>
      </c>
      <c r="B946" s="86" t="s">
        <v>2095</v>
      </c>
      <c r="C946" s="86">
        <v>1500</v>
      </c>
      <c r="D946" s="55" t="s">
        <v>1952</v>
      </c>
      <c r="E946" s="87" t="s">
        <v>1946</v>
      </c>
    </row>
    <row r="947" spans="1:6" x14ac:dyDescent="0.25">
      <c r="A947" s="85">
        <v>46262</v>
      </c>
      <c r="B947" s="86" t="s">
        <v>2095</v>
      </c>
      <c r="C947" s="86">
        <v>5850</v>
      </c>
      <c r="D947" s="88" t="s">
        <v>69</v>
      </c>
      <c r="E947" s="87" t="s">
        <v>1946</v>
      </c>
    </row>
    <row r="948" spans="1:6" x14ac:dyDescent="0.25">
      <c r="A948" s="85">
        <v>46263</v>
      </c>
      <c r="B948" s="86" t="s">
        <v>1778</v>
      </c>
      <c r="C948" s="86">
        <v>7900</v>
      </c>
      <c r="D948" s="88" t="s">
        <v>2008</v>
      </c>
      <c r="E948" s="87" t="s">
        <v>1946</v>
      </c>
    </row>
    <row r="949" spans="1:6" x14ac:dyDescent="0.25">
      <c r="A949" s="85">
        <v>46263</v>
      </c>
      <c r="B949" s="86" t="s">
        <v>2044</v>
      </c>
      <c r="C949" s="86">
        <v>5850</v>
      </c>
      <c r="D949" s="88" t="s">
        <v>69</v>
      </c>
      <c r="E949" s="87" t="s">
        <v>1946</v>
      </c>
    </row>
    <row r="950" spans="1:6" x14ac:dyDescent="0.25">
      <c r="A950" s="85">
        <v>46263</v>
      </c>
      <c r="B950" s="86" t="s">
        <v>1498</v>
      </c>
      <c r="C950" s="86">
        <v>600</v>
      </c>
      <c r="D950" s="88" t="s">
        <v>2148</v>
      </c>
      <c r="E950" s="87" t="s">
        <v>1946</v>
      </c>
      <c r="F950" s="82" t="s">
        <v>2145</v>
      </c>
    </row>
    <row r="951" spans="1:6" x14ac:dyDescent="0.25">
      <c r="A951" s="85">
        <v>46263</v>
      </c>
      <c r="B951" s="86" t="s">
        <v>1495</v>
      </c>
      <c r="C951" s="86">
        <v>600</v>
      </c>
      <c r="D951" s="88" t="s">
        <v>2148</v>
      </c>
      <c r="E951" s="87" t="s">
        <v>1946</v>
      </c>
      <c r="F951" s="82" t="s">
        <v>2145</v>
      </c>
    </row>
    <row r="952" spans="1:6" x14ac:dyDescent="0.25">
      <c r="A952" s="85">
        <v>46263</v>
      </c>
      <c r="B952" s="86" t="s">
        <v>904</v>
      </c>
      <c r="C952" s="86">
        <v>600</v>
      </c>
      <c r="D952" s="88" t="s">
        <v>2149</v>
      </c>
      <c r="E952" s="87" t="s">
        <v>1946</v>
      </c>
      <c r="F952" s="82" t="s">
        <v>2147</v>
      </c>
    </row>
    <row r="953" spans="1:6" x14ac:dyDescent="0.25">
      <c r="A953" s="85">
        <v>46263</v>
      </c>
      <c r="B953" s="86" t="s">
        <v>1486</v>
      </c>
      <c r="C953" s="86">
        <v>600</v>
      </c>
      <c r="D953" s="88" t="s">
        <v>2148</v>
      </c>
      <c r="E953" s="87" t="s">
        <v>1946</v>
      </c>
      <c r="F953" s="82" t="s">
        <v>2145</v>
      </c>
    </row>
    <row r="954" spans="1:6" x14ac:dyDescent="0.25">
      <c r="A954" s="85">
        <v>46263</v>
      </c>
      <c r="B954" s="86" t="s">
        <v>1495</v>
      </c>
      <c r="C954" s="86">
        <v>3700</v>
      </c>
      <c r="D954" s="88" t="s">
        <v>69</v>
      </c>
      <c r="E954" s="87" t="s">
        <v>1946</v>
      </c>
    </row>
    <row r="955" spans="1:6" x14ac:dyDescent="0.25">
      <c r="A955" s="85">
        <v>46263</v>
      </c>
      <c r="B955" s="86" t="s">
        <v>1486</v>
      </c>
      <c r="C955" s="86">
        <v>3700</v>
      </c>
      <c r="D955" s="88" t="s">
        <v>69</v>
      </c>
      <c r="E955" s="87" t="s">
        <v>1946</v>
      </c>
    </row>
    <row r="956" spans="1:6" x14ac:dyDescent="0.25">
      <c r="A956" s="85">
        <v>46263</v>
      </c>
      <c r="B956" s="86" t="s">
        <v>904</v>
      </c>
      <c r="C956" s="86">
        <v>3700</v>
      </c>
      <c r="D956" s="88" t="s">
        <v>69</v>
      </c>
      <c r="E956" s="87" t="s">
        <v>1946</v>
      </c>
    </row>
    <row r="957" spans="1:6" x14ac:dyDescent="0.25">
      <c r="A957" s="85">
        <v>46263</v>
      </c>
      <c r="B957" s="86" t="s">
        <v>1498</v>
      </c>
      <c r="C957" s="86">
        <v>3700</v>
      </c>
      <c r="D957" s="88" t="s">
        <v>69</v>
      </c>
      <c r="E957" s="87" t="s">
        <v>1946</v>
      </c>
    </row>
    <row r="958" spans="1:6" x14ac:dyDescent="0.25">
      <c r="A958" s="85">
        <v>46265</v>
      </c>
      <c r="B958" s="86" t="s">
        <v>1778</v>
      </c>
      <c r="C958" s="86">
        <v>1000</v>
      </c>
      <c r="D958" s="88" t="s">
        <v>1950</v>
      </c>
      <c r="E958" s="87" t="s">
        <v>1946</v>
      </c>
    </row>
    <row r="959" spans="1:6" x14ac:dyDescent="0.25">
      <c r="A959" s="85">
        <v>46265</v>
      </c>
      <c r="B959" s="86" t="s">
        <v>1520</v>
      </c>
      <c r="C959" s="86">
        <v>3000</v>
      </c>
      <c r="D959" s="88" t="s">
        <v>2150</v>
      </c>
      <c r="E959" s="87" t="s">
        <v>1946</v>
      </c>
    </row>
    <row r="960" spans="1:6" x14ac:dyDescent="0.25">
      <c r="A960" s="103">
        <v>46265</v>
      </c>
      <c r="B960" s="104" t="s">
        <v>2137</v>
      </c>
      <c r="C960" s="104">
        <v>3000</v>
      </c>
      <c r="D960" s="105" t="s">
        <v>2150</v>
      </c>
      <c r="E960" s="104"/>
      <c r="F960" s="101" t="s">
        <v>2155</v>
      </c>
    </row>
    <row r="961" spans="1:6" x14ac:dyDescent="0.25">
      <c r="A961" s="85">
        <v>46265</v>
      </c>
      <c r="B961" s="86" t="s">
        <v>896</v>
      </c>
      <c r="C961" s="86">
        <v>600</v>
      </c>
      <c r="D961" s="88" t="s">
        <v>2148</v>
      </c>
      <c r="E961" s="87" t="s">
        <v>1946</v>
      </c>
    </row>
    <row r="962" spans="1:6" x14ac:dyDescent="0.25">
      <c r="A962" s="85">
        <v>46265</v>
      </c>
      <c r="B962" s="86" t="s">
        <v>896</v>
      </c>
      <c r="C962" s="86">
        <v>3700</v>
      </c>
      <c r="D962" s="88" t="s">
        <v>69</v>
      </c>
      <c r="E962" s="87" t="s">
        <v>1946</v>
      </c>
    </row>
    <row r="963" spans="1:6" x14ac:dyDescent="0.25">
      <c r="A963" s="85">
        <v>46265</v>
      </c>
      <c r="B963" s="86" t="s">
        <v>2095</v>
      </c>
      <c r="C963" s="86">
        <v>5850</v>
      </c>
      <c r="D963" s="88" t="s">
        <v>69</v>
      </c>
      <c r="E963" s="87" t="s">
        <v>1946</v>
      </c>
    </row>
    <row r="964" spans="1:6" x14ac:dyDescent="0.25">
      <c r="A964" s="85">
        <v>46265</v>
      </c>
      <c r="B964" s="86" t="s">
        <v>1495</v>
      </c>
      <c r="C964" s="86">
        <v>5600</v>
      </c>
      <c r="D964" s="88" t="s">
        <v>35</v>
      </c>
      <c r="E964" s="87" t="s">
        <v>1946</v>
      </c>
    </row>
    <row r="965" spans="1:6" x14ac:dyDescent="0.25">
      <c r="A965" s="85">
        <v>46265</v>
      </c>
      <c r="B965" s="86" t="s">
        <v>2044</v>
      </c>
      <c r="C965" s="86">
        <v>5850</v>
      </c>
      <c r="D965" s="88" t="s">
        <v>69</v>
      </c>
      <c r="E965" s="87" t="s">
        <v>1946</v>
      </c>
    </row>
    <row r="966" spans="1:6" x14ac:dyDescent="0.25">
      <c r="A966" s="85">
        <v>46265</v>
      </c>
      <c r="B966" s="86" t="s">
        <v>1498</v>
      </c>
      <c r="C966" s="86">
        <v>1900</v>
      </c>
      <c r="D966" s="55" t="s">
        <v>1952</v>
      </c>
      <c r="E966" s="87" t="s">
        <v>1946</v>
      </c>
    </row>
    <row r="967" spans="1:6" x14ac:dyDescent="0.25">
      <c r="A967" s="85">
        <v>46266</v>
      </c>
      <c r="B967" s="86" t="s">
        <v>1498</v>
      </c>
      <c r="C967" s="86">
        <v>500</v>
      </c>
      <c r="D967" s="88" t="s">
        <v>2151</v>
      </c>
      <c r="E967" s="87" t="s">
        <v>1946</v>
      </c>
    </row>
    <row r="968" spans="1:6" x14ac:dyDescent="0.25">
      <c r="A968" s="85">
        <v>46266</v>
      </c>
      <c r="B968" s="86" t="s">
        <v>1484</v>
      </c>
      <c r="C968" s="86">
        <v>8100</v>
      </c>
      <c r="D968" s="83" t="s">
        <v>141</v>
      </c>
      <c r="E968" s="87" t="s">
        <v>1946</v>
      </c>
    </row>
    <row r="969" spans="1:6" x14ac:dyDescent="0.25">
      <c r="A969" s="85">
        <v>46266</v>
      </c>
      <c r="B969" s="86" t="s">
        <v>1520</v>
      </c>
      <c r="C969" s="86">
        <v>6800</v>
      </c>
      <c r="D969" s="83" t="s">
        <v>2153</v>
      </c>
      <c r="E969" s="87" t="s">
        <v>1946</v>
      </c>
    </row>
    <row r="970" spans="1:6" x14ac:dyDescent="0.25">
      <c r="A970" s="85">
        <v>46266</v>
      </c>
      <c r="B970" s="86" t="s">
        <v>1778</v>
      </c>
      <c r="C970" s="86">
        <v>5850</v>
      </c>
      <c r="D970" s="88" t="s">
        <v>69</v>
      </c>
      <c r="E970" s="87" t="s">
        <v>1946</v>
      </c>
    </row>
    <row r="971" spans="1:6" x14ac:dyDescent="0.25">
      <c r="A971" s="85">
        <v>46266</v>
      </c>
      <c r="B971" s="86" t="s">
        <v>904</v>
      </c>
      <c r="C971" s="86">
        <v>5850</v>
      </c>
      <c r="D971" s="88" t="s">
        <v>69</v>
      </c>
      <c r="E971" s="87" t="s">
        <v>1946</v>
      </c>
    </row>
    <row r="972" spans="1:6" x14ac:dyDescent="0.25">
      <c r="A972" s="85">
        <v>46266</v>
      </c>
      <c r="B972" s="86" t="s">
        <v>1498</v>
      </c>
      <c r="C972" s="86">
        <v>5850</v>
      </c>
      <c r="D972" s="88" t="s">
        <v>69</v>
      </c>
      <c r="E972" s="87" t="s">
        <v>1946</v>
      </c>
    </row>
    <row r="973" spans="1:6" x14ac:dyDescent="0.25">
      <c r="A973" s="85">
        <v>46266</v>
      </c>
      <c r="B973" s="86" t="s">
        <v>2154</v>
      </c>
      <c r="C973" s="86">
        <v>8100</v>
      </c>
      <c r="D973" s="55" t="s">
        <v>2018</v>
      </c>
      <c r="E973" s="87" t="s">
        <v>1946</v>
      </c>
    </row>
    <row r="974" spans="1:6" x14ac:dyDescent="0.25">
      <c r="A974" s="85">
        <v>46266</v>
      </c>
      <c r="B974" s="86" t="s">
        <v>2095</v>
      </c>
      <c r="C974" s="86">
        <v>1900</v>
      </c>
      <c r="D974" s="55" t="s">
        <v>1952</v>
      </c>
      <c r="E974" s="87" t="s">
        <v>1946</v>
      </c>
    </row>
    <row r="975" spans="1:6" x14ac:dyDescent="0.25">
      <c r="A975" s="85">
        <v>46267</v>
      </c>
      <c r="B975" s="86" t="s">
        <v>2137</v>
      </c>
      <c r="C975" s="86">
        <v>500</v>
      </c>
      <c r="D975" s="88" t="s">
        <v>2152</v>
      </c>
      <c r="E975" s="87" t="s">
        <v>1946</v>
      </c>
      <c r="F975" s="82" t="s">
        <v>2156</v>
      </c>
    </row>
    <row r="976" spans="1:6" x14ac:dyDescent="0.25">
      <c r="A976" s="85">
        <v>46267</v>
      </c>
      <c r="B976" s="86" t="s">
        <v>2095</v>
      </c>
      <c r="C976" s="86">
        <v>500</v>
      </c>
      <c r="D976" s="88" t="s">
        <v>2151</v>
      </c>
      <c r="E976" s="87" t="s">
        <v>1946</v>
      </c>
    </row>
    <row r="977" spans="1:5" x14ac:dyDescent="0.25">
      <c r="A977" s="85">
        <v>46267</v>
      </c>
      <c r="B977" s="86" t="s">
        <v>1495</v>
      </c>
      <c r="C977" s="86">
        <v>4150</v>
      </c>
      <c r="D977" s="88" t="s">
        <v>1972</v>
      </c>
      <c r="E977" s="87" t="s">
        <v>1946</v>
      </c>
    </row>
    <row r="978" spans="1:5" x14ac:dyDescent="0.25">
      <c r="A978" s="85">
        <v>46267</v>
      </c>
      <c r="B978" s="86" t="s">
        <v>896</v>
      </c>
      <c r="C978" s="86">
        <v>5850</v>
      </c>
      <c r="D978" s="88" t="s">
        <v>69</v>
      </c>
      <c r="E978" s="87" t="s">
        <v>1946</v>
      </c>
    </row>
    <row r="979" spans="1:5" x14ac:dyDescent="0.25">
      <c r="A979" s="85">
        <v>46267</v>
      </c>
      <c r="B979" s="86" t="s">
        <v>2095</v>
      </c>
      <c r="C979" s="86">
        <v>5850</v>
      </c>
      <c r="D979" s="88" t="s">
        <v>69</v>
      </c>
      <c r="E979" s="87" t="s">
        <v>1946</v>
      </c>
    </row>
    <row r="980" spans="1:5" x14ac:dyDescent="0.25">
      <c r="A980" s="85">
        <v>46267</v>
      </c>
      <c r="B980" s="86" t="s">
        <v>1778</v>
      </c>
      <c r="C980" s="86">
        <v>8100</v>
      </c>
      <c r="D980" s="83" t="s">
        <v>141</v>
      </c>
      <c r="E980" s="87" t="s">
        <v>1946</v>
      </c>
    </row>
    <row r="981" spans="1:5" x14ac:dyDescent="0.25">
      <c r="A981" s="85">
        <v>46267</v>
      </c>
      <c r="B981" s="86" t="s">
        <v>2044</v>
      </c>
      <c r="C981" s="86">
        <v>1900</v>
      </c>
      <c r="D981" s="55" t="s">
        <v>1952</v>
      </c>
      <c r="E981" s="87" t="s">
        <v>1946</v>
      </c>
    </row>
    <row r="982" spans="1:5" x14ac:dyDescent="0.25">
      <c r="A982" s="85">
        <v>46267</v>
      </c>
      <c r="B982" s="86" t="s">
        <v>1520</v>
      </c>
      <c r="C982" s="86">
        <v>200</v>
      </c>
      <c r="D982" s="88" t="s">
        <v>2157</v>
      </c>
      <c r="E982" s="87" t="s">
        <v>1946</v>
      </c>
    </row>
    <row r="983" spans="1:5" x14ac:dyDescent="0.25">
      <c r="A983" s="85">
        <v>46268</v>
      </c>
      <c r="B983" s="86" t="s">
        <v>1520</v>
      </c>
      <c r="C983" s="86">
        <v>1700</v>
      </c>
      <c r="D983" s="88" t="s">
        <v>1947</v>
      </c>
      <c r="E983" s="87" t="s">
        <v>1946</v>
      </c>
    </row>
    <row r="984" spans="1:5" x14ac:dyDescent="0.25">
      <c r="A984" s="85">
        <v>46268</v>
      </c>
      <c r="B984" s="86" t="s">
        <v>896</v>
      </c>
      <c r="C984" s="86">
        <v>1500</v>
      </c>
      <c r="D984" s="55" t="s">
        <v>1952</v>
      </c>
      <c r="E984" s="87" t="s">
        <v>1946</v>
      </c>
    </row>
    <row r="985" spans="1:5" x14ac:dyDescent="0.25">
      <c r="A985" s="85">
        <v>46268</v>
      </c>
      <c r="B985" s="86" t="s">
        <v>1495</v>
      </c>
      <c r="C985" s="86">
        <v>1500</v>
      </c>
      <c r="D985" s="55" t="s">
        <v>1952</v>
      </c>
      <c r="E985" s="87" t="s">
        <v>1946</v>
      </c>
    </row>
    <row r="986" spans="1:5" x14ac:dyDescent="0.25">
      <c r="A986" s="85">
        <v>46268</v>
      </c>
      <c r="B986" s="86" t="s">
        <v>904</v>
      </c>
      <c r="C986" s="86">
        <v>5400</v>
      </c>
      <c r="D986" s="88" t="s">
        <v>1957</v>
      </c>
      <c r="E986" s="87" t="s">
        <v>1946</v>
      </c>
    </row>
    <row r="987" spans="1:5" x14ac:dyDescent="0.25">
      <c r="A987" s="85">
        <v>46268</v>
      </c>
      <c r="B987" s="86" t="s">
        <v>896</v>
      </c>
      <c r="C987" s="86">
        <v>5400</v>
      </c>
      <c r="D987" s="88" t="s">
        <v>1957</v>
      </c>
      <c r="E987" s="87" t="s">
        <v>1946</v>
      </c>
    </row>
    <row r="988" spans="1:5" x14ac:dyDescent="0.25">
      <c r="A988" s="85">
        <v>46268</v>
      </c>
      <c r="B988" s="86" t="s">
        <v>2044</v>
      </c>
      <c r="C988" s="86">
        <v>5850</v>
      </c>
      <c r="D988" s="88" t="s">
        <v>69</v>
      </c>
      <c r="E988" s="87" t="s">
        <v>1946</v>
      </c>
    </row>
    <row r="989" spans="1:5" x14ac:dyDescent="0.25">
      <c r="A989" s="85">
        <v>46268</v>
      </c>
      <c r="B989" s="86" t="s">
        <v>2044</v>
      </c>
      <c r="C989" s="86">
        <v>400</v>
      </c>
      <c r="D989" s="88" t="s">
        <v>2013</v>
      </c>
      <c r="E989" s="87" t="s">
        <v>1946</v>
      </c>
    </row>
    <row r="990" spans="1:5" x14ac:dyDescent="0.25">
      <c r="A990" s="85">
        <v>46268</v>
      </c>
      <c r="B990" s="86" t="s">
        <v>1495</v>
      </c>
      <c r="C990" s="86">
        <v>5850</v>
      </c>
      <c r="D990" s="88" t="s">
        <v>69</v>
      </c>
      <c r="E990" s="87" t="s">
        <v>1946</v>
      </c>
    </row>
    <row r="991" spans="1:5" x14ac:dyDescent="0.25">
      <c r="A991" s="85">
        <v>46268</v>
      </c>
      <c r="B991" s="86" t="s">
        <v>2095</v>
      </c>
      <c r="C991" s="86">
        <v>5850</v>
      </c>
      <c r="D991" s="88" t="s">
        <v>69</v>
      </c>
      <c r="E991" s="87" t="s">
        <v>1946</v>
      </c>
    </row>
    <row r="992" spans="1:5" x14ac:dyDescent="0.25">
      <c r="A992" s="85">
        <v>46268</v>
      </c>
      <c r="B992" s="86" t="s">
        <v>2154</v>
      </c>
      <c r="C992" s="86">
        <v>8100</v>
      </c>
      <c r="D992" s="83" t="s">
        <v>141</v>
      </c>
      <c r="E992" s="87" t="s">
        <v>1946</v>
      </c>
    </row>
    <row r="993" spans="1:6" x14ac:dyDescent="0.25">
      <c r="A993" s="85">
        <v>46268</v>
      </c>
      <c r="B993" s="86" t="s">
        <v>1484</v>
      </c>
      <c r="C993" s="86">
        <v>6800</v>
      </c>
      <c r="D993" s="83" t="s">
        <v>2153</v>
      </c>
      <c r="E993" s="87" t="s">
        <v>1946</v>
      </c>
    </row>
    <row r="994" spans="1:6" x14ac:dyDescent="0.25">
      <c r="A994" s="85">
        <v>46269</v>
      </c>
      <c r="B994" s="86" t="s">
        <v>1520</v>
      </c>
      <c r="C994" s="86">
        <v>1000</v>
      </c>
      <c r="D994" s="88" t="s">
        <v>1951</v>
      </c>
      <c r="E994" s="87" t="s">
        <v>1946</v>
      </c>
    </row>
    <row r="995" spans="1:6" x14ac:dyDescent="0.25">
      <c r="A995" s="85">
        <v>46269</v>
      </c>
      <c r="B995" s="86" t="s">
        <v>1778</v>
      </c>
      <c r="C995" s="86">
        <v>6800</v>
      </c>
      <c r="D995" s="83" t="s">
        <v>2153</v>
      </c>
      <c r="E995" s="87" t="s">
        <v>1946</v>
      </c>
    </row>
    <row r="996" spans="1:6" x14ac:dyDescent="0.25">
      <c r="A996" s="85">
        <v>46269</v>
      </c>
      <c r="B996" s="86" t="s">
        <v>1520</v>
      </c>
      <c r="C996" s="86">
        <v>1000</v>
      </c>
      <c r="D996" s="88" t="s">
        <v>1951</v>
      </c>
      <c r="E996" s="87" t="s">
        <v>1946</v>
      </c>
    </row>
    <row r="997" spans="1:6" x14ac:dyDescent="0.25">
      <c r="A997" s="85">
        <v>46269</v>
      </c>
      <c r="B997" s="86" t="s">
        <v>1520</v>
      </c>
      <c r="C997" s="86">
        <v>700</v>
      </c>
      <c r="D997" s="88" t="s">
        <v>1951</v>
      </c>
      <c r="E997" s="87" t="s">
        <v>1946</v>
      </c>
    </row>
    <row r="998" spans="1:6" x14ac:dyDescent="0.25">
      <c r="A998" s="85">
        <v>46269</v>
      </c>
      <c r="B998" s="86" t="s">
        <v>2044</v>
      </c>
      <c r="C998" s="86">
        <v>1500</v>
      </c>
      <c r="D998" s="55" t="s">
        <v>1952</v>
      </c>
      <c r="E998" s="87" t="s">
        <v>1946</v>
      </c>
    </row>
    <row r="999" spans="1:6" x14ac:dyDescent="0.25">
      <c r="A999" s="85">
        <v>46269</v>
      </c>
      <c r="B999" s="86" t="s">
        <v>2044</v>
      </c>
      <c r="C999" s="86">
        <v>500</v>
      </c>
      <c r="D999" s="88" t="s">
        <v>2151</v>
      </c>
      <c r="E999" s="87" t="s">
        <v>1946</v>
      </c>
    </row>
    <row r="1000" spans="1:6" x14ac:dyDescent="0.25">
      <c r="A1000" s="85">
        <v>46269</v>
      </c>
      <c r="B1000" s="86" t="s">
        <v>1498</v>
      </c>
      <c r="C1000" s="86">
        <v>1900</v>
      </c>
      <c r="D1000" s="55" t="s">
        <v>1952</v>
      </c>
      <c r="E1000" s="87" t="s">
        <v>1946</v>
      </c>
    </row>
    <row r="1001" spans="1:6" x14ac:dyDescent="0.25">
      <c r="A1001" s="85">
        <v>46269</v>
      </c>
      <c r="B1001" s="86" t="s">
        <v>1495</v>
      </c>
      <c r="C1001" s="86">
        <v>7900</v>
      </c>
      <c r="D1001" s="88" t="s">
        <v>1960</v>
      </c>
      <c r="E1001" s="87" t="s">
        <v>1946</v>
      </c>
    </row>
    <row r="1002" spans="1:6" x14ac:dyDescent="0.25">
      <c r="A1002" s="85">
        <v>46269</v>
      </c>
      <c r="B1002" s="86" t="s">
        <v>2044</v>
      </c>
      <c r="C1002" s="86">
        <v>7900</v>
      </c>
      <c r="D1002" s="88" t="s">
        <v>1960</v>
      </c>
      <c r="E1002" s="87" t="s">
        <v>1946</v>
      </c>
    </row>
    <row r="1003" spans="1:6" x14ac:dyDescent="0.25">
      <c r="A1003" s="85">
        <v>46270</v>
      </c>
      <c r="B1003" s="86" t="s">
        <v>1498</v>
      </c>
      <c r="C1003" s="86">
        <v>5850</v>
      </c>
      <c r="D1003" s="88" t="s">
        <v>69</v>
      </c>
      <c r="E1003" s="87" t="s">
        <v>1946</v>
      </c>
    </row>
    <row r="1004" spans="1:6" x14ac:dyDescent="0.25">
      <c r="A1004" s="85">
        <v>46270</v>
      </c>
      <c r="B1004" s="86" t="s">
        <v>2154</v>
      </c>
      <c r="C1004" s="86">
        <v>5850</v>
      </c>
      <c r="D1004" s="88" t="s">
        <v>69</v>
      </c>
      <c r="E1004" s="87" t="s">
        <v>1946</v>
      </c>
    </row>
    <row r="1005" spans="1:6" x14ac:dyDescent="0.25">
      <c r="A1005" s="85">
        <v>46270</v>
      </c>
      <c r="B1005" s="86" t="s">
        <v>904</v>
      </c>
      <c r="C1005" s="86">
        <v>5850</v>
      </c>
      <c r="D1005" s="88" t="s">
        <v>69</v>
      </c>
      <c r="E1005" s="87" t="s">
        <v>1946</v>
      </c>
    </row>
    <row r="1006" spans="1:6" x14ac:dyDescent="0.25">
      <c r="A1006" s="85">
        <v>46270</v>
      </c>
      <c r="B1006" s="86" t="s">
        <v>896</v>
      </c>
      <c r="C1006" s="86">
        <v>5850</v>
      </c>
      <c r="D1006" s="88" t="s">
        <v>69</v>
      </c>
      <c r="E1006" s="87" t="s">
        <v>1946</v>
      </c>
    </row>
    <row r="1007" spans="1:6" x14ac:dyDescent="0.25">
      <c r="A1007" s="85">
        <v>46270</v>
      </c>
      <c r="B1007" s="86" t="s">
        <v>2095</v>
      </c>
      <c r="C1007" s="86">
        <v>5850</v>
      </c>
      <c r="D1007" s="88" t="s">
        <v>69</v>
      </c>
      <c r="E1007" s="87" t="s">
        <v>1946</v>
      </c>
    </row>
    <row r="1008" spans="1:6" x14ac:dyDescent="0.25">
      <c r="A1008" s="85">
        <v>46270</v>
      </c>
      <c r="B1008" s="86" t="s">
        <v>1484</v>
      </c>
      <c r="C1008" s="86">
        <v>6800</v>
      </c>
      <c r="D1008" s="83" t="s">
        <v>2153</v>
      </c>
      <c r="E1008" s="87" t="s">
        <v>1946</v>
      </c>
      <c r="F1008" s="82" t="s">
        <v>2162</v>
      </c>
    </row>
    <row r="1009" spans="1:6" x14ac:dyDescent="0.25">
      <c r="A1009" s="85">
        <v>46270</v>
      </c>
      <c r="B1009" s="86" t="s">
        <v>1778</v>
      </c>
      <c r="C1009" s="86">
        <v>6800</v>
      </c>
      <c r="D1009" s="83" t="s">
        <v>2153</v>
      </c>
      <c r="E1009" s="87" t="s">
        <v>1946</v>
      </c>
    </row>
    <row r="1010" spans="1:6" x14ac:dyDescent="0.25">
      <c r="A1010" s="85">
        <v>46270</v>
      </c>
      <c r="B1010" s="86" t="s">
        <v>2022</v>
      </c>
      <c r="C1010" s="86">
        <v>6800</v>
      </c>
      <c r="D1010" s="83" t="s">
        <v>2158</v>
      </c>
      <c r="E1010" s="87" t="s">
        <v>1946</v>
      </c>
    </row>
    <row r="1011" spans="1:6" x14ac:dyDescent="0.25">
      <c r="A1011" s="103">
        <v>46270</v>
      </c>
      <c r="B1011" s="104" t="s">
        <v>1484</v>
      </c>
      <c r="C1011" s="104">
        <v>0</v>
      </c>
      <c r="D1011" s="105" t="s">
        <v>1947</v>
      </c>
      <c r="E1011" s="106" t="s">
        <v>1946</v>
      </c>
      <c r="F1011" s="101" t="s">
        <v>2163</v>
      </c>
    </row>
    <row r="1012" spans="1:6" x14ac:dyDescent="0.25">
      <c r="A1012" s="103">
        <v>46270</v>
      </c>
      <c r="B1012" s="104" t="s">
        <v>1484</v>
      </c>
      <c r="C1012" s="104">
        <v>0</v>
      </c>
      <c r="D1012" s="105" t="s">
        <v>2165</v>
      </c>
      <c r="E1012" s="106" t="s">
        <v>1946</v>
      </c>
      <c r="F1012" s="101" t="s">
        <v>2164</v>
      </c>
    </row>
    <row r="1013" spans="1:6" x14ac:dyDescent="0.25">
      <c r="A1013" s="85">
        <v>46271</v>
      </c>
      <c r="B1013" s="86" t="s">
        <v>1495</v>
      </c>
      <c r="C1013" s="86">
        <v>1000</v>
      </c>
      <c r="D1013" s="88" t="s">
        <v>1950</v>
      </c>
      <c r="E1013" s="87" t="s">
        <v>1946</v>
      </c>
    </row>
    <row r="1014" spans="1:6" x14ac:dyDescent="0.25">
      <c r="A1014" s="85">
        <v>46271</v>
      </c>
      <c r="B1014" s="86" t="s">
        <v>2044</v>
      </c>
      <c r="C1014" s="86">
        <v>1000</v>
      </c>
      <c r="D1014" s="88" t="s">
        <v>1950</v>
      </c>
      <c r="E1014" s="87" t="s">
        <v>1946</v>
      </c>
    </row>
    <row r="1015" spans="1:6" x14ac:dyDescent="0.25">
      <c r="A1015" s="85">
        <v>46271</v>
      </c>
      <c r="B1015" s="86" t="s">
        <v>1495</v>
      </c>
      <c r="C1015" s="86">
        <v>6800</v>
      </c>
      <c r="D1015" s="83" t="s">
        <v>2153</v>
      </c>
      <c r="E1015" s="87" t="s">
        <v>1946</v>
      </c>
    </row>
    <row r="1016" spans="1:6" x14ac:dyDescent="0.25">
      <c r="A1016" s="85">
        <v>46271</v>
      </c>
      <c r="B1016" s="86" t="s">
        <v>1520</v>
      </c>
      <c r="C1016" s="86">
        <v>1000</v>
      </c>
      <c r="D1016" s="88" t="s">
        <v>1951</v>
      </c>
      <c r="E1016" s="87" t="s">
        <v>1946</v>
      </c>
    </row>
    <row r="1017" spans="1:6" x14ac:dyDescent="0.25">
      <c r="A1017" s="85">
        <v>46272</v>
      </c>
      <c r="B1017" s="86" t="s">
        <v>904</v>
      </c>
      <c r="C1017" s="86">
        <v>1500</v>
      </c>
      <c r="D1017" s="55" t="s">
        <v>1952</v>
      </c>
      <c r="E1017" s="87" t="s">
        <v>1946</v>
      </c>
    </row>
    <row r="1018" spans="1:6" x14ac:dyDescent="0.25">
      <c r="A1018" s="85">
        <v>46272</v>
      </c>
      <c r="B1018" s="86" t="s">
        <v>2022</v>
      </c>
      <c r="C1018" s="86">
        <f>7900-2200</f>
        <v>5700</v>
      </c>
      <c r="D1018" s="88" t="s">
        <v>1964</v>
      </c>
      <c r="E1018" s="87" t="s">
        <v>1946</v>
      </c>
      <c r="F1018" s="82" t="s">
        <v>2166</v>
      </c>
    </row>
    <row r="1019" spans="1:6" x14ac:dyDescent="0.25">
      <c r="A1019" s="85">
        <v>46272</v>
      </c>
      <c r="B1019" s="86" t="s">
        <v>1778</v>
      </c>
      <c r="C1019" s="86">
        <v>7900</v>
      </c>
      <c r="D1019" s="88" t="s">
        <v>2008</v>
      </c>
      <c r="E1019" s="87" t="s">
        <v>1946</v>
      </c>
    </row>
    <row r="1020" spans="1:6" x14ac:dyDescent="0.25">
      <c r="A1020" s="85">
        <v>46272</v>
      </c>
      <c r="B1020" s="86" t="s">
        <v>2154</v>
      </c>
      <c r="C1020" s="86">
        <v>5850</v>
      </c>
      <c r="D1020" s="88" t="s">
        <v>69</v>
      </c>
      <c r="E1020" s="87" t="s">
        <v>1946</v>
      </c>
    </row>
    <row r="1021" spans="1:6" x14ac:dyDescent="0.25">
      <c r="A1021" s="85">
        <v>46272</v>
      </c>
      <c r="B1021" s="86" t="s">
        <v>904</v>
      </c>
      <c r="C1021" s="86">
        <v>5850</v>
      </c>
      <c r="D1021" s="88" t="s">
        <v>69</v>
      </c>
      <c r="E1021" s="87" t="s">
        <v>1946</v>
      </c>
    </row>
    <row r="1022" spans="1:6" x14ac:dyDescent="0.25">
      <c r="A1022" s="85">
        <v>46272</v>
      </c>
      <c r="B1022" s="86" t="s">
        <v>896</v>
      </c>
      <c r="C1022" s="86">
        <v>5850</v>
      </c>
      <c r="D1022" s="88" t="s">
        <v>69</v>
      </c>
      <c r="E1022" s="87" t="s">
        <v>1946</v>
      </c>
    </row>
    <row r="1023" spans="1:6" x14ac:dyDescent="0.25">
      <c r="A1023" s="85">
        <v>46272</v>
      </c>
      <c r="B1023" s="86" t="s">
        <v>1495</v>
      </c>
      <c r="C1023" s="86">
        <v>5850</v>
      </c>
      <c r="D1023" s="88" t="s">
        <v>69</v>
      </c>
      <c r="E1023" s="87" t="s">
        <v>1946</v>
      </c>
    </row>
    <row r="1024" spans="1:6" x14ac:dyDescent="0.25">
      <c r="A1024" s="85">
        <v>46272</v>
      </c>
      <c r="B1024" s="86" t="s">
        <v>2095</v>
      </c>
      <c r="C1024" s="86">
        <v>2200</v>
      </c>
      <c r="D1024" s="88" t="s">
        <v>1962</v>
      </c>
      <c r="E1024" s="87" t="s">
        <v>1946</v>
      </c>
    </row>
    <row r="1025" spans="1:6" x14ac:dyDescent="0.25">
      <c r="A1025" s="85">
        <v>46272</v>
      </c>
      <c r="B1025" s="86" t="s">
        <v>1498</v>
      </c>
      <c r="C1025" s="86">
        <v>1700</v>
      </c>
      <c r="D1025" s="88" t="s">
        <v>2159</v>
      </c>
      <c r="E1025" s="87" t="s">
        <v>1946</v>
      </c>
    </row>
    <row r="1026" spans="1:6" x14ac:dyDescent="0.25">
      <c r="A1026" s="85">
        <v>46273</v>
      </c>
      <c r="B1026" s="86" t="s">
        <v>2044</v>
      </c>
      <c r="C1026" s="86">
        <v>1200</v>
      </c>
      <c r="D1026" s="88" t="s">
        <v>2160</v>
      </c>
      <c r="E1026" s="87" t="s">
        <v>1946</v>
      </c>
      <c r="F1026" s="82" t="s">
        <v>2161</v>
      </c>
    </row>
    <row r="1027" spans="1:6" x14ac:dyDescent="0.25">
      <c r="A1027" s="85">
        <v>46273</v>
      </c>
      <c r="B1027" s="86" t="s">
        <v>2044</v>
      </c>
      <c r="C1027" s="86">
        <v>3000</v>
      </c>
      <c r="D1027" s="88" t="s">
        <v>1974</v>
      </c>
      <c r="E1027" s="87" t="s">
        <v>1946</v>
      </c>
    </row>
    <row r="1028" spans="1:6" x14ac:dyDescent="0.25">
      <c r="A1028" s="85">
        <v>46273</v>
      </c>
      <c r="B1028" s="86" t="s">
        <v>896</v>
      </c>
      <c r="C1028" s="86">
        <v>1500</v>
      </c>
      <c r="D1028" s="55" t="s">
        <v>1952</v>
      </c>
      <c r="E1028" s="87" t="s">
        <v>1946</v>
      </c>
    </row>
    <row r="1029" spans="1:6" x14ac:dyDescent="0.25">
      <c r="A1029" s="85">
        <v>46273</v>
      </c>
      <c r="B1029" s="86" t="s">
        <v>2154</v>
      </c>
      <c r="C1029" s="86">
        <v>1500</v>
      </c>
      <c r="D1029" s="55" t="s">
        <v>1952</v>
      </c>
      <c r="E1029" s="87" t="s">
        <v>1946</v>
      </c>
    </row>
    <row r="1030" spans="1:6" x14ac:dyDescent="0.25">
      <c r="A1030" s="85">
        <v>46273</v>
      </c>
      <c r="B1030" s="86" t="s">
        <v>2154</v>
      </c>
      <c r="C1030" s="86">
        <v>5850</v>
      </c>
      <c r="D1030" s="88" t="s">
        <v>69</v>
      </c>
      <c r="E1030" s="87" t="s">
        <v>1946</v>
      </c>
    </row>
    <row r="1031" spans="1:6" x14ac:dyDescent="0.25">
      <c r="A1031" s="85">
        <v>46273</v>
      </c>
      <c r="B1031" s="86" t="s">
        <v>904</v>
      </c>
      <c r="C1031" s="86">
        <v>5850</v>
      </c>
      <c r="D1031" s="88" t="s">
        <v>69</v>
      </c>
      <c r="E1031" s="87" t="s">
        <v>1946</v>
      </c>
    </row>
    <row r="1032" spans="1:6" x14ac:dyDescent="0.25">
      <c r="A1032" s="85">
        <v>46273</v>
      </c>
      <c r="B1032" s="86" t="s">
        <v>896</v>
      </c>
      <c r="C1032" s="86">
        <v>5850</v>
      </c>
      <c r="D1032" s="88" t="s">
        <v>69</v>
      </c>
      <c r="E1032" s="87" t="s">
        <v>1946</v>
      </c>
    </row>
    <row r="1033" spans="1:6" x14ac:dyDescent="0.25">
      <c r="A1033" s="85">
        <v>46273</v>
      </c>
      <c r="B1033" s="86" t="s">
        <v>1495</v>
      </c>
      <c r="C1033" s="86">
        <v>5850</v>
      </c>
      <c r="D1033" s="88" t="s">
        <v>69</v>
      </c>
      <c r="E1033" s="87" t="s">
        <v>1946</v>
      </c>
    </row>
    <row r="1034" spans="1:6" x14ac:dyDescent="0.25">
      <c r="A1034" s="92">
        <v>46273</v>
      </c>
      <c r="B1034" s="82" t="s">
        <v>2044</v>
      </c>
      <c r="C1034" s="86">
        <v>6000</v>
      </c>
      <c r="D1034" s="88" t="s">
        <v>2133</v>
      </c>
      <c r="E1034" s="87" t="s">
        <v>1946</v>
      </c>
    </row>
    <row r="1035" spans="1:6" x14ac:dyDescent="0.25">
      <c r="A1035" s="92">
        <v>46273</v>
      </c>
      <c r="B1035" s="82" t="s">
        <v>2044</v>
      </c>
      <c r="C1035" s="93">
        <v>1000</v>
      </c>
      <c r="D1035" s="94" t="s">
        <v>2026</v>
      </c>
      <c r="E1035" s="95" t="s">
        <v>1946</v>
      </c>
    </row>
    <row r="1036" spans="1:6" x14ac:dyDescent="0.25">
      <c r="A1036" s="85">
        <v>46273</v>
      </c>
      <c r="B1036" s="86" t="s">
        <v>2095</v>
      </c>
      <c r="C1036" s="86">
        <v>1000</v>
      </c>
      <c r="D1036" s="88" t="s">
        <v>1951</v>
      </c>
      <c r="E1036" s="87" t="s">
        <v>1946</v>
      </c>
    </row>
    <row r="1037" spans="1:6" x14ac:dyDescent="0.25">
      <c r="A1037" s="85">
        <v>46273</v>
      </c>
      <c r="B1037" s="86" t="s">
        <v>2095</v>
      </c>
      <c r="C1037" s="86">
        <v>4700</v>
      </c>
      <c r="D1037" s="88" t="s">
        <v>1955</v>
      </c>
      <c r="E1037" s="87" t="s">
        <v>1946</v>
      </c>
    </row>
    <row r="1038" spans="1:6" x14ac:dyDescent="0.25">
      <c r="A1038" s="85">
        <v>46274</v>
      </c>
      <c r="B1038" s="86" t="s">
        <v>1778</v>
      </c>
      <c r="C1038" s="86">
        <v>1000</v>
      </c>
      <c r="D1038" s="88" t="s">
        <v>1950</v>
      </c>
      <c r="E1038" s="87" t="s">
        <v>1946</v>
      </c>
    </row>
    <row r="1039" spans="1:6" x14ac:dyDescent="0.25">
      <c r="A1039" s="85">
        <v>46274</v>
      </c>
      <c r="B1039" s="86" t="s">
        <v>1495</v>
      </c>
      <c r="C1039" s="86">
        <v>1500</v>
      </c>
      <c r="D1039" s="55" t="s">
        <v>1952</v>
      </c>
      <c r="E1039" s="87" t="s">
        <v>1946</v>
      </c>
    </row>
    <row r="1040" spans="1:6" x14ac:dyDescent="0.25">
      <c r="A1040" s="85">
        <v>46274</v>
      </c>
      <c r="B1040" s="86" t="s">
        <v>2095</v>
      </c>
      <c r="C1040" s="86">
        <v>5850</v>
      </c>
      <c r="D1040" s="88" t="s">
        <v>69</v>
      </c>
      <c r="E1040" s="87" t="s">
        <v>1946</v>
      </c>
    </row>
    <row r="1041" spans="1:6" x14ac:dyDescent="0.25">
      <c r="A1041" s="85">
        <v>46274</v>
      </c>
      <c r="B1041" s="86" t="s">
        <v>2154</v>
      </c>
      <c r="C1041" s="86">
        <v>5850</v>
      </c>
      <c r="D1041" s="88" t="s">
        <v>69</v>
      </c>
      <c r="E1041" s="87" t="s">
        <v>1946</v>
      </c>
    </row>
    <row r="1042" spans="1:6" x14ac:dyDescent="0.25">
      <c r="A1042" s="85">
        <v>46274</v>
      </c>
      <c r="B1042" s="86" t="s">
        <v>904</v>
      </c>
      <c r="C1042" s="86">
        <v>5850</v>
      </c>
      <c r="D1042" s="88" t="s">
        <v>69</v>
      </c>
      <c r="E1042" s="87" t="s">
        <v>1946</v>
      </c>
    </row>
    <row r="1043" spans="1:6" x14ac:dyDescent="0.25">
      <c r="A1043" s="85">
        <v>46274</v>
      </c>
      <c r="B1043" s="86" t="s">
        <v>896</v>
      </c>
      <c r="C1043" s="86">
        <v>5850</v>
      </c>
      <c r="D1043" s="88" t="s">
        <v>69</v>
      </c>
      <c r="E1043" s="87" t="s">
        <v>1946</v>
      </c>
    </row>
    <row r="1044" spans="1:6" x14ac:dyDescent="0.25">
      <c r="A1044" s="85">
        <v>46274</v>
      </c>
      <c r="B1044" s="86" t="s">
        <v>1495</v>
      </c>
      <c r="C1044" s="86">
        <v>5850</v>
      </c>
      <c r="D1044" s="88" t="s">
        <v>69</v>
      </c>
      <c r="E1044" s="87" t="s">
        <v>1946</v>
      </c>
    </row>
    <row r="1045" spans="1:6" x14ac:dyDescent="0.25">
      <c r="A1045" s="85">
        <v>46275</v>
      </c>
      <c r="B1045" s="86" t="s">
        <v>1778</v>
      </c>
      <c r="C1045" s="86">
        <v>6800</v>
      </c>
      <c r="D1045" s="83" t="s">
        <v>2153</v>
      </c>
      <c r="E1045" s="87" t="s">
        <v>1946</v>
      </c>
    </row>
    <row r="1046" spans="1:6" x14ac:dyDescent="0.25">
      <c r="A1046" s="85">
        <v>46275</v>
      </c>
      <c r="B1046" s="86" t="s">
        <v>2022</v>
      </c>
      <c r="C1046" s="86">
        <v>1000</v>
      </c>
      <c r="D1046" s="88" t="s">
        <v>1950</v>
      </c>
      <c r="E1046" s="87" t="s">
        <v>1946</v>
      </c>
    </row>
    <row r="1047" spans="1:6" x14ac:dyDescent="0.25">
      <c r="A1047" s="85">
        <v>46275</v>
      </c>
      <c r="B1047" s="86" t="s">
        <v>2022</v>
      </c>
      <c r="C1047" s="86">
        <f>6300-5700</f>
        <v>600</v>
      </c>
      <c r="D1047" s="88" t="s">
        <v>2167</v>
      </c>
      <c r="E1047" s="87" t="s">
        <v>1946</v>
      </c>
      <c r="F1047" s="82" t="s">
        <v>2168</v>
      </c>
    </row>
    <row r="1048" spans="1:6" x14ac:dyDescent="0.25">
      <c r="A1048" s="85">
        <v>46275</v>
      </c>
      <c r="B1048" s="86" t="s">
        <v>2154</v>
      </c>
      <c r="C1048" s="86">
        <v>5850</v>
      </c>
      <c r="D1048" s="88" t="s">
        <v>69</v>
      </c>
      <c r="E1048" s="87" t="s">
        <v>1946</v>
      </c>
    </row>
    <row r="1049" spans="1:6" x14ac:dyDescent="0.25">
      <c r="A1049" s="85">
        <v>46275</v>
      </c>
      <c r="B1049" s="86" t="s">
        <v>904</v>
      </c>
      <c r="C1049" s="86">
        <v>1500</v>
      </c>
      <c r="D1049" s="55" t="s">
        <v>1952</v>
      </c>
      <c r="E1049" s="87" t="s">
        <v>1946</v>
      </c>
    </row>
    <row r="1050" spans="1:6" x14ac:dyDescent="0.25">
      <c r="A1050" s="85">
        <v>46275</v>
      </c>
      <c r="B1050" s="86" t="s">
        <v>2095</v>
      </c>
      <c r="C1050" s="86">
        <v>2200</v>
      </c>
      <c r="D1050" s="88" t="s">
        <v>1962</v>
      </c>
      <c r="E1050" s="87" t="s">
        <v>1946</v>
      </c>
    </row>
    <row r="1051" spans="1:6" x14ac:dyDescent="0.25">
      <c r="A1051" s="85">
        <v>46275</v>
      </c>
      <c r="B1051" s="86" t="s">
        <v>904</v>
      </c>
      <c r="C1051" s="86">
        <v>5850</v>
      </c>
      <c r="D1051" s="88" t="s">
        <v>69</v>
      </c>
      <c r="E1051" s="87" t="s">
        <v>1946</v>
      </c>
    </row>
    <row r="1052" spans="1:6" x14ac:dyDescent="0.25">
      <c r="A1052" s="85">
        <v>46275</v>
      </c>
      <c r="B1052" s="86" t="s">
        <v>1495</v>
      </c>
      <c r="C1052" s="86">
        <v>5850</v>
      </c>
      <c r="D1052" s="88" t="s">
        <v>69</v>
      </c>
      <c r="E1052" s="87" t="s">
        <v>1946</v>
      </c>
    </row>
    <row r="1053" spans="1:6" x14ac:dyDescent="0.25">
      <c r="A1053" s="85">
        <v>46276</v>
      </c>
      <c r="B1053" s="86" t="s">
        <v>896</v>
      </c>
      <c r="C1053" s="86">
        <v>5850</v>
      </c>
      <c r="D1053" s="88" t="s">
        <v>69</v>
      </c>
      <c r="E1053" s="87" t="s">
        <v>1946</v>
      </c>
    </row>
    <row r="1054" spans="1:6" x14ac:dyDescent="0.25">
      <c r="A1054" s="85">
        <v>46276</v>
      </c>
      <c r="B1054" s="86" t="s">
        <v>2095</v>
      </c>
      <c r="C1054" s="86">
        <v>1000</v>
      </c>
      <c r="D1054" s="88" t="s">
        <v>1951</v>
      </c>
      <c r="E1054" s="87" t="s">
        <v>1946</v>
      </c>
    </row>
    <row r="1055" spans="1:6" x14ac:dyDescent="0.25">
      <c r="A1055" s="85">
        <v>46276</v>
      </c>
      <c r="B1055" s="86" t="s">
        <v>2095</v>
      </c>
      <c r="C1055" s="86">
        <v>700</v>
      </c>
      <c r="D1055" s="88" t="s">
        <v>1951</v>
      </c>
      <c r="E1055" s="87" t="s">
        <v>1946</v>
      </c>
    </row>
    <row r="1056" spans="1:6" x14ac:dyDescent="0.25">
      <c r="A1056" s="85">
        <v>46277</v>
      </c>
      <c r="B1056" s="86" t="s">
        <v>2095</v>
      </c>
      <c r="C1056" s="86">
        <v>1000</v>
      </c>
      <c r="D1056" s="88" t="s">
        <v>1951</v>
      </c>
      <c r="E1056" s="87" t="s">
        <v>1946</v>
      </c>
    </row>
    <row r="1057" spans="1:6" x14ac:dyDescent="0.25">
      <c r="A1057" s="85">
        <v>46277</v>
      </c>
      <c r="B1057" s="86" t="s">
        <v>2095</v>
      </c>
      <c r="C1057" s="86">
        <v>700</v>
      </c>
      <c r="D1057" s="88" t="s">
        <v>1951</v>
      </c>
      <c r="E1057" s="87" t="s">
        <v>1946</v>
      </c>
    </row>
    <row r="1058" spans="1:6" x14ac:dyDescent="0.25">
      <c r="A1058" s="85">
        <v>46277</v>
      </c>
      <c r="B1058" s="86" t="s">
        <v>2154</v>
      </c>
      <c r="C1058" s="86">
        <v>5850</v>
      </c>
      <c r="D1058" s="88" t="s">
        <v>69</v>
      </c>
      <c r="E1058" s="87" t="s">
        <v>1946</v>
      </c>
    </row>
    <row r="1059" spans="1:6" x14ac:dyDescent="0.25">
      <c r="A1059" s="85">
        <v>46277</v>
      </c>
      <c r="B1059" s="86" t="s">
        <v>2022</v>
      </c>
      <c r="C1059" s="86">
        <v>5850</v>
      </c>
      <c r="D1059" s="88" t="s">
        <v>69</v>
      </c>
      <c r="E1059" s="87" t="s">
        <v>1946</v>
      </c>
    </row>
    <row r="1060" spans="1:6" x14ac:dyDescent="0.25">
      <c r="A1060" s="85">
        <v>46277</v>
      </c>
      <c r="B1060" s="86" t="s">
        <v>2022</v>
      </c>
      <c r="C1060" s="86">
        <v>400</v>
      </c>
      <c r="D1060" s="88" t="s">
        <v>2169</v>
      </c>
      <c r="E1060" s="87" t="s">
        <v>1946</v>
      </c>
    </row>
    <row r="1061" spans="1:6" x14ac:dyDescent="0.25">
      <c r="A1061" s="85">
        <v>46277</v>
      </c>
      <c r="B1061" s="86" t="s">
        <v>904</v>
      </c>
      <c r="C1061" s="86">
        <v>5850</v>
      </c>
      <c r="D1061" s="88" t="s">
        <v>69</v>
      </c>
      <c r="E1061" s="87" t="s">
        <v>1946</v>
      </c>
    </row>
    <row r="1062" spans="1:6" x14ac:dyDescent="0.25">
      <c r="A1062" s="85">
        <v>46277</v>
      </c>
      <c r="B1062" s="86" t="s">
        <v>1778</v>
      </c>
      <c r="C1062" s="86">
        <v>5850</v>
      </c>
      <c r="D1062" s="88" t="s">
        <v>69</v>
      </c>
      <c r="E1062" s="87" t="s">
        <v>1946</v>
      </c>
    </row>
    <row r="1063" spans="1:6" x14ac:dyDescent="0.25">
      <c r="A1063" s="85">
        <v>46277</v>
      </c>
      <c r="B1063" s="86" t="s">
        <v>1495</v>
      </c>
      <c r="C1063" s="86">
        <v>5850</v>
      </c>
      <c r="D1063" s="88" t="s">
        <v>69</v>
      </c>
      <c r="E1063" s="87" t="s">
        <v>1946</v>
      </c>
    </row>
    <row r="1064" spans="1:6" x14ac:dyDescent="0.25">
      <c r="A1064" s="85">
        <v>46277</v>
      </c>
      <c r="B1064" s="86" t="s">
        <v>2044</v>
      </c>
      <c r="C1064" s="86">
        <v>2500</v>
      </c>
      <c r="D1064" s="88" t="s">
        <v>2170</v>
      </c>
      <c r="E1064" s="87" t="s">
        <v>1946</v>
      </c>
    </row>
    <row r="1065" spans="1:6" x14ac:dyDescent="0.25">
      <c r="A1065" s="85">
        <v>46277</v>
      </c>
      <c r="B1065" s="86" t="s">
        <v>1520</v>
      </c>
      <c r="C1065" s="86">
        <v>1000</v>
      </c>
      <c r="D1065" s="88" t="s">
        <v>2171</v>
      </c>
      <c r="E1065" s="87" t="s">
        <v>1946</v>
      </c>
      <c r="F1065" s="82" t="s">
        <v>2174</v>
      </c>
    </row>
    <row r="1066" spans="1:6" x14ac:dyDescent="0.25">
      <c r="A1066" s="85">
        <v>46277</v>
      </c>
      <c r="B1066" s="86" t="s">
        <v>896</v>
      </c>
      <c r="C1066" s="86">
        <v>5850</v>
      </c>
      <c r="D1066" s="88" t="s">
        <v>69</v>
      </c>
      <c r="E1066" s="87" t="s">
        <v>1946</v>
      </c>
    </row>
    <row r="1067" spans="1:6" x14ac:dyDescent="0.25">
      <c r="A1067" s="85">
        <v>46278</v>
      </c>
      <c r="B1067" s="86" t="s">
        <v>2095</v>
      </c>
      <c r="C1067" s="86">
        <v>1000</v>
      </c>
      <c r="D1067" s="88" t="s">
        <v>1951</v>
      </c>
      <c r="E1067" s="87" t="s">
        <v>1946</v>
      </c>
    </row>
    <row r="1068" spans="1:6" x14ac:dyDescent="0.25">
      <c r="A1068" s="85">
        <v>46278</v>
      </c>
      <c r="B1068" s="86" t="s">
        <v>2095</v>
      </c>
      <c r="C1068" s="86">
        <v>700</v>
      </c>
      <c r="D1068" s="88" t="s">
        <v>1951</v>
      </c>
      <c r="E1068" s="87" t="s">
        <v>1946</v>
      </c>
    </row>
    <row r="1069" spans="1:6" x14ac:dyDescent="0.25">
      <c r="A1069" s="85">
        <v>46278</v>
      </c>
      <c r="B1069" s="86" t="s">
        <v>2095</v>
      </c>
      <c r="C1069" s="86">
        <v>4700</v>
      </c>
      <c r="D1069" s="88" t="s">
        <v>69</v>
      </c>
      <c r="E1069" s="87" t="s">
        <v>1946</v>
      </c>
    </row>
    <row r="1070" spans="1:6" x14ac:dyDescent="0.25">
      <c r="A1070" s="85">
        <v>46280</v>
      </c>
      <c r="B1070" s="86" t="s">
        <v>1520</v>
      </c>
      <c r="C1070" s="86">
        <v>1500</v>
      </c>
      <c r="D1070" s="88" t="s">
        <v>2172</v>
      </c>
      <c r="E1070" s="87" t="s">
        <v>1946</v>
      </c>
      <c r="F1070" s="82" t="s">
        <v>2173</v>
      </c>
    </row>
    <row r="1071" spans="1:6" x14ac:dyDescent="0.25">
      <c r="A1071" s="85">
        <v>46280</v>
      </c>
      <c r="B1071" s="86" t="s">
        <v>1520</v>
      </c>
      <c r="C1071" s="86">
        <v>4200</v>
      </c>
      <c r="D1071" s="88" t="s">
        <v>1955</v>
      </c>
      <c r="E1071" s="87" t="s">
        <v>1946</v>
      </c>
      <c r="F1071" s="82" t="s">
        <v>2177</v>
      </c>
    </row>
    <row r="1072" spans="1:6" x14ac:dyDescent="0.25">
      <c r="A1072" s="85">
        <v>46280</v>
      </c>
      <c r="B1072" s="86" t="s">
        <v>1484</v>
      </c>
      <c r="C1072" s="86">
        <v>3700</v>
      </c>
      <c r="D1072" s="88" t="s">
        <v>1955</v>
      </c>
      <c r="E1072" s="87" t="s">
        <v>1946</v>
      </c>
    </row>
    <row r="1073" spans="1:6" x14ac:dyDescent="0.25">
      <c r="A1073" s="85">
        <v>46280</v>
      </c>
      <c r="B1073" s="86" t="s">
        <v>904</v>
      </c>
      <c r="C1073" s="86">
        <v>5600</v>
      </c>
      <c r="D1073" s="88" t="s">
        <v>35</v>
      </c>
      <c r="E1073" s="87" t="s">
        <v>1946</v>
      </c>
    </row>
    <row r="1074" spans="1:6" x14ac:dyDescent="0.25">
      <c r="A1074" s="85">
        <v>46280</v>
      </c>
      <c r="B1074" s="86" t="s">
        <v>896</v>
      </c>
      <c r="C1074" s="86">
        <v>5400</v>
      </c>
      <c r="D1074" s="88" t="s">
        <v>1957</v>
      </c>
      <c r="E1074" s="87" t="s">
        <v>1946</v>
      </c>
    </row>
    <row r="1075" spans="1:6" x14ac:dyDescent="0.25">
      <c r="A1075" s="85">
        <v>46280</v>
      </c>
      <c r="B1075" s="86" t="s">
        <v>1778</v>
      </c>
      <c r="C1075" s="86">
        <v>5400</v>
      </c>
      <c r="D1075" s="88" t="s">
        <v>1957</v>
      </c>
      <c r="E1075" s="87" t="s">
        <v>1946</v>
      </c>
    </row>
    <row r="1076" spans="1:6" x14ac:dyDescent="0.25">
      <c r="A1076" s="85">
        <v>46280</v>
      </c>
      <c r="B1076" s="86" t="s">
        <v>1484</v>
      </c>
      <c r="C1076" s="86">
        <v>1000</v>
      </c>
      <c r="D1076" s="88" t="s">
        <v>2171</v>
      </c>
      <c r="E1076" s="87" t="s">
        <v>1946</v>
      </c>
      <c r="F1076" s="82" t="s">
        <v>2175</v>
      </c>
    </row>
    <row r="1077" spans="1:6" x14ac:dyDescent="0.25">
      <c r="A1077" s="85">
        <v>46280</v>
      </c>
      <c r="B1077" s="86" t="s">
        <v>2022</v>
      </c>
      <c r="C1077" s="86">
        <v>1000</v>
      </c>
      <c r="D1077" s="88" t="s">
        <v>2171</v>
      </c>
      <c r="E1077" s="87" t="s">
        <v>1946</v>
      </c>
      <c r="F1077" s="82" t="s">
        <v>2176</v>
      </c>
    </row>
    <row r="1078" spans="1:6" x14ac:dyDescent="0.25">
      <c r="A1078" s="85">
        <v>46280</v>
      </c>
      <c r="B1078" s="86" t="s">
        <v>2095</v>
      </c>
      <c r="C1078" s="86">
        <v>5850</v>
      </c>
      <c r="D1078" s="88" t="s">
        <v>69</v>
      </c>
      <c r="E1078" s="87" t="s">
        <v>1946</v>
      </c>
    </row>
    <row r="1079" spans="1:6" x14ac:dyDescent="0.25">
      <c r="A1079" s="85">
        <v>46280</v>
      </c>
      <c r="B1079" s="86" t="s">
        <v>1484</v>
      </c>
      <c r="C1079" s="86">
        <v>500</v>
      </c>
      <c r="D1079" s="88" t="s">
        <v>2178</v>
      </c>
      <c r="E1079" s="87" t="s">
        <v>1946</v>
      </c>
    </row>
    <row r="1080" spans="1:6" x14ac:dyDescent="0.25">
      <c r="A1080" s="85">
        <v>46281</v>
      </c>
      <c r="B1080" s="86" t="s">
        <v>2044</v>
      </c>
      <c r="C1080" s="86">
        <v>600</v>
      </c>
      <c r="D1080" s="88" t="s">
        <v>2179</v>
      </c>
      <c r="E1080" s="87" t="s">
        <v>1946</v>
      </c>
    </row>
    <row r="1081" spans="1:6" x14ac:dyDescent="0.25">
      <c r="A1081" s="85">
        <v>46281</v>
      </c>
      <c r="B1081" s="86" t="s">
        <v>2044</v>
      </c>
      <c r="C1081" s="86">
        <v>1250</v>
      </c>
      <c r="D1081" s="88" t="s">
        <v>2180</v>
      </c>
      <c r="E1081" s="87" t="s">
        <v>1946</v>
      </c>
    </row>
    <row r="1082" spans="1:6" x14ac:dyDescent="0.25">
      <c r="A1082" s="85">
        <v>46281</v>
      </c>
      <c r="B1082" s="86" t="s">
        <v>1495</v>
      </c>
      <c r="C1082" s="86">
        <v>1500</v>
      </c>
      <c r="D1082" s="55" t="s">
        <v>1952</v>
      </c>
      <c r="E1082" s="87" t="s">
        <v>1946</v>
      </c>
    </row>
    <row r="1083" spans="1:6" x14ac:dyDescent="0.25">
      <c r="A1083" s="85">
        <v>46281</v>
      </c>
      <c r="B1083" s="86" t="s">
        <v>1495</v>
      </c>
      <c r="C1083" s="86">
        <v>5850</v>
      </c>
      <c r="D1083" s="88" t="s">
        <v>69</v>
      </c>
      <c r="E1083" s="87" t="s">
        <v>1946</v>
      </c>
    </row>
    <row r="1084" spans="1:6" x14ac:dyDescent="0.25">
      <c r="A1084" s="85">
        <v>46281</v>
      </c>
      <c r="B1084" s="86" t="s">
        <v>1495</v>
      </c>
      <c r="C1084" s="86">
        <v>1500</v>
      </c>
      <c r="D1084" s="55" t="s">
        <v>1952</v>
      </c>
      <c r="E1084" s="87" t="s">
        <v>1946</v>
      </c>
    </row>
    <row r="1085" spans="1:6" x14ac:dyDescent="0.25">
      <c r="A1085" s="85">
        <v>46281</v>
      </c>
      <c r="B1085" s="86" t="s">
        <v>1495</v>
      </c>
      <c r="C1085" s="86">
        <v>2200</v>
      </c>
      <c r="D1085" s="88" t="s">
        <v>1962</v>
      </c>
      <c r="E1085" s="87" t="s">
        <v>1946</v>
      </c>
    </row>
    <row r="1086" spans="1:6" x14ac:dyDescent="0.25">
      <c r="A1086" s="85">
        <v>46281</v>
      </c>
      <c r="B1086" s="86" t="s">
        <v>2095</v>
      </c>
      <c r="C1086" s="86">
        <v>1900</v>
      </c>
      <c r="D1086" s="55" t="s">
        <v>1952</v>
      </c>
      <c r="E1086" s="87" t="s">
        <v>1946</v>
      </c>
    </row>
    <row r="1087" spans="1:6" x14ac:dyDescent="0.25">
      <c r="A1087" s="107">
        <v>46281</v>
      </c>
      <c r="B1087" s="108" t="s">
        <v>896</v>
      </c>
      <c r="C1087" s="108">
        <v>3700</v>
      </c>
      <c r="D1087" s="74" t="s">
        <v>1948</v>
      </c>
      <c r="E1087" s="109" t="s">
        <v>1946</v>
      </c>
    </row>
    <row r="1088" spans="1:6" x14ac:dyDescent="0.25">
      <c r="A1088" s="85">
        <v>46281</v>
      </c>
      <c r="B1088" s="86" t="s">
        <v>1778</v>
      </c>
      <c r="C1088" s="86">
        <v>3700</v>
      </c>
      <c r="D1088" s="55" t="s">
        <v>1948</v>
      </c>
      <c r="E1088" s="87" t="s">
        <v>1946</v>
      </c>
    </row>
    <row r="1089" spans="1:6" x14ac:dyDescent="0.25">
      <c r="A1089" s="85">
        <v>46282</v>
      </c>
      <c r="B1089" s="86" t="s">
        <v>2022</v>
      </c>
      <c r="C1089" s="86">
        <v>900</v>
      </c>
      <c r="D1089" s="88" t="s">
        <v>2181</v>
      </c>
      <c r="E1089" s="87" t="s">
        <v>1946</v>
      </c>
    </row>
    <row r="1090" spans="1:6" x14ac:dyDescent="0.25">
      <c r="A1090" s="85">
        <v>46282</v>
      </c>
      <c r="B1090" s="86" t="s">
        <v>2154</v>
      </c>
      <c r="C1090" s="86">
        <v>900</v>
      </c>
      <c r="D1090" s="88" t="s">
        <v>2181</v>
      </c>
      <c r="E1090" s="87" t="s">
        <v>1946</v>
      </c>
    </row>
    <row r="1091" spans="1:6" x14ac:dyDescent="0.25">
      <c r="A1091" s="85">
        <v>46282</v>
      </c>
      <c r="B1091" s="86" t="s">
        <v>2044</v>
      </c>
      <c r="C1091" s="86">
        <v>3000</v>
      </c>
      <c r="D1091" s="88" t="s">
        <v>1974</v>
      </c>
      <c r="E1091" s="87" t="s">
        <v>1946</v>
      </c>
    </row>
    <row r="1092" spans="1:6" x14ac:dyDescent="0.25">
      <c r="A1092" s="85">
        <v>46282</v>
      </c>
      <c r="B1092" s="86" t="s">
        <v>2095</v>
      </c>
      <c r="C1092" s="86">
        <v>5600</v>
      </c>
      <c r="D1092" s="88" t="s">
        <v>35</v>
      </c>
      <c r="E1092" s="87" t="s">
        <v>1946</v>
      </c>
    </row>
    <row r="1093" spans="1:6" x14ac:dyDescent="0.25">
      <c r="A1093" s="85">
        <v>46282</v>
      </c>
      <c r="B1093" s="86" t="s">
        <v>1495</v>
      </c>
      <c r="C1093" s="86">
        <v>400</v>
      </c>
      <c r="D1093" s="55" t="s">
        <v>1159</v>
      </c>
      <c r="E1093" s="87" t="s">
        <v>1946</v>
      </c>
    </row>
    <row r="1094" spans="1:6" x14ac:dyDescent="0.25">
      <c r="A1094" s="85">
        <v>46282</v>
      </c>
      <c r="B1094" s="86" t="s">
        <v>1520</v>
      </c>
      <c r="C1094" s="86">
        <v>3000</v>
      </c>
      <c r="D1094" s="88" t="s">
        <v>2182</v>
      </c>
      <c r="E1094" s="87" t="s">
        <v>1946</v>
      </c>
    </row>
    <row r="1095" spans="1:6" x14ac:dyDescent="0.25">
      <c r="A1095" s="85">
        <v>46282</v>
      </c>
      <c r="B1095" s="86" t="s">
        <v>1484</v>
      </c>
      <c r="C1095" s="86">
        <v>1500</v>
      </c>
      <c r="D1095" s="55" t="s">
        <v>1952</v>
      </c>
      <c r="E1095" s="87" t="s">
        <v>1946</v>
      </c>
    </row>
    <row r="1096" spans="1:6" x14ac:dyDescent="0.25">
      <c r="A1096" s="85">
        <v>46282</v>
      </c>
      <c r="B1096" s="86" t="s">
        <v>2022</v>
      </c>
      <c r="C1096" s="86">
        <v>5400</v>
      </c>
      <c r="D1096" s="88" t="s">
        <v>1957</v>
      </c>
      <c r="E1096" s="87" t="s">
        <v>1946</v>
      </c>
    </row>
    <row r="1097" spans="1:6" x14ac:dyDescent="0.25">
      <c r="A1097" s="85">
        <v>46282</v>
      </c>
      <c r="B1097" s="86" t="s">
        <v>2154</v>
      </c>
      <c r="C1097" s="86">
        <v>5850</v>
      </c>
      <c r="D1097" s="88" t="s">
        <v>69</v>
      </c>
      <c r="E1097" s="87" t="s">
        <v>1946</v>
      </c>
    </row>
    <row r="1098" spans="1:6" x14ac:dyDescent="0.25">
      <c r="A1098" s="85">
        <v>46282</v>
      </c>
      <c r="B1098" s="86" t="s">
        <v>904</v>
      </c>
      <c r="C1098" s="86">
        <v>4150</v>
      </c>
      <c r="D1098" s="88" t="s">
        <v>1972</v>
      </c>
      <c r="E1098" s="87" t="s">
        <v>1946</v>
      </c>
    </row>
    <row r="1099" spans="1:6" x14ac:dyDescent="0.25">
      <c r="A1099" s="85">
        <v>46282</v>
      </c>
      <c r="B1099" s="86" t="s">
        <v>1484</v>
      </c>
      <c r="C1099" s="86">
        <v>5850</v>
      </c>
      <c r="D1099" s="88" t="s">
        <v>69</v>
      </c>
      <c r="E1099" s="87" t="s">
        <v>1946</v>
      </c>
    </row>
    <row r="1100" spans="1:6" x14ac:dyDescent="0.25">
      <c r="A1100" s="85">
        <v>46282</v>
      </c>
      <c r="B1100" s="86" t="s">
        <v>2022</v>
      </c>
      <c r="C1100" s="86">
        <v>5850</v>
      </c>
      <c r="D1100" s="88" t="s">
        <v>69</v>
      </c>
      <c r="E1100" s="87" t="s">
        <v>1946</v>
      </c>
    </row>
    <row r="1101" spans="1:6" x14ac:dyDescent="0.25">
      <c r="A1101" s="85">
        <v>46282</v>
      </c>
      <c r="B1101" s="86" t="s">
        <v>1778</v>
      </c>
      <c r="C1101" s="86">
        <v>5850</v>
      </c>
      <c r="D1101" s="88" t="s">
        <v>69</v>
      </c>
      <c r="E1101" s="87" t="s">
        <v>1946</v>
      </c>
    </row>
    <row r="1102" spans="1:6" x14ac:dyDescent="0.25">
      <c r="A1102" s="92">
        <v>46282</v>
      </c>
      <c r="B1102" s="82" t="s">
        <v>2044</v>
      </c>
      <c r="C1102" s="82">
        <v>5000</v>
      </c>
      <c r="D1102" s="94" t="s">
        <v>2185</v>
      </c>
      <c r="E1102" s="95" t="s">
        <v>1946</v>
      </c>
      <c r="F1102" s="82" t="s">
        <v>2183</v>
      </c>
    </row>
    <row r="1103" spans="1:6" x14ac:dyDescent="0.25">
      <c r="A1103" s="85">
        <v>46282</v>
      </c>
      <c r="B1103" s="86" t="s">
        <v>1495</v>
      </c>
      <c r="C1103" s="86">
        <v>1000</v>
      </c>
      <c r="D1103" s="88" t="s">
        <v>1951</v>
      </c>
      <c r="E1103" s="87" t="s">
        <v>1946</v>
      </c>
    </row>
    <row r="1104" spans="1:6" x14ac:dyDescent="0.25">
      <c r="A1104" s="85">
        <v>46282</v>
      </c>
      <c r="B1104" s="86" t="s">
        <v>1495</v>
      </c>
      <c r="C1104" s="86">
        <v>700</v>
      </c>
      <c r="D1104" s="88" t="s">
        <v>1951</v>
      </c>
      <c r="E1104" s="87" t="s">
        <v>1946</v>
      </c>
    </row>
    <row r="1105" spans="1:6" x14ac:dyDescent="0.25">
      <c r="A1105" s="92">
        <v>46283</v>
      </c>
      <c r="B1105" s="93" t="s">
        <v>1495</v>
      </c>
      <c r="C1105" s="82">
        <v>700</v>
      </c>
      <c r="D1105" s="94" t="s">
        <v>1951</v>
      </c>
      <c r="E1105" s="95" t="s">
        <v>1946</v>
      </c>
    </row>
    <row r="1106" spans="1:6" x14ac:dyDescent="0.25">
      <c r="A1106" s="85">
        <v>46283</v>
      </c>
      <c r="B1106" s="86" t="s">
        <v>1495</v>
      </c>
      <c r="C1106" s="86">
        <v>4200</v>
      </c>
      <c r="D1106" s="88" t="s">
        <v>1955</v>
      </c>
      <c r="E1106" s="87" t="s">
        <v>1946</v>
      </c>
    </row>
    <row r="1107" spans="1:6" x14ac:dyDescent="0.25">
      <c r="A1107" s="85">
        <v>46283</v>
      </c>
      <c r="B1107" s="86" t="s">
        <v>904</v>
      </c>
      <c r="C1107" s="86">
        <v>2200</v>
      </c>
      <c r="D1107" s="88" t="s">
        <v>1962</v>
      </c>
      <c r="E1107" s="87" t="s">
        <v>1946</v>
      </c>
    </row>
    <row r="1108" spans="1:6" x14ac:dyDescent="0.25">
      <c r="A1108" s="85">
        <v>46283</v>
      </c>
      <c r="B1108" s="86" t="s">
        <v>1484</v>
      </c>
      <c r="C1108" s="86">
        <v>1900</v>
      </c>
      <c r="D1108" s="55" t="s">
        <v>1952</v>
      </c>
      <c r="E1108" s="87" t="s">
        <v>1946</v>
      </c>
    </row>
    <row r="1109" spans="1:6" x14ac:dyDescent="0.25">
      <c r="A1109" s="85">
        <v>46283</v>
      </c>
      <c r="B1109" s="86" t="s">
        <v>2154</v>
      </c>
      <c r="C1109" s="86">
        <v>1900</v>
      </c>
      <c r="D1109" s="55" t="s">
        <v>1952</v>
      </c>
      <c r="E1109" s="87" t="s">
        <v>1946</v>
      </c>
    </row>
    <row r="1110" spans="1:6" x14ac:dyDescent="0.25">
      <c r="A1110" s="85">
        <v>46284</v>
      </c>
      <c r="B1110" s="86" t="s">
        <v>2022</v>
      </c>
      <c r="C1110" s="86">
        <v>7900</v>
      </c>
      <c r="D1110" s="88" t="s">
        <v>1960</v>
      </c>
      <c r="E1110" s="87" t="s">
        <v>1946</v>
      </c>
    </row>
    <row r="1111" spans="1:6" x14ac:dyDescent="0.25">
      <c r="A1111" s="85">
        <v>46284</v>
      </c>
      <c r="B1111" s="86" t="s">
        <v>1778</v>
      </c>
      <c r="C1111" s="86">
        <v>7900</v>
      </c>
      <c r="D1111" s="88" t="s">
        <v>1960</v>
      </c>
      <c r="E1111" s="87" t="s">
        <v>1946</v>
      </c>
    </row>
    <row r="1112" spans="1:6" x14ac:dyDescent="0.25">
      <c r="A1112" s="85">
        <v>46284</v>
      </c>
      <c r="B1112" s="86" t="s">
        <v>1495</v>
      </c>
      <c r="C1112" s="86">
        <v>5600</v>
      </c>
      <c r="D1112" s="88" t="s">
        <v>35</v>
      </c>
      <c r="E1112" s="87" t="s">
        <v>1946</v>
      </c>
    </row>
    <row r="1113" spans="1:6" x14ac:dyDescent="0.25">
      <c r="A1113" s="85">
        <v>46284</v>
      </c>
      <c r="B1113" s="86" t="s">
        <v>2154</v>
      </c>
      <c r="C1113" s="86">
        <v>5850</v>
      </c>
      <c r="D1113" s="88" t="s">
        <v>69</v>
      </c>
      <c r="E1113" s="87" t="s">
        <v>1946</v>
      </c>
    </row>
    <row r="1114" spans="1:6" x14ac:dyDescent="0.25">
      <c r="A1114" s="85">
        <v>46284</v>
      </c>
      <c r="B1114" s="86" t="s">
        <v>1484</v>
      </c>
      <c r="C1114" s="86">
        <v>5850</v>
      </c>
      <c r="D1114" s="88" t="s">
        <v>69</v>
      </c>
      <c r="E1114" s="87" t="s">
        <v>1946</v>
      </c>
    </row>
    <row r="1115" spans="1:6" x14ac:dyDescent="0.25">
      <c r="A1115" s="85">
        <v>46284</v>
      </c>
      <c r="B1115" s="86" t="s">
        <v>2095</v>
      </c>
      <c r="C1115" s="86">
        <v>4150</v>
      </c>
      <c r="D1115" s="88" t="s">
        <v>1972</v>
      </c>
      <c r="E1115" s="87" t="s">
        <v>1946</v>
      </c>
    </row>
    <row r="1116" spans="1:6" x14ac:dyDescent="0.25">
      <c r="A1116" s="85">
        <v>46284</v>
      </c>
      <c r="B1116" s="86" t="s">
        <v>904</v>
      </c>
      <c r="C1116" s="86">
        <v>1000</v>
      </c>
      <c r="D1116" s="88" t="s">
        <v>1951</v>
      </c>
      <c r="E1116" s="87" t="s">
        <v>1946</v>
      </c>
    </row>
    <row r="1117" spans="1:6" x14ac:dyDescent="0.25">
      <c r="A1117" s="85">
        <v>46284</v>
      </c>
      <c r="B1117" s="86" t="s">
        <v>904</v>
      </c>
      <c r="C1117" s="86">
        <v>700</v>
      </c>
      <c r="D1117" s="88" t="s">
        <v>1951</v>
      </c>
      <c r="E1117" s="87" t="s">
        <v>1946</v>
      </c>
    </row>
    <row r="1118" spans="1:6" x14ac:dyDescent="0.25">
      <c r="A1118" s="85">
        <v>46284</v>
      </c>
      <c r="B1118" s="86" t="s">
        <v>2044</v>
      </c>
      <c r="C1118" s="86">
        <v>8200</v>
      </c>
      <c r="D1118" s="88" t="s">
        <v>2185</v>
      </c>
      <c r="E1118" s="87" t="s">
        <v>1946</v>
      </c>
      <c r="F1118" s="82" t="s">
        <v>2184</v>
      </c>
    </row>
    <row r="1119" spans="1:6" x14ac:dyDescent="0.25">
      <c r="A1119" s="85">
        <v>46284</v>
      </c>
      <c r="B1119" s="86" t="s">
        <v>904</v>
      </c>
      <c r="C1119" s="86">
        <v>1000</v>
      </c>
      <c r="D1119" s="88" t="s">
        <v>1951</v>
      </c>
      <c r="E1119" s="87" t="s">
        <v>1946</v>
      </c>
    </row>
    <row r="1120" spans="1:6" x14ac:dyDescent="0.25">
      <c r="A1120" s="85">
        <v>46284</v>
      </c>
      <c r="B1120" s="86" t="s">
        <v>904</v>
      </c>
      <c r="C1120" s="86">
        <v>4700</v>
      </c>
      <c r="D1120" s="88" t="s">
        <v>1955</v>
      </c>
      <c r="E1120" s="87" t="s">
        <v>1946</v>
      </c>
    </row>
    <row r="1121" spans="1:6" x14ac:dyDescent="0.25">
      <c r="A1121" s="85">
        <v>46286</v>
      </c>
      <c r="B1121" s="86" t="s">
        <v>2022</v>
      </c>
      <c r="C1121" s="86">
        <v>500</v>
      </c>
      <c r="D1121" s="55" t="s">
        <v>2186</v>
      </c>
      <c r="E1121" s="87" t="s">
        <v>1946</v>
      </c>
    </row>
    <row r="1122" spans="1:6" x14ac:dyDescent="0.25">
      <c r="A1122" s="85">
        <v>46286</v>
      </c>
      <c r="B1122" s="86" t="s">
        <v>1778</v>
      </c>
      <c r="C1122" s="86">
        <v>1000</v>
      </c>
      <c r="D1122" s="55" t="s">
        <v>1950</v>
      </c>
      <c r="E1122" s="87" t="s">
        <v>1946</v>
      </c>
    </row>
    <row r="1123" spans="1:6" x14ac:dyDescent="0.25">
      <c r="A1123" s="85">
        <v>46286</v>
      </c>
      <c r="B1123" s="86" t="s">
        <v>2044</v>
      </c>
      <c r="C1123" s="86">
        <v>1000</v>
      </c>
      <c r="D1123" s="88" t="s">
        <v>2185</v>
      </c>
      <c r="E1123" s="87" t="s">
        <v>1946</v>
      </c>
      <c r="F1123" s="82" t="s">
        <v>2183</v>
      </c>
    </row>
    <row r="1124" spans="1:6" x14ac:dyDescent="0.25">
      <c r="A1124" s="85">
        <v>46286</v>
      </c>
      <c r="B1124" s="86" t="s">
        <v>1484</v>
      </c>
      <c r="C1124" s="86">
        <v>1500</v>
      </c>
      <c r="D1124" s="55" t="s">
        <v>1952</v>
      </c>
      <c r="E1124" s="87" t="s">
        <v>1946</v>
      </c>
    </row>
    <row r="1125" spans="1:6" x14ac:dyDescent="0.25">
      <c r="A1125" s="85">
        <v>46286</v>
      </c>
      <c r="B1125" s="86" t="s">
        <v>1484</v>
      </c>
      <c r="C1125" s="86">
        <v>5600</v>
      </c>
      <c r="D1125" s="88" t="s">
        <v>35</v>
      </c>
      <c r="E1125" s="87" t="s">
        <v>1946</v>
      </c>
    </row>
    <row r="1126" spans="1:6" x14ac:dyDescent="0.25">
      <c r="A1126" s="85">
        <v>46286</v>
      </c>
      <c r="B1126" s="86" t="s">
        <v>2095</v>
      </c>
      <c r="C1126" s="86">
        <v>5850</v>
      </c>
      <c r="D1126" s="88" t="s">
        <v>69</v>
      </c>
      <c r="E1126" s="87" t="s">
        <v>1946</v>
      </c>
    </row>
    <row r="1127" spans="1:6" x14ac:dyDescent="0.25">
      <c r="A1127" s="85">
        <v>46286</v>
      </c>
      <c r="B1127" s="86" t="s">
        <v>2154</v>
      </c>
      <c r="C1127" s="86">
        <v>5850</v>
      </c>
      <c r="D1127" s="88" t="s">
        <v>69</v>
      </c>
      <c r="E1127" s="87" t="s">
        <v>1946</v>
      </c>
    </row>
    <row r="1128" spans="1:6" x14ac:dyDescent="0.25">
      <c r="A1128" s="85">
        <v>46286</v>
      </c>
      <c r="B1128" s="86" t="s">
        <v>1520</v>
      </c>
      <c r="C1128" s="86">
        <v>900</v>
      </c>
      <c r="D1128" s="88" t="s">
        <v>2129</v>
      </c>
      <c r="E1128" s="87" t="s">
        <v>1946</v>
      </c>
    </row>
    <row r="1129" spans="1:6" x14ac:dyDescent="0.25">
      <c r="A1129" s="85">
        <v>46286</v>
      </c>
      <c r="B1129" s="86" t="s">
        <v>1520</v>
      </c>
      <c r="C1129" s="86">
        <v>5850</v>
      </c>
      <c r="D1129" s="88" t="s">
        <v>1985</v>
      </c>
      <c r="E1129" s="87" t="s">
        <v>1946</v>
      </c>
    </row>
    <row r="1130" spans="1:6" x14ac:dyDescent="0.25">
      <c r="A1130" s="85">
        <v>46286</v>
      </c>
      <c r="B1130" s="86" t="s">
        <v>904</v>
      </c>
      <c r="C1130" s="86">
        <v>5850</v>
      </c>
      <c r="D1130" s="88" t="s">
        <v>69</v>
      </c>
      <c r="E1130" s="87" t="s">
        <v>1946</v>
      </c>
    </row>
    <row r="1131" spans="1:6" x14ac:dyDescent="0.25">
      <c r="A1131" s="85">
        <v>46286</v>
      </c>
      <c r="B1131" s="86" t="s">
        <v>1495</v>
      </c>
      <c r="C1131" s="86">
        <v>4150</v>
      </c>
      <c r="D1131" s="88" t="s">
        <v>1972</v>
      </c>
      <c r="E1131" s="87" t="s">
        <v>1946</v>
      </c>
    </row>
    <row r="1132" spans="1:6" x14ac:dyDescent="0.25">
      <c r="A1132" s="85">
        <v>46286</v>
      </c>
      <c r="B1132" s="86" t="s">
        <v>2044</v>
      </c>
      <c r="C1132" s="86">
        <v>900</v>
      </c>
      <c r="D1132" s="88" t="s">
        <v>2129</v>
      </c>
      <c r="E1132" s="87" t="s">
        <v>1946</v>
      </c>
    </row>
    <row r="1133" spans="1:6" x14ac:dyDescent="0.25">
      <c r="A1133" s="85">
        <v>46286</v>
      </c>
      <c r="B1133" s="86" t="s">
        <v>2044</v>
      </c>
      <c r="C1133" s="86">
        <v>1700</v>
      </c>
      <c r="D1133" s="88" t="s">
        <v>1947</v>
      </c>
      <c r="E1133" s="87" t="s">
        <v>1946</v>
      </c>
    </row>
    <row r="1134" spans="1:6" x14ac:dyDescent="0.25">
      <c r="A1134" s="85">
        <v>46287</v>
      </c>
      <c r="B1134" s="86" t="s">
        <v>904</v>
      </c>
      <c r="C1134" s="86">
        <v>1900</v>
      </c>
      <c r="D1134" s="55" t="s">
        <v>1952</v>
      </c>
      <c r="E1134" s="87" t="s">
        <v>1946</v>
      </c>
    </row>
    <row r="1135" spans="1:6" x14ac:dyDescent="0.25">
      <c r="A1135" s="85">
        <v>46287</v>
      </c>
      <c r="B1135" s="86" t="s">
        <v>1495</v>
      </c>
      <c r="C1135" s="86">
        <v>5850</v>
      </c>
      <c r="D1135" s="88" t="s">
        <v>69</v>
      </c>
      <c r="E1135" s="87" t="s">
        <v>1946</v>
      </c>
    </row>
    <row r="1136" spans="1:6" x14ac:dyDescent="0.25">
      <c r="A1136" s="85">
        <v>46287</v>
      </c>
      <c r="B1136" s="86" t="s">
        <v>1484</v>
      </c>
      <c r="C1136" s="86">
        <v>4150</v>
      </c>
      <c r="D1136" s="88" t="s">
        <v>1972</v>
      </c>
      <c r="E1136" s="87" t="s">
        <v>1946</v>
      </c>
    </row>
    <row r="1137" spans="1:5" x14ac:dyDescent="0.25">
      <c r="A1137" s="85">
        <v>46287</v>
      </c>
      <c r="B1137" s="86" t="s">
        <v>2154</v>
      </c>
      <c r="C1137" s="86">
        <v>5600</v>
      </c>
      <c r="D1137" s="88" t="s">
        <v>35</v>
      </c>
      <c r="E1137" s="87" t="s">
        <v>1946</v>
      </c>
    </row>
    <row r="1138" spans="1:5" x14ac:dyDescent="0.25">
      <c r="A1138" s="85">
        <v>46287</v>
      </c>
      <c r="B1138" s="86" t="s">
        <v>904</v>
      </c>
      <c r="C1138" s="86">
        <v>2000</v>
      </c>
      <c r="D1138" s="88" t="s">
        <v>2187</v>
      </c>
      <c r="E1138" s="87" t="s">
        <v>1946</v>
      </c>
    </row>
    <row r="1139" spans="1:5" x14ac:dyDescent="0.25">
      <c r="A1139" s="85">
        <v>46287</v>
      </c>
      <c r="B1139" s="86" t="s">
        <v>1520</v>
      </c>
      <c r="C1139" s="86">
        <v>3000</v>
      </c>
      <c r="D1139" s="88" t="s">
        <v>2159</v>
      </c>
      <c r="E1139" s="87" t="s">
        <v>1946</v>
      </c>
    </row>
    <row r="1140" spans="1:5" x14ac:dyDescent="0.25">
      <c r="A1140" s="85">
        <v>46287</v>
      </c>
      <c r="B1140" s="86" t="s">
        <v>2095</v>
      </c>
      <c r="C1140" s="86">
        <v>2200</v>
      </c>
      <c r="D1140" s="88" t="s">
        <v>1962</v>
      </c>
      <c r="E1140" s="87" t="s">
        <v>1946</v>
      </c>
    </row>
    <row r="1141" spans="1:5" x14ac:dyDescent="0.25">
      <c r="A1141" s="85">
        <v>46288</v>
      </c>
      <c r="B1141" s="86" t="s">
        <v>1520</v>
      </c>
      <c r="C1141" s="86">
        <v>3000</v>
      </c>
      <c r="D1141" s="88" t="s">
        <v>1974</v>
      </c>
      <c r="E1141" s="87" t="s">
        <v>1946</v>
      </c>
    </row>
    <row r="1142" spans="1:5" x14ac:dyDescent="0.25">
      <c r="A1142" s="85">
        <v>46288</v>
      </c>
      <c r="B1142" s="86" t="s">
        <v>1484</v>
      </c>
      <c r="C1142" s="86">
        <v>1500</v>
      </c>
      <c r="D1142" s="55" t="s">
        <v>1952</v>
      </c>
      <c r="E1142" s="87" t="s">
        <v>1946</v>
      </c>
    </row>
    <row r="1143" spans="1:5" x14ac:dyDescent="0.25">
      <c r="A1143" s="85">
        <v>46288</v>
      </c>
      <c r="B1143" s="86" t="s">
        <v>904</v>
      </c>
      <c r="C1143" s="86">
        <v>5850</v>
      </c>
      <c r="D1143" s="88" t="s">
        <v>69</v>
      </c>
      <c r="E1143" s="87" t="s">
        <v>1946</v>
      </c>
    </row>
    <row r="1144" spans="1:5" x14ac:dyDescent="0.25">
      <c r="A1144" s="85">
        <v>46288</v>
      </c>
      <c r="B1144" s="86" t="s">
        <v>2154</v>
      </c>
      <c r="C1144" s="86">
        <v>4150</v>
      </c>
      <c r="D1144" s="88" t="s">
        <v>1972</v>
      </c>
      <c r="E1144" s="87" t="s">
        <v>1946</v>
      </c>
    </row>
    <row r="1145" spans="1:5" x14ac:dyDescent="0.25">
      <c r="A1145" s="85">
        <v>46288</v>
      </c>
      <c r="B1145" s="86" t="s">
        <v>1495</v>
      </c>
      <c r="C1145" s="86">
        <v>1000</v>
      </c>
      <c r="D1145" s="55" t="s">
        <v>2188</v>
      </c>
      <c r="E1145" s="87" t="s">
        <v>1946</v>
      </c>
    </row>
    <row r="1146" spans="1:5" x14ac:dyDescent="0.25">
      <c r="A1146" s="85">
        <v>46288</v>
      </c>
      <c r="B1146" s="86" t="s">
        <v>1484</v>
      </c>
      <c r="C1146" s="86">
        <v>5850</v>
      </c>
      <c r="D1146" s="88" t="s">
        <v>69</v>
      </c>
      <c r="E1146" s="87" t="s">
        <v>1946</v>
      </c>
    </row>
    <row r="1147" spans="1:5" x14ac:dyDescent="0.25">
      <c r="A1147" s="85">
        <v>46288</v>
      </c>
      <c r="B1147" s="86" t="s">
        <v>1495</v>
      </c>
      <c r="C1147" s="86">
        <v>5850</v>
      </c>
      <c r="D1147" s="88" t="s">
        <v>69</v>
      </c>
      <c r="E1147" s="87" t="s">
        <v>1946</v>
      </c>
    </row>
    <row r="1148" spans="1:5" x14ac:dyDescent="0.25">
      <c r="A1148" s="85">
        <v>46288</v>
      </c>
      <c r="B1148" s="86" t="s">
        <v>1520</v>
      </c>
      <c r="C1148" s="86">
        <v>6850</v>
      </c>
      <c r="D1148" s="88" t="s">
        <v>2189</v>
      </c>
      <c r="E1148" s="87" t="s">
        <v>1946</v>
      </c>
    </row>
    <row r="1149" spans="1:5" x14ac:dyDescent="0.25">
      <c r="A1149" s="85">
        <v>46289</v>
      </c>
      <c r="B1149" s="86" t="s">
        <v>904</v>
      </c>
      <c r="C1149" s="86">
        <v>1500</v>
      </c>
      <c r="D1149" s="55" t="s">
        <v>1952</v>
      </c>
      <c r="E1149" s="87" t="s">
        <v>1946</v>
      </c>
    </row>
    <row r="1150" spans="1:5" x14ac:dyDescent="0.25">
      <c r="A1150" s="85">
        <v>46289</v>
      </c>
      <c r="B1150" s="86" t="s">
        <v>1484</v>
      </c>
      <c r="C1150" s="86">
        <v>1500</v>
      </c>
      <c r="D1150" s="55" t="s">
        <v>1952</v>
      </c>
      <c r="E1150" s="87" t="s">
        <v>1946</v>
      </c>
    </row>
    <row r="1151" spans="1:5" x14ac:dyDescent="0.25">
      <c r="A1151" s="85">
        <v>46289</v>
      </c>
      <c r="B1151" s="86" t="s">
        <v>2154</v>
      </c>
      <c r="C1151" s="86">
        <v>5850</v>
      </c>
      <c r="D1151" s="88" t="s">
        <v>69</v>
      </c>
      <c r="E1151" s="87" t="s">
        <v>1946</v>
      </c>
    </row>
    <row r="1152" spans="1:5" x14ac:dyDescent="0.25">
      <c r="A1152" s="85">
        <v>46289</v>
      </c>
      <c r="B1152" s="86" t="s">
        <v>904</v>
      </c>
      <c r="C1152" s="86">
        <v>5850</v>
      </c>
      <c r="D1152" s="88" t="s">
        <v>69</v>
      </c>
      <c r="E1152" s="87" t="s">
        <v>1946</v>
      </c>
    </row>
    <row r="1153" spans="1:5" x14ac:dyDescent="0.25">
      <c r="A1153" s="85">
        <v>46289</v>
      </c>
      <c r="B1153" s="86" t="s">
        <v>1484</v>
      </c>
      <c r="C1153" s="86">
        <v>5600</v>
      </c>
      <c r="D1153" s="88" t="s">
        <v>35</v>
      </c>
      <c r="E1153" s="87" t="s">
        <v>1946</v>
      </c>
    </row>
    <row r="1154" spans="1:5" x14ac:dyDescent="0.25">
      <c r="A1154" s="85">
        <v>46289</v>
      </c>
      <c r="B1154" s="86" t="s">
        <v>1778</v>
      </c>
      <c r="C1154" s="86">
        <v>1000</v>
      </c>
      <c r="D1154" s="88" t="s">
        <v>2190</v>
      </c>
      <c r="E1154" s="87" t="s">
        <v>1946</v>
      </c>
    </row>
    <row r="1155" spans="1:5" x14ac:dyDescent="0.25">
      <c r="A1155" s="85">
        <v>46289</v>
      </c>
      <c r="B1155" s="86" t="s">
        <v>1778</v>
      </c>
      <c r="C1155" s="86">
        <v>1700</v>
      </c>
      <c r="D1155" s="88" t="s">
        <v>1947</v>
      </c>
      <c r="E1155" s="87" t="s">
        <v>1946</v>
      </c>
    </row>
    <row r="1156" spans="1:5" x14ac:dyDescent="0.25">
      <c r="A1156" s="85">
        <v>46289</v>
      </c>
      <c r="B1156" s="86" t="s">
        <v>2022</v>
      </c>
      <c r="C1156" s="86">
        <v>1000</v>
      </c>
      <c r="D1156" s="88" t="s">
        <v>2190</v>
      </c>
      <c r="E1156" s="87" t="s">
        <v>1946</v>
      </c>
    </row>
    <row r="1157" spans="1:5" x14ac:dyDescent="0.25">
      <c r="A1157" s="85">
        <v>46290</v>
      </c>
      <c r="B1157" s="86" t="s">
        <v>2022</v>
      </c>
      <c r="C1157" s="86">
        <v>1500</v>
      </c>
      <c r="D1157" s="88" t="s">
        <v>2191</v>
      </c>
      <c r="E1157" s="87" t="s">
        <v>1946</v>
      </c>
    </row>
    <row r="1158" spans="1:5" x14ac:dyDescent="0.25">
      <c r="A1158" s="85">
        <v>46290</v>
      </c>
      <c r="B1158" s="86" t="s">
        <v>904</v>
      </c>
      <c r="C1158" s="86">
        <v>1000</v>
      </c>
      <c r="D1158" s="55" t="s">
        <v>2188</v>
      </c>
      <c r="E1158" s="87" t="s">
        <v>1946</v>
      </c>
    </row>
    <row r="1159" spans="1:5" x14ac:dyDescent="0.25">
      <c r="A1159" s="85">
        <v>46290</v>
      </c>
      <c r="B1159" s="86" t="s">
        <v>1495</v>
      </c>
      <c r="C1159" s="86">
        <v>1500</v>
      </c>
      <c r="D1159" s="55" t="s">
        <v>1952</v>
      </c>
      <c r="E1159" s="87" t="s">
        <v>1946</v>
      </c>
    </row>
    <row r="1160" spans="1:5" x14ac:dyDescent="0.25">
      <c r="A1160" s="85">
        <v>46290</v>
      </c>
      <c r="B1160" s="86" t="s">
        <v>2022</v>
      </c>
      <c r="C1160" s="86">
        <v>1200</v>
      </c>
      <c r="D1160" s="88" t="s">
        <v>2160</v>
      </c>
      <c r="E1160" s="87" t="s">
        <v>1946</v>
      </c>
    </row>
    <row r="1161" spans="1:5" x14ac:dyDescent="0.25">
      <c r="A1161" s="85">
        <v>46290</v>
      </c>
      <c r="B1161" s="86" t="s">
        <v>1495</v>
      </c>
      <c r="C1161" s="86">
        <v>2200</v>
      </c>
      <c r="D1161" s="88" t="s">
        <v>1962</v>
      </c>
      <c r="E1161" s="87" t="s">
        <v>1946</v>
      </c>
    </row>
    <row r="1162" spans="1:5" x14ac:dyDescent="0.25">
      <c r="A1162" s="85">
        <v>46290</v>
      </c>
      <c r="B1162" s="86" t="s">
        <v>2154</v>
      </c>
      <c r="C1162" s="86">
        <v>5850</v>
      </c>
      <c r="D1162" s="88" t="s">
        <v>69</v>
      </c>
      <c r="E1162" s="87" t="s">
        <v>1946</v>
      </c>
    </row>
    <row r="1163" spans="1:5" x14ac:dyDescent="0.25">
      <c r="A1163" s="85">
        <v>46290</v>
      </c>
      <c r="B1163" s="86" t="s">
        <v>1520</v>
      </c>
      <c r="C1163" s="86">
        <v>900</v>
      </c>
      <c r="D1163" s="88" t="s">
        <v>2129</v>
      </c>
      <c r="E1163" s="87" t="s">
        <v>1946</v>
      </c>
    </row>
    <row r="1164" spans="1:5" x14ac:dyDescent="0.25">
      <c r="A1164" s="85">
        <v>46290</v>
      </c>
      <c r="B1164" s="86" t="s">
        <v>1520</v>
      </c>
      <c r="C1164" s="86">
        <v>5850</v>
      </c>
      <c r="D1164" s="88" t="s">
        <v>1985</v>
      </c>
      <c r="E1164" s="87" t="s">
        <v>1946</v>
      </c>
    </row>
    <row r="1165" spans="1:5" x14ac:dyDescent="0.25">
      <c r="A1165" s="85">
        <v>46290</v>
      </c>
      <c r="B1165" s="86" t="s">
        <v>904</v>
      </c>
      <c r="C1165" s="86">
        <v>5850</v>
      </c>
      <c r="D1165" s="88" t="s">
        <v>69</v>
      </c>
      <c r="E1165" s="87" t="s">
        <v>1946</v>
      </c>
    </row>
    <row r="1166" spans="1:5" x14ac:dyDescent="0.25">
      <c r="A1166" s="85">
        <v>46290</v>
      </c>
      <c r="B1166" s="86" t="s">
        <v>1484</v>
      </c>
      <c r="C1166" s="86">
        <v>4150</v>
      </c>
      <c r="D1166" s="88" t="s">
        <v>1972</v>
      </c>
      <c r="E1166" s="87" t="s">
        <v>1946</v>
      </c>
    </row>
    <row r="1167" spans="1:5" x14ac:dyDescent="0.25">
      <c r="A1167" s="85">
        <v>46291</v>
      </c>
      <c r="B1167" s="86" t="s">
        <v>1778</v>
      </c>
      <c r="C1167" s="86">
        <v>1000</v>
      </c>
      <c r="D1167" s="88" t="s">
        <v>1951</v>
      </c>
      <c r="E1167" s="87" t="s">
        <v>1946</v>
      </c>
    </row>
    <row r="1168" spans="1:5" x14ac:dyDescent="0.25">
      <c r="A1168" s="85">
        <v>46291</v>
      </c>
      <c r="B1168" s="86" t="s">
        <v>1778</v>
      </c>
      <c r="C1168" s="86">
        <v>700</v>
      </c>
      <c r="D1168" s="88" t="s">
        <v>1951</v>
      </c>
      <c r="E1168" s="87" t="s">
        <v>1946</v>
      </c>
    </row>
    <row r="1169" spans="1:6" x14ac:dyDescent="0.25">
      <c r="A1169" s="85">
        <v>46291</v>
      </c>
      <c r="B1169" s="86" t="s">
        <v>1520</v>
      </c>
      <c r="C1169" s="86">
        <v>5600</v>
      </c>
      <c r="D1169" s="88" t="s">
        <v>35</v>
      </c>
      <c r="E1169" s="87" t="s">
        <v>1946</v>
      </c>
    </row>
    <row r="1170" spans="1:6" x14ac:dyDescent="0.25">
      <c r="A1170" s="85">
        <v>46291</v>
      </c>
      <c r="B1170" s="86" t="s">
        <v>2154</v>
      </c>
      <c r="C1170" s="86">
        <v>5850</v>
      </c>
      <c r="D1170" s="88" t="s">
        <v>69</v>
      </c>
      <c r="E1170" s="87" t="s">
        <v>1946</v>
      </c>
    </row>
    <row r="1171" spans="1:6" x14ac:dyDescent="0.25">
      <c r="A1171" s="85">
        <v>46291</v>
      </c>
      <c r="B1171" s="86" t="s">
        <v>1484</v>
      </c>
      <c r="C1171" s="86">
        <v>5850</v>
      </c>
      <c r="D1171" s="88" t="s">
        <v>69</v>
      </c>
      <c r="E1171" s="87" t="s">
        <v>1946</v>
      </c>
    </row>
    <row r="1172" spans="1:6" x14ac:dyDescent="0.25">
      <c r="A1172" s="85">
        <v>46291</v>
      </c>
      <c r="B1172" s="86" t="s">
        <v>2044</v>
      </c>
      <c r="C1172" s="86">
        <v>4200</v>
      </c>
      <c r="D1172" s="88" t="s">
        <v>1955</v>
      </c>
      <c r="E1172" s="87" t="s">
        <v>1946</v>
      </c>
    </row>
    <row r="1173" spans="1:6" x14ac:dyDescent="0.25">
      <c r="A1173" s="85">
        <v>46291</v>
      </c>
      <c r="B1173" s="86" t="s">
        <v>904</v>
      </c>
      <c r="C1173" s="86">
        <v>2200</v>
      </c>
      <c r="D1173" s="88" t="s">
        <v>1962</v>
      </c>
      <c r="E1173" s="87" t="s">
        <v>1946</v>
      </c>
    </row>
    <row r="1174" spans="1:6" x14ac:dyDescent="0.25">
      <c r="A1174" s="85">
        <v>46291</v>
      </c>
      <c r="B1174" s="86" t="s">
        <v>1520</v>
      </c>
      <c r="C1174" s="86">
        <v>700</v>
      </c>
      <c r="D1174" s="88" t="s">
        <v>2192</v>
      </c>
      <c r="E1174" s="87" t="s">
        <v>1946</v>
      </c>
      <c r="F1174" s="82" t="s">
        <v>2193</v>
      </c>
    </row>
    <row r="1175" spans="1:6" x14ac:dyDescent="0.25">
      <c r="A1175" s="85">
        <v>46291</v>
      </c>
      <c r="B1175" s="86" t="s">
        <v>896</v>
      </c>
      <c r="C1175" s="86">
        <v>2000</v>
      </c>
      <c r="D1175" s="88" t="s">
        <v>2194</v>
      </c>
      <c r="E1175" s="87" t="s">
        <v>1946</v>
      </c>
    </row>
    <row r="1176" spans="1:6" x14ac:dyDescent="0.25">
      <c r="A1176" s="85">
        <v>46291</v>
      </c>
      <c r="B1176" s="86" t="s">
        <v>896</v>
      </c>
      <c r="C1176" s="86">
        <v>9900</v>
      </c>
      <c r="D1176" s="88" t="s">
        <v>2196</v>
      </c>
      <c r="E1176" s="87" t="s">
        <v>1946</v>
      </c>
      <c r="F1176" s="82" t="s">
        <v>2195</v>
      </c>
    </row>
    <row r="1177" spans="1:6" x14ac:dyDescent="0.25">
      <c r="A1177" s="85">
        <v>46293</v>
      </c>
      <c r="B1177" s="86" t="s">
        <v>896</v>
      </c>
      <c r="C1177" s="86">
        <v>500</v>
      </c>
      <c r="D1177" s="88" t="s">
        <v>2194</v>
      </c>
      <c r="E1177" s="87" t="s">
        <v>1946</v>
      </c>
    </row>
    <row r="1178" spans="1:6" x14ac:dyDescent="0.25">
      <c r="A1178" s="85">
        <v>46293</v>
      </c>
      <c r="B1178" s="86" t="s">
        <v>896</v>
      </c>
      <c r="C1178" s="86">
        <v>5700</v>
      </c>
      <c r="D1178" s="88" t="s">
        <v>2196</v>
      </c>
      <c r="E1178" s="87" t="s">
        <v>1946</v>
      </c>
      <c r="F1178" s="82" t="s">
        <v>2197</v>
      </c>
    </row>
    <row r="1179" spans="1:6" x14ac:dyDescent="0.25">
      <c r="A1179" s="85">
        <v>46293</v>
      </c>
      <c r="B1179" s="86" t="s">
        <v>1520</v>
      </c>
      <c r="C1179" s="86">
        <v>3500</v>
      </c>
      <c r="D1179" s="88" t="s">
        <v>2199</v>
      </c>
      <c r="E1179" s="87" t="s">
        <v>1946</v>
      </c>
      <c r="F1179" s="82" t="s">
        <v>2200</v>
      </c>
    </row>
    <row r="1180" spans="1:6" x14ac:dyDescent="0.25">
      <c r="A1180" s="85">
        <v>46293</v>
      </c>
      <c r="B1180" s="86" t="s">
        <v>896</v>
      </c>
      <c r="C1180" s="86">
        <v>1700</v>
      </c>
      <c r="D1180" s="88" t="s">
        <v>1947</v>
      </c>
      <c r="E1180" s="87" t="s">
        <v>1946</v>
      </c>
    </row>
    <row r="1181" spans="1:6" x14ac:dyDescent="0.25">
      <c r="A1181" s="85">
        <v>46293</v>
      </c>
      <c r="B1181" s="86" t="s">
        <v>1484</v>
      </c>
      <c r="C1181" s="86">
        <v>1500</v>
      </c>
      <c r="D1181" s="55" t="s">
        <v>1952</v>
      </c>
      <c r="E1181" s="87" t="s">
        <v>1946</v>
      </c>
    </row>
    <row r="1182" spans="1:6" x14ac:dyDescent="0.25">
      <c r="A1182" s="85">
        <v>46293</v>
      </c>
      <c r="B1182" s="86" t="s">
        <v>2044</v>
      </c>
      <c r="C1182" s="86">
        <v>1500</v>
      </c>
      <c r="D1182" s="55" t="s">
        <v>1952</v>
      </c>
      <c r="E1182" s="87" t="s">
        <v>1946</v>
      </c>
    </row>
    <row r="1183" spans="1:6" x14ac:dyDescent="0.25">
      <c r="A1183" s="85">
        <v>46293</v>
      </c>
      <c r="B1183" s="86" t="s">
        <v>2095</v>
      </c>
      <c r="C1183" s="86">
        <v>4200</v>
      </c>
      <c r="D1183" s="88" t="s">
        <v>1955</v>
      </c>
      <c r="E1183" s="87" t="s">
        <v>1946</v>
      </c>
    </row>
    <row r="1184" spans="1:6" x14ac:dyDescent="0.25">
      <c r="A1184" s="85">
        <v>46293</v>
      </c>
      <c r="B1184" s="86" t="s">
        <v>1484</v>
      </c>
      <c r="C1184" s="86">
        <v>5850</v>
      </c>
      <c r="D1184" s="88" t="s">
        <v>69</v>
      </c>
      <c r="E1184" s="87" t="s">
        <v>1946</v>
      </c>
    </row>
    <row r="1185" spans="1:6" x14ac:dyDescent="0.25">
      <c r="A1185" s="85">
        <v>46293</v>
      </c>
      <c r="B1185" s="86" t="s">
        <v>2044</v>
      </c>
      <c r="C1185" s="86">
        <v>5850</v>
      </c>
      <c r="D1185" s="88" t="s">
        <v>69</v>
      </c>
      <c r="E1185" s="87" t="s">
        <v>1946</v>
      </c>
    </row>
    <row r="1186" spans="1:6" x14ac:dyDescent="0.25">
      <c r="A1186" s="85">
        <v>46294</v>
      </c>
      <c r="B1186" s="86" t="s">
        <v>2095</v>
      </c>
      <c r="C1186" s="86">
        <v>1500</v>
      </c>
      <c r="D1186" s="55" t="s">
        <v>1952</v>
      </c>
      <c r="E1186" s="87" t="s">
        <v>1946</v>
      </c>
    </row>
    <row r="1187" spans="1:6" x14ac:dyDescent="0.25">
      <c r="A1187" s="85">
        <v>46294</v>
      </c>
      <c r="B1187" s="86" t="s">
        <v>2044</v>
      </c>
      <c r="C1187" s="86">
        <v>1500</v>
      </c>
      <c r="D1187" s="55" t="s">
        <v>1952</v>
      </c>
      <c r="E1187" s="87" t="s">
        <v>1946</v>
      </c>
    </row>
    <row r="1188" spans="1:6" x14ac:dyDescent="0.25">
      <c r="A1188" s="85">
        <v>46294</v>
      </c>
      <c r="B1188" s="86" t="s">
        <v>1484</v>
      </c>
      <c r="C1188" s="86">
        <v>2200</v>
      </c>
      <c r="D1188" s="88" t="s">
        <v>1962</v>
      </c>
      <c r="E1188" s="87" t="s">
        <v>1946</v>
      </c>
    </row>
    <row r="1189" spans="1:6" x14ac:dyDescent="0.25">
      <c r="A1189" s="85">
        <v>46294</v>
      </c>
      <c r="B1189" s="86" t="s">
        <v>2044</v>
      </c>
      <c r="C1189" s="86">
        <v>5600</v>
      </c>
      <c r="D1189" s="88" t="s">
        <v>35</v>
      </c>
      <c r="E1189" s="87" t="s">
        <v>1946</v>
      </c>
      <c r="F1189" s="82" t="s">
        <v>2011</v>
      </c>
    </row>
    <row r="1190" spans="1:6" x14ac:dyDescent="0.25">
      <c r="A1190" s="85">
        <v>46294</v>
      </c>
      <c r="B1190" s="86" t="s">
        <v>2154</v>
      </c>
      <c r="C1190" s="86">
        <v>5850</v>
      </c>
      <c r="D1190" s="88" t="s">
        <v>69</v>
      </c>
      <c r="E1190" s="87" t="s">
        <v>1946</v>
      </c>
    </row>
    <row r="1191" spans="1:6" x14ac:dyDescent="0.25">
      <c r="A1191" s="85">
        <v>46294</v>
      </c>
      <c r="B1191" s="86" t="s">
        <v>2198</v>
      </c>
      <c r="C1191" s="86">
        <v>5850</v>
      </c>
      <c r="D1191" s="88" t="s">
        <v>69</v>
      </c>
      <c r="E1191" s="87" t="s">
        <v>1946</v>
      </c>
    </row>
    <row r="1192" spans="1:6" x14ac:dyDescent="0.25">
      <c r="A1192" s="85">
        <v>46294</v>
      </c>
      <c r="B1192" s="86" t="s">
        <v>2095</v>
      </c>
      <c r="C1192" s="86">
        <v>5850</v>
      </c>
      <c r="D1192" s="88" t="s">
        <v>69</v>
      </c>
      <c r="E1192" s="87" t="s">
        <v>1946</v>
      </c>
    </row>
    <row r="1193" spans="1:6" x14ac:dyDescent="0.25">
      <c r="A1193" s="85">
        <v>46294</v>
      </c>
      <c r="B1193" s="86" t="s">
        <v>1484</v>
      </c>
      <c r="C1193" s="86">
        <v>4700</v>
      </c>
      <c r="D1193" s="88" t="s">
        <v>1955</v>
      </c>
      <c r="E1193" s="87" t="s">
        <v>1946</v>
      </c>
    </row>
    <row r="1194" spans="1:6" x14ac:dyDescent="0.25">
      <c r="A1194" s="85">
        <v>46295</v>
      </c>
      <c r="B1194" s="86" t="s">
        <v>1484</v>
      </c>
      <c r="C1194" s="86">
        <v>1000</v>
      </c>
      <c r="D1194" s="88" t="s">
        <v>1951</v>
      </c>
      <c r="E1194" s="87" t="s">
        <v>1946</v>
      </c>
    </row>
    <row r="1195" spans="1:6" x14ac:dyDescent="0.25">
      <c r="A1195" s="85">
        <v>46295</v>
      </c>
      <c r="B1195" s="86" t="s">
        <v>1484</v>
      </c>
      <c r="C1195" s="86">
        <v>700</v>
      </c>
      <c r="D1195" s="88" t="s">
        <v>1951</v>
      </c>
      <c r="E1195" s="87" t="s">
        <v>1946</v>
      </c>
    </row>
    <row r="1196" spans="1:6" x14ac:dyDescent="0.25">
      <c r="A1196" s="85">
        <v>46295</v>
      </c>
      <c r="B1196" s="86" t="s">
        <v>2044</v>
      </c>
      <c r="C1196" s="86">
        <v>250</v>
      </c>
      <c r="D1196" s="88" t="s">
        <v>69</v>
      </c>
      <c r="E1196" s="87" t="s">
        <v>1946</v>
      </c>
    </row>
    <row r="1197" spans="1:6" x14ac:dyDescent="0.25">
      <c r="A1197" s="85">
        <v>46295</v>
      </c>
      <c r="B1197" s="86" t="s">
        <v>2095</v>
      </c>
      <c r="C1197" s="86">
        <v>1500</v>
      </c>
      <c r="D1197" s="55" t="s">
        <v>1952</v>
      </c>
      <c r="E1197" s="87" t="s">
        <v>1946</v>
      </c>
    </row>
    <row r="1198" spans="1:6" x14ac:dyDescent="0.25">
      <c r="A1198" s="85">
        <v>46295</v>
      </c>
      <c r="B1198" s="86" t="s">
        <v>2154</v>
      </c>
      <c r="C1198" s="86">
        <v>5850</v>
      </c>
      <c r="D1198" s="88" t="s">
        <v>69</v>
      </c>
      <c r="E1198" s="87" t="s">
        <v>1946</v>
      </c>
    </row>
    <row r="1199" spans="1:6" x14ac:dyDescent="0.25">
      <c r="A1199" s="85">
        <v>46295</v>
      </c>
      <c r="B1199" s="86" t="s">
        <v>1484</v>
      </c>
      <c r="C1199" s="86">
        <v>5850</v>
      </c>
      <c r="D1199" s="88" t="s">
        <v>69</v>
      </c>
      <c r="E1199" s="87" t="s">
        <v>1946</v>
      </c>
    </row>
    <row r="1200" spans="1:6" x14ac:dyDescent="0.25">
      <c r="A1200" s="85">
        <v>46295</v>
      </c>
      <c r="B1200" s="86" t="s">
        <v>2198</v>
      </c>
      <c r="C1200" s="86">
        <v>5850</v>
      </c>
      <c r="D1200" s="88" t="s">
        <v>69</v>
      </c>
      <c r="E1200" s="87" t="s">
        <v>1946</v>
      </c>
    </row>
    <row r="1201" spans="1:6" x14ac:dyDescent="0.25">
      <c r="A1201" s="85">
        <v>46295</v>
      </c>
      <c r="B1201" s="86" t="s">
        <v>1520</v>
      </c>
      <c r="C1201" s="86">
        <v>1900</v>
      </c>
      <c r="D1201" s="88" t="s">
        <v>2201</v>
      </c>
      <c r="E1201" s="87" t="s">
        <v>1946</v>
      </c>
      <c r="F1201" s="82" t="s">
        <v>2202</v>
      </c>
    </row>
    <row r="1202" spans="1:6" x14ac:dyDescent="0.25">
      <c r="A1202" s="85">
        <v>46295</v>
      </c>
      <c r="B1202" s="86" t="s">
        <v>1520</v>
      </c>
      <c r="C1202" s="86">
        <v>7550</v>
      </c>
      <c r="D1202" s="88" t="s">
        <v>2203</v>
      </c>
      <c r="E1202" s="87" t="s">
        <v>1946</v>
      </c>
    </row>
    <row r="1203" spans="1:6" x14ac:dyDescent="0.25">
      <c r="A1203" s="85">
        <v>46295</v>
      </c>
      <c r="B1203" s="86" t="s">
        <v>2044</v>
      </c>
      <c r="C1203" s="86">
        <v>1900</v>
      </c>
      <c r="D1203" s="55" t="s">
        <v>1952</v>
      </c>
      <c r="E1203" s="87" t="s">
        <v>1946</v>
      </c>
    </row>
    <row r="1204" spans="1:6" x14ac:dyDescent="0.25">
      <c r="A1204" s="85">
        <v>46295</v>
      </c>
      <c r="B1204" s="86" t="s">
        <v>2095</v>
      </c>
      <c r="C1204" s="86">
        <v>5600</v>
      </c>
      <c r="D1204" s="88" t="s">
        <v>35</v>
      </c>
      <c r="E1204" s="87" t="s">
        <v>1946</v>
      </c>
    </row>
    <row r="1205" spans="1:6" x14ac:dyDescent="0.25">
      <c r="A1205" s="85">
        <v>46296</v>
      </c>
      <c r="B1205" s="86" t="s">
        <v>2095</v>
      </c>
      <c r="C1205" s="86">
        <v>4150</v>
      </c>
      <c r="D1205" s="88" t="s">
        <v>1972</v>
      </c>
      <c r="E1205" s="87" t="s">
        <v>1946</v>
      </c>
    </row>
    <row r="1206" spans="1:6" x14ac:dyDescent="0.25">
      <c r="A1206" s="85">
        <v>46296</v>
      </c>
      <c r="B1206" s="86" t="s">
        <v>1484</v>
      </c>
      <c r="C1206" s="86">
        <v>2200</v>
      </c>
      <c r="D1206" s="88" t="s">
        <v>1962</v>
      </c>
      <c r="E1206" s="87" t="s">
        <v>1946</v>
      </c>
    </row>
    <row r="1207" spans="1:6" x14ac:dyDescent="0.25">
      <c r="A1207" s="85">
        <v>46296</v>
      </c>
      <c r="B1207" s="86" t="s">
        <v>2154</v>
      </c>
      <c r="C1207" s="86">
        <v>1500</v>
      </c>
      <c r="D1207" s="55" t="s">
        <v>1952</v>
      </c>
      <c r="E1207" s="87" t="s">
        <v>1946</v>
      </c>
    </row>
    <row r="1208" spans="1:6" x14ac:dyDescent="0.25">
      <c r="A1208" s="85">
        <v>46296</v>
      </c>
      <c r="B1208" s="86" t="s">
        <v>2198</v>
      </c>
      <c r="C1208" s="86">
        <v>1500</v>
      </c>
      <c r="D1208" s="55" t="s">
        <v>1952</v>
      </c>
      <c r="E1208" s="87" t="s">
        <v>1946</v>
      </c>
    </row>
    <row r="1209" spans="1:6" x14ac:dyDescent="0.25">
      <c r="A1209" s="85">
        <v>46296</v>
      </c>
      <c r="B1209" s="86" t="s">
        <v>2154</v>
      </c>
      <c r="C1209" s="86">
        <v>5600</v>
      </c>
      <c r="D1209" s="88" t="s">
        <v>35</v>
      </c>
      <c r="E1209" s="87" t="s">
        <v>1946</v>
      </c>
    </row>
    <row r="1210" spans="1:6" x14ac:dyDescent="0.25">
      <c r="A1210" s="85">
        <v>46296</v>
      </c>
      <c r="B1210" s="86" t="s">
        <v>2044</v>
      </c>
      <c r="C1210" s="86">
        <v>7900</v>
      </c>
      <c r="D1210" s="88" t="s">
        <v>1960</v>
      </c>
      <c r="E1210" s="87" t="s">
        <v>1946</v>
      </c>
    </row>
    <row r="1211" spans="1:6" x14ac:dyDescent="0.25">
      <c r="A1211" s="85">
        <v>46296</v>
      </c>
      <c r="B1211" s="86" t="s">
        <v>2198</v>
      </c>
      <c r="C1211" s="86">
        <v>7900</v>
      </c>
      <c r="D1211" s="88" t="s">
        <v>1960</v>
      </c>
      <c r="E1211" s="87" t="s">
        <v>1946</v>
      </c>
    </row>
    <row r="1212" spans="1:6" x14ac:dyDescent="0.25">
      <c r="A1212" s="85">
        <v>46297</v>
      </c>
      <c r="B1212" s="86" t="s">
        <v>1484</v>
      </c>
      <c r="C1212" s="86">
        <v>1000</v>
      </c>
      <c r="D1212" s="88" t="s">
        <v>1951</v>
      </c>
      <c r="E1212" s="87" t="s">
        <v>1946</v>
      </c>
    </row>
    <row r="1213" spans="1:6" x14ac:dyDescent="0.25">
      <c r="A1213" s="85">
        <v>46297</v>
      </c>
      <c r="B1213" s="86" t="s">
        <v>1484</v>
      </c>
      <c r="C1213" s="86">
        <v>700</v>
      </c>
      <c r="D1213" s="88" t="s">
        <v>1951</v>
      </c>
      <c r="E1213" s="87" t="s">
        <v>1946</v>
      </c>
    </row>
    <row r="1214" spans="1:6" x14ac:dyDescent="0.25">
      <c r="A1214" s="85">
        <v>46298</v>
      </c>
      <c r="B1214" s="86" t="s">
        <v>2044</v>
      </c>
      <c r="C1214" s="86">
        <v>1000</v>
      </c>
      <c r="D1214" s="88" t="s">
        <v>1950</v>
      </c>
      <c r="E1214" s="87" t="s">
        <v>1946</v>
      </c>
    </row>
    <row r="1215" spans="1:6" x14ac:dyDescent="0.25">
      <c r="A1215" s="85">
        <v>46298</v>
      </c>
      <c r="B1215" s="86" t="s">
        <v>2095</v>
      </c>
      <c r="C1215" s="86">
        <v>5600</v>
      </c>
      <c r="D1215" s="88" t="s">
        <v>35</v>
      </c>
      <c r="E1215" s="87" t="s">
        <v>1946</v>
      </c>
    </row>
    <row r="1216" spans="1:6" x14ac:dyDescent="0.25">
      <c r="A1216" s="85">
        <v>46298</v>
      </c>
      <c r="B1216" s="86" t="s">
        <v>2154</v>
      </c>
      <c r="C1216" s="86">
        <v>4150</v>
      </c>
      <c r="D1216" s="88" t="s">
        <v>1972</v>
      </c>
      <c r="E1216" s="87" t="s">
        <v>1946</v>
      </c>
    </row>
    <row r="1217" spans="1:5" x14ac:dyDescent="0.25">
      <c r="A1217" s="85">
        <v>46298</v>
      </c>
      <c r="B1217" s="86" t="s">
        <v>1484</v>
      </c>
      <c r="C1217" s="86">
        <v>4700</v>
      </c>
      <c r="D1217" s="88" t="s">
        <v>1955</v>
      </c>
      <c r="E1217" s="87" t="s">
        <v>1946</v>
      </c>
    </row>
    <row r="1218" spans="1:5" x14ac:dyDescent="0.25">
      <c r="A1218" s="85">
        <v>46298</v>
      </c>
      <c r="B1218" s="86" t="s">
        <v>2044</v>
      </c>
      <c r="C1218" s="86">
        <v>5850</v>
      </c>
      <c r="D1218" s="88" t="s">
        <v>69</v>
      </c>
      <c r="E1218" s="87" t="s">
        <v>1946</v>
      </c>
    </row>
    <row r="1219" spans="1:5" x14ac:dyDescent="0.25">
      <c r="A1219" s="85">
        <v>46300</v>
      </c>
      <c r="B1219" s="86" t="s">
        <v>2154</v>
      </c>
      <c r="C1219" s="86">
        <v>5000</v>
      </c>
      <c r="D1219" s="88" t="s">
        <v>164</v>
      </c>
      <c r="E1219" s="87" t="s">
        <v>1946</v>
      </c>
    </row>
    <row r="1220" spans="1:5" x14ac:dyDescent="0.25">
      <c r="A1220" s="85">
        <v>46300</v>
      </c>
      <c r="B1220" s="86" t="s">
        <v>2095</v>
      </c>
      <c r="C1220" s="86">
        <v>5000</v>
      </c>
      <c r="D1220" s="88" t="s">
        <v>164</v>
      </c>
      <c r="E1220" s="87" t="s">
        <v>1946</v>
      </c>
    </row>
    <row r="1221" spans="1:5" x14ac:dyDescent="0.25">
      <c r="A1221" s="85">
        <v>46300</v>
      </c>
      <c r="B1221" s="86" t="s">
        <v>2044</v>
      </c>
      <c r="C1221" s="86">
        <v>1500</v>
      </c>
      <c r="D1221" s="55" t="s">
        <v>1952</v>
      </c>
      <c r="E1221" s="87" t="s">
        <v>1946</v>
      </c>
    </row>
    <row r="1222" spans="1:5" x14ac:dyDescent="0.25">
      <c r="A1222" s="85">
        <v>46300</v>
      </c>
      <c r="B1222" s="86" t="s">
        <v>1484</v>
      </c>
      <c r="C1222" s="86">
        <v>1900</v>
      </c>
      <c r="D1222" s="55" t="s">
        <v>1952</v>
      </c>
      <c r="E1222" s="87" t="s">
        <v>1946</v>
      </c>
    </row>
    <row r="1223" spans="1:5" x14ac:dyDescent="0.25">
      <c r="A1223" s="85">
        <v>46300</v>
      </c>
      <c r="B1223" s="86" t="s">
        <v>1778</v>
      </c>
      <c r="C1223" s="86">
        <v>4200</v>
      </c>
      <c r="D1223" s="88" t="s">
        <v>1955</v>
      </c>
      <c r="E1223" s="87" t="s">
        <v>1946</v>
      </c>
    </row>
    <row r="1224" spans="1:5" x14ac:dyDescent="0.25">
      <c r="A1224" s="85">
        <v>46300</v>
      </c>
      <c r="B1224" s="86" t="s">
        <v>1495</v>
      </c>
      <c r="C1224" s="86">
        <v>4200</v>
      </c>
      <c r="D1224" s="88" t="s">
        <v>1955</v>
      </c>
      <c r="E1224" s="87" t="s">
        <v>1946</v>
      </c>
    </row>
    <row r="1225" spans="1:5" x14ac:dyDescent="0.25">
      <c r="A1225" s="85">
        <v>46300</v>
      </c>
      <c r="B1225" s="86" t="s">
        <v>904</v>
      </c>
      <c r="C1225" s="86">
        <v>4200</v>
      </c>
      <c r="D1225" s="88" t="s">
        <v>1955</v>
      </c>
      <c r="E1225" s="87" t="s">
        <v>1946</v>
      </c>
    </row>
    <row r="1226" spans="1:5" x14ac:dyDescent="0.25">
      <c r="A1226" s="85">
        <v>46300</v>
      </c>
      <c r="B1226" s="86" t="s">
        <v>896</v>
      </c>
      <c r="C1226" s="86">
        <v>4200</v>
      </c>
      <c r="D1226" s="88" t="s">
        <v>1955</v>
      </c>
      <c r="E1226" s="87" t="s">
        <v>1946</v>
      </c>
    </row>
    <row r="1227" spans="1:5" x14ac:dyDescent="0.25">
      <c r="A1227" s="85">
        <v>46300</v>
      </c>
      <c r="B1227" s="86" t="s">
        <v>2044</v>
      </c>
      <c r="C1227" s="86">
        <v>5600</v>
      </c>
      <c r="D1227" s="88" t="s">
        <v>35</v>
      </c>
      <c r="E1227" s="87" t="s">
        <v>1946</v>
      </c>
    </row>
    <row r="1228" spans="1:5" x14ac:dyDescent="0.25">
      <c r="A1228" s="85">
        <v>46300</v>
      </c>
      <c r="B1228" s="86" t="s">
        <v>2154</v>
      </c>
      <c r="C1228" s="86">
        <v>5850</v>
      </c>
      <c r="D1228" s="88" t="s">
        <v>69</v>
      </c>
      <c r="E1228" s="87" t="s">
        <v>1946</v>
      </c>
    </row>
    <row r="1229" spans="1:5" x14ac:dyDescent="0.25">
      <c r="A1229" s="85">
        <v>46301</v>
      </c>
      <c r="B1229" s="86" t="s">
        <v>2154</v>
      </c>
      <c r="C1229" s="86">
        <v>800</v>
      </c>
      <c r="D1229" s="88" t="s">
        <v>2013</v>
      </c>
      <c r="E1229" s="87" t="s">
        <v>1946</v>
      </c>
    </row>
    <row r="1230" spans="1:5" x14ac:dyDescent="0.25">
      <c r="A1230" s="85">
        <v>46301</v>
      </c>
      <c r="B1230" s="86" t="s">
        <v>1495</v>
      </c>
      <c r="C1230" s="86">
        <v>800</v>
      </c>
      <c r="D1230" s="88" t="s">
        <v>2013</v>
      </c>
      <c r="E1230" s="87" t="s">
        <v>1946</v>
      </c>
    </row>
    <row r="1231" spans="1:5" x14ac:dyDescent="0.25">
      <c r="A1231" s="85">
        <v>46301</v>
      </c>
      <c r="B1231" s="86" t="s">
        <v>1484</v>
      </c>
      <c r="C1231" s="86">
        <v>550</v>
      </c>
      <c r="D1231" s="88" t="s">
        <v>2013</v>
      </c>
      <c r="E1231" s="87" t="s">
        <v>1946</v>
      </c>
    </row>
    <row r="1232" spans="1:5" x14ac:dyDescent="0.25">
      <c r="A1232" s="85">
        <v>46301</v>
      </c>
      <c r="B1232" s="86" t="s">
        <v>2198</v>
      </c>
      <c r="C1232" s="86">
        <v>500</v>
      </c>
      <c r="D1232" s="55" t="s">
        <v>2186</v>
      </c>
      <c r="E1232" s="87" t="s">
        <v>1946</v>
      </c>
    </row>
    <row r="1233" spans="1:5" x14ac:dyDescent="0.25">
      <c r="A1233" s="85">
        <v>46301</v>
      </c>
      <c r="B1233" s="86" t="s">
        <v>2154</v>
      </c>
      <c r="C1233" s="86">
        <v>1500</v>
      </c>
      <c r="D1233" s="55" t="s">
        <v>1952</v>
      </c>
      <c r="E1233" s="87" t="s">
        <v>1946</v>
      </c>
    </row>
    <row r="1234" spans="1:5" x14ac:dyDescent="0.25">
      <c r="A1234" s="85">
        <v>46301</v>
      </c>
      <c r="B1234" s="86" t="s">
        <v>2154</v>
      </c>
      <c r="C1234" s="86">
        <v>400</v>
      </c>
      <c r="D1234" s="55" t="s">
        <v>1952</v>
      </c>
      <c r="E1234" s="87" t="s">
        <v>1946</v>
      </c>
    </row>
    <row r="1235" spans="1:5" x14ac:dyDescent="0.25">
      <c r="A1235" s="85">
        <v>46301</v>
      </c>
      <c r="B1235" s="86" t="s">
        <v>1520</v>
      </c>
      <c r="C1235" s="86">
        <v>3000</v>
      </c>
      <c r="D1235" s="88" t="s">
        <v>2150</v>
      </c>
      <c r="E1235" s="87" t="s">
        <v>1946</v>
      </c>
    </row>
    <row r="1236" spans="1:5" x14ac:dyDescent="0.25">
      <c r="A1236" s="85">
        <v>46301</v>
      </c>
      <c r="B1236" s="86" t="s">
        <v>1484</v>
      </c>
      <c r="C1236" s="86">
        <v>5850</v>
      </c>
      <c r="D1236" s="88" t="s">
        <v>69</v>
      </c>
      <c r="E1236" s="87" t="s">
        <v>1946</v>
      </c>
    </row>
    <row r="1237" spans="1:5" x14ac:dyDescent="0.25">
      <c r="A1237" s="85">
        <v>46301</v>
      </c>
      <c r="B1237" s="86" t="s">
        <v>904</v>
      </c>
      <c r="C1237" s="86">
        <v>1900</v>
      </c>
      <c r="D1237" s="55" t="s">
        <v>1952</v>
      </c>
      <c r="E1237" s="87" t="s">
        <v>1946</v>
      </c>
    </row>
    <row r="1238" spans="1:5" x14ac:dyDescent="0.25">
      <c r="A1238" s="85">
        <v>46301</v>
      </c>
      <c r="B1238" s="86" t="s">
        <v>1520</v>
      </c>
      <c r="C1238" s="86">
        <v>900</v>
      </c>
      <c r="D1238" s="88" t="s">
        <v>2129</v>
      </c>
      <c r="E1238" s="87" t="s">
        <v>1946</v>
      </c>
    </row>
    <row r="1239" spans="1:5" x14ac:dyDescent="0.25">
      <c r="A1239" s="85">
        <v>46301</v>
      </c>
      <c r="B1239" s="86" t="s">
        <v>1520</v>
      </c>
      <c r="C1239" s="86">
        <v>5850</v>
      </c>
      <c r="D1239" s="88" t="s">
        <v>1985</v>
      </c>
      <c r="E1239" s="87" t="s">
        <v>1946</v>
      </c>
    </row>
    <row r="1240" spans="1:5" x14ac:dyDescent="0.25">
      <c r="A1240" s="85">
        <v>46301</v>
      </c>
      <c r="B1240" s="86" t="s">
        <v>904</v>
      </c>
      <c r="C1240" s="86">
        <v>300</v>
      </c>
      <c r="D1240" s="88" t="s">
        <v>2013</v>
      </c>
      <c r="E1240" s="87" t="s">
        <v>1946</v>
      </c>
    </row>
    <row r="1241" spans="1:5" x14ac:dyDescent="0.25">
      <c r="A1241" s="85">
        <v>46302</v>
      </c>
      <c r="B1241" s="86" t="s">
        <v>2198</v>
      </c>
      <c r="C1241" s="86">
        <v>1000</v>
      </c>
      <c r="D1241" s="88" t="s">
        <v>2204</v>
      </c>
      <c r="E1241" s="87" t="s">
        <v>1946</v>
      </c>
    </row>
    <row r="1242" spans="1:5" x14ac:dyDescent="0.25">
      <c r="A1242" s="85">
        <v>46302</v>
      </c>
      <c r="B1242" s="86" t="s">
        <v>2198</v>
      </c>
      <c r="C1242" s="86">
        <v>5700</v>
      </c>
      <c r="D1242" s="55" t="s">
        <v>2205</v>
      </c>
      <c r="E1242" s="87" t="s">
        <v>1946</v>
      </c>
    </row>
    <row r="1243" spans="1:5" x14ac:dyDescent="0.25">
      <c r="A1243" s="85">
        <v>46302</v>
      </c>
      <c r="B1243" s="86" t="s">
        <v>2198</v>
      </c>
      <c r="C1243" s="86">
        <v>800</v>
      </c>
      <c r="D1243" s="55" t="s">
        <v>2205</v>
      </c>
      <c r="E1243" s="87" t="s">
        <v>1946</v>
      </c>
    </row>
    <row r="1244" spans="1:5" x14ac:dyDescent="0.25">
      <c r="A1244" s="85">
        <v>46302</v>
      </c>
      <c r="B1244" s="86" t="s">
        <v>2154</v>
      </c>
      <c r="C1244" s="86">
        <v>8100</v>
      </c>
      <c r="D1244" s="55" t="s">
        <v>2018</v>
      </c>
      <c r="E1244" s="87" t="s">
        <v>1946</v>
      </c>
    </row>
    <row r="1245" spans="1:5" x14ac:dyDescent="0.25">
      <c r="A1245" s="85">
        <v>46302</v>
      </c>
      <c r="B1245" s="86" t="s">
        <v>1484</v>
      </c>
      <c r="C1245" s="86">
        <v>8100</v>
      </c>
      <c r="D1245" s="55" t="s">
        <v>2018</v>
      </c>
      <c r="E1245" s="87" t="s">
        <v>1946</v>
      </c>
    </row>
    <row r="1246" spans="1:5" x14ac:dyDescent="0.25">
      <c r="A1246" s="85">
        <v>46302</v>
      </c>
      <c r="B1246" s="86" t="s">
        <v>896</v>
      </c>
      <c r="C1246" s="86">
        <v>8100</v>
      </c>
      <c r="D1246" s="55" t="s">
        <v>2018</v>
      </c>
      <c r="E1246" s="87" t="s">
        <v>1946</v>
      </c>
    </row>
    <row r="1247" spans="1:5" x14ac:dyDescent="0.25">
      <c r="A1247" s="85">
        <v>46302</v>
      </c>
      <c r="B1247" s="86" t="s">
        <v>1495</v>
      </c>
      <c r="C1247" s="86">
        <v>5850</v>
      </c>
      <c r="D1247" s="88" t="s">
        <v>69</v>
      </c>
      <c r="E1247" s="87" t="s">
        <v>1946</v>
      </c>
    </row>
    <row r="1248" spans="1:5" x14ac:dyDescent="0.25">
      <c r="A1248" s="85">
        <v>46302</v>
      </c>
      <c r="B1248" s="86" t="s">
        <v>904</v>
      </c>
      <c r="C1248" s="86">
        <v>5850</v>
      </c>
      <c r="D1248" s="88" t="s">
        <v>69</v>
      </c>
      <c r="E1248" s="87" t="s">
        <v>1946</v>
      </c>
    </row>
    <row r="1249" spans="1:5" x14ac:dyDescent="0.25">
      <c r="A1249" s="85">
        <v>46302</v>
      </c>
      <c r="B1249" s="86" t="s">
        <v>1498</v>
      </c>
      <c r="C1249" s="86">
        <v>7900</v>
      </c>
      <c r="D1249" s="88" t="s">
        <v>1960</v>
      </c>
      <c r="E1249" s="87" t="s">
        <v>1946</v>
      </c>
    </row>
    <row r="1250" spans="1:5" x14ac:dyDescent="0.25">
      <c r="A1250" s="85">
        <v>46302</v>
      </c>
      <c r="B1250" s="86" t="s">
        <v>1520</v>
      </c>
      <c r="C1250" s="86">
        <v>5850</v>
      </c>
      <c r="D1250" s="88" t="s">
        <v>69</v>
      </c>
      <c r="E1250" s="87" t="s">
        <v>1946</v>
      </c>
    </row>
    <row r="1251" spans="1:5" x14ac:dyDescent="0.25">
      <c r="A1251" s="85">
        <v>46302</v>
      </c>
      <c r="B1251" s="86" t="s">
        <v>1778</v>
      </c>
      <c r="C1251" s="86">
        <v>7900</v>
      </c>
      <c r="D1251" s="88" t="s">
        <v>1960</v>
      </c>
      <c r="E1251" s="87" t="s">
        <v>1946</v>
      </c>
    </row>
    <row r="1252" spans="1:5" x14ac:dyDescent="0.25">
      <c r="A1252" s="85">
        <v>46303</v>
      </c>
      <c r="B1252" s="86" t="s">
        <v>1484</v>
      </c>
      <c r="C1252" s="86">
        <v>8100</v>
      </c>
      <c r="D1252" s="83" t="s">
        <v>141</v>
      </c>
      <c r="E1252" s="87" t="s">
        <v>1946</v>
      </c>
    </row>
    <row r="1253" spans="1:5" x14ac:dyDescent="0.25">
      <c r="A1253" s="85">
        <v>46303</v>
      </c>
      <c r="B1253" s="86" t="s">
        <v>1495</v>
      </c>
      <c r="C1253" s="86">
        <v>1500</v>
      </c>
      <c r="D1253" s="55" t="s">
        <v>1952</v>
      </c>
      <c r="E1253" s="87" t="s">
        <v>1946</v>
      </c>
    </row>
    <row r="1254" spans="1:5" x14ac:dyDescent="0.25">
      <c r="A1254" s="85">
        <v>46303</v>
      </c>
      <c r="B1254" s="86" t="s">
        <v>901</v>
      </c>
      <c r="C1254" s="86">
        <v>1500</v>
      </c>
      <c r="D1254" s="55" t="s">
        <v>1952</v>
      </c>
      <c r="E1254" s="87" t="s">
        <v>1946</v>
      </c>
    </row>
    <row r="1255" spans="1:5" x14ac:dyDescent="0.25">
      <c r="A1255" s="85">
        <v>46303</v>
      </c>
      <c r="B1255" s="86" t="s">
        <v>2044</v>
      </c>
      <c r="C1255" s="86">
        <v>1000</v>
      </c>
      <c r="D1255" s="88" t="s">
        <v>1951</v>
      </c>
      <c r="E1255" s="87" t="s">
        <v>1946</v>
      </c>
    </row>
    <row r="1256" spans="1:5" x14ac:dyDescent="0.25">
      <c r="A1256" s="85">
        <v>46303</v>
      </c>
      <c r="B1256" s="86" t="s">
        <v>2044</v>
      </c>
      <c r="C1256" s="86">
        <v>700</v>
      </c>
      <c r="D1256" s="88" t="s">
        <v>1951</v>
      </c>
      <c r="E1256" s="87" t="s">
        <v>1946</v>
      </c>
    </row>
    <row r="1257" spans="1:5" x14ac:dyDescent="0.25">
      <c r="A1257" s="85">
        <v>46303</v>
      </c>
      <c r="B1257" s="86" t="s">
        <v>2044</v>
      </c>
      <c r="C1257" s="86">
        <v>700</v>
      </c>
      <c r="D1257" s="88" t="s">
        <v>1951</v>
      </c>
      <c r="E1257" s="87" t="s">
        <v>1946</v>
      </c>
    </row>
    <row r="1258" spans="1:5" x14ac:dyDescent="0.25">
      <c r="A1258" s="85">
        <v>46303</v>
      </c>
      <c r="B1258" s="86" t="s">
        <v>896</v>
      </c>
      <c r="C1258" s="86">
        <v>5850</v>
      </c>
      <c r="D1258" s="88" t="s">
        <v>69</v>
      </c>
      <c r="E1258" s="87" t="s">
        <v>1946</v>
      </c>
    </row>
    <row r="1259" spans="1:5" x14ac:dyDescent="0.25">
      <c r="A1259" s="85">
        <v>46303</v>
      </c>
      <c r="B1259" s="86" t="s">
        <v>904</v>
      </c>
      <c r="C1259" s="86">
        <v>5850</v>
      </c>
      <c r="D1259" s="88" t="s">
        <v>69</v>
      </c>
      <c r="E1259" s="87" t="s">
        <v>1946</v>
      </c>
    </row>
    <row r="1260" spans="1:5" x14ac:dyDescent="0.25">
      <c r="A1260" s="85">
        <v>46303</v>
      </c>
      <c r="B1260" s="86" t="s">
        <v>2198</v>
      </c>
      <c r="C1260" s="86">
        <v>5850</v>
      </c>
      <c r="D1260" s="88" t="s">
        <v>69</v>
      </c>
      <c r="E1260" s="87" t="s">
        <v>1946</v>
      </c>
    </row>
    <row r="1261" spans="1:5" x14ac:dyDescent="0.25">
      <c r="A1261" s="85">
        <v>46303</v>
      </c>
      <c r="B1261" s="86" t="s">
        <v>2154</v>
      </c>
      <c r="C1261" s="86">
        <v>8100</v>
      </c>
      <c r="D1261" s="55" t="s">
        <v>2018</v>
      </c>
      <c r="E1261" s="87" t="s">
        <v>1946</v>
      </c>
    </row>
    <row r="1262" spans="1:5" x14ac:dyDescent="0.25">
      <c r="A1262" s="85">
        <v>46303</v>
      </c>
      <c r="B1262" s="86" t="s">
        <v>1495</v>
      </c>
      <c r="C1262" s="86">
        <v>8100</v>
      </c>
      <c r="D1262" s="55" t="s">
        <v>2018</v>
      </c>
      <c r="E1262" s="87" t="s">
        <v>1946</v>
      </c>
    </row>
    <row r="1263" spans="1:5" x14ac:dyDescent="0.25">
      <c r="A1263" s="85">
        <v>46303</v>
      </c>
      <c r="B1263" s="86" t="s">
        <v>901</v>
      </c>
      <c r="C1263" s="86">
        <v>8100</v>
      </c>
      <c r="D1263" s="55" t="s">
        <v>2018</v>
      </c>
      <c r="E1263" s="87" t="s">
        <v>1946</v>
      </c>
    </row>
    <row r="1264" spans="1:5" x14ac:dyDescent="0.25">
      <c r="A1264" s="85">
        <v>46304</v>
      </c>
      <c r="B1264" s="86" t="s">
        <v>896</v>
      </c>
      <c r="C1264" s="86">
        <v>1500</v>
      </c>
      <c r="D1264" s="55" t="s">
        <v>1952</v>
      </c>
      <c r="E1264" s="87" t="s">
        <v>1946</v>
      </c>
    </row>
    <row r="1265" spans="1:6" x14ac:dyDescent="0.25">
      <c r="A1265" s="85">
        <v>46304</v>
      </c>
      <c r="B1265" s="86" t="s">
        <v>904</v>
      </c>
      <c r="C1265" s="86">
        <v>1500</v>
      </c>
      <c r="D1265" s="55" t="s">
        <v>1952</v>
      </c>
      <c r="E1265" s="87" t="s">
        <v>1946</v>
      </c>
    </row>
    <row r="1266" spans="1:6" x14ac:dyDescent="0.25">
      <c r="A1266" s="85">
        <v>46304</v>
      </c>
      <c r="B1266" s="86" t="s">
        <v>1520</v>
      </c>
      <c r="C1266" s="86">
        <v>2200</v>
      </c>
      <c r="D1266" s="88" t="s">
        <v>1962</v>
      </c>
      <c r="E1266" s="87" t="s">
        <v>1946</v>
      </c>
    </row>
    <row r="1267" spans="1:6" x14ac:dyDescent="0.25">
      <c r="A1267" s="85">
        <v>46304</v>
      </c>
      <c r="B1267" s="86" t="s">
        <v>2198</v>
      </c>
      <c r="C1267" s="86">
        <v>5600</v>
      </c>
      <c r="D1267" s="88" t="s">
        <v>35</v>
      </c>
      <c r="E1267" s="87" t="s">
        <v>1946</v>
      </c>
    </row>
    <row r="1268" spans="1:6" x14ac:dyDescent="0.25">
      <c r="A1268" s="85">
        <v>46304</v>
      </c>
      <c r="B1268" s="86" t="s">
        <v>2154</v>
      </c>
      <c r="C1268" s="86">
        <v>5850</v>
      </c>
      <c r="D1268" s="88" t="s">
        <v>69</v>
      </c>
      <c r="E1268" s="87" t="s">
        <v>1946</v>
      </c>
    </row>
    <row r="1269" spans="1:6" x14ac:dyDescent="0.25">
      <c r="A1269" s="85">
        <v>46304</v>
      </c>
      <c r="B1269" s="86" t="s">
        <v>904</v>
      </c>
      <c r="C1269" s="86">
        <v>5850</v>
      </c>
      <c r="D1269" s="88" t="s">
        <v>69</v>
      </c>
      <c r="E1269" s="87" t="s">
        <v>1946</v>
      </c>
    </row>
    <row r="1270" spans="1:6" x14ac:dyDescent="0.25">
      <c r="A1270" s="85">
        <v>46304</v>
      </c>
      <c r="B1270" s="86" t="s">
        <v>1484</v>
      </c>
      <c r="C1270" s="86">
        <v>5850</v>
      </c>
      <c r="D1270" s="88" t="s">
        <v>69</v>
      </c>
      <c r="E1270" s="87" t="s">
        <v>1946</v>
      </c>
    </row>
    <row r="1271" spans="1:6" x14ac:dyDescent="0.25">
      <c r="A1271" s="85">
        <v>46304</v>
      </c>
      <c r="B1271" s="86" t="s">
        <v>896</v>
      </c>
      <c r="C1271" s="86">
        <v>5850</v>
      </c>
      <c r="D1271" s="88" t="s">
        <v>69</v>
      </c>
      <c r="E1271" s="87" t="s">
        <v>1946</v>
      </c>
    </row>
    <row r="1272" spans="1:6" x14ac:dyDescent="0.25">
      <c r="A1272" s="85">
        <v>46304</v>
      </c>
      <c r="B1272" s="86" t="s">
        <v>2044</v>
      </c>
      <c r="C1272" s="86">
        <v>1000</v>
      </c>
      <c r="D1272" s="88" t="s">
        <v>1951</v>
      </c>
      <c r="E1272" s="87" t="s">
        <v>1946</v>
      </c>
    </row>
    <row r="1273" spans="1:6" x14ac:dyDescent="0.25">
      <c r="A1273" s="85">
        <v>46304</v>
      </c>
      <c r="B1273" s="86" t="s">
        <v>2154</v>
      </c>
      <c r="C1273" s="86">
        <v>300</v>
      </c>
      <c r="D1273" s="88" t="s">
        <v>2206</v>
      </c>
      <c r="E1273" s="87" t="s">
        <v>1946</v>
      </c>
    </row>
    <row r="1274" spans="1:6" x14ac:dyDescent="0.25">
      <c r="A1274" s="85">
        <v>46304</v>
      </c>
      <c r="B1274" s="86" t="s">
        <v>1495</v>
      </c>
      <c r="C1274" s="86">
        <v>600</v>
      </c>
      <c r="D1274" s="88" t="s">
        <v>2171</v>
      </c>
      <c r="E1274" s="87" t="s">
        <v>1946</v>
      </c>
      <c r="F1274" s="82" t="s">
        <v>2176</v>
      </c>
    </row>
    <row r="1275" spans="1:6" x14ac:dyDescent="0.25">
      <c r="A1275" s="85">
        <v>46304</v>
      </c>
      <c r="B1275" s="86" t="s">
        <v>1778</v>
      </c>
      <c r="C1275" s="86">
        <v>600</v>
      </c>
      <c r="D1275" s="88" t="s">
        <v>2171</v>
      </c>
      <c r="E1275" s="87" t="s">
        <v>1946</v>
      </c>
      <c r="F1275" s="82" t="s">
        <v>2176</v>
      </c>
    </row>
    <row r="1276" spans="1:6" x14ac:dyDescent="0.25">
      <c r="A1276" s="85">
        <v>46304</v>
      </c>
      <c r="B1276" s="86" t="s">
        <v>2044</v>
      </c>
      <c r="C1276" s="86">
        <v>1000</v>
      </c>
      <c r="D1276" s="88" t="s">
        <v>2207</v>
      </c>
      <c r="E1276" s="87" t="s">
        <v>1946</v>
      </c>
      <c r="F1276" s="101" t="s">
        <v>2208</v>
      </c>
    </row>
    <row r="1277" spans="1:6" x14ac:dyDescent="0.25">
      <c r="A1277" s="85">
        <v>46304</v>
      </c>
      <c r="B1277" s="86" t="s">
        <v>1778</v>
      </c>
      <c r="C1277" s="86">
        <v>1000</v>
      </c>
      <c r="D1277" s="88" t="s">
        <v>2209</v>
      </c>
      <c r="E1277" s="87" t="s">
        <v>1946</v>
      </c>
    </row>
    <row r="1278" spans="1:6" x14ac:dyDescent="0.25">
      <c r="A1278" s="85">
        <v>46304</v>
      </c>
      <c r="B1278" s="86" t="s">
        <v>1495</v>
      </c>
      <c r="C1278" s="86">
        <v>1000</v>
      </c>
      <c r="D1278" s="88" t="s">
        <v>2209</v>
      </c>
      <c r="E1278" s="87" t="s">
        <v>1946</v>
      </c>
    </row>
    <row r="1279" spans="1:6" x14ac:dyDescent="0.25">
      <c r="A1279" s="85">
        <v>46304</v>
      </c>
      <c r="B1279" s="86" t="s">
        <v>904</v>
      </c>
      <c r="C1279" s="86">
        <v>1000</v>
      </c>
      <c r="D1279" s="88" t="s">
        <v>2210</v>
      </c>
      <c r="E1279" s="87" t="s">
        <v>1946</v>
      </c>
    </row>
    <row r="1280" spans="1:6" x14ac:dyDescent="0.25">
      <c r="A1280" s="85">
        <v>46304</v>
      </c>
      <c r="B1280" s="86" t="s">
        <v>896</v>
      </c>
      <c r="C1280" s="86">
        <v>1000</v>
      </c>
      <c r="D1280" s="88" t="s">
        <v>2211</v>
      </c>
      <c r="E1280" s="87" t="s">
        <v>1946</v>
      </c>
    </row>
    <row r="1281" spans="1:5" x14ac:dyDescent="0.25">
      <c r="A1281" s="85">
        <v>46304</v>
      </c>
      <c r="B1281" s="86" t="s">
        <v>2044</v>
      </c>
      <c r="C1281" s="86">
        <v>1000</v>
      </c>
      <c r="D1281" s="88" t="s">
        <v>2212</v>
      </c>
      <c r="E1281" s="87" t="s">
        <v>1946</v>
      </c>
    </row>
    <row r="1282" spans="1:5" x14ac:dyDescent="0.25">
      <c r="A1282" s="85">
        <v>46305</v>
      </c>
      <c r="B1282" s="86" t="s">
        <v>1520</v>
      </c>
      <c r="C1282" s="86">
        <v>1000</v>
      </c>
      <c r="D1282" s="88" t="s">
        <v>1951</v>
      </c>
      <c r="E1282" s="87" t="s">
        <v>1946</v>
      </c>
    </row>
    <row r="1283" spans="1:5" x14ac:dyDescent="0.25">
      <c r="A1283" s="85">
        <v>46305</v>
      </c>
      <c r="B1283" s="86" t="s">
        <v>1520</v>
      </c>
      <c r="C1283" s="86">
        <v>4700</v>
      </c>
      <c r="D1283" s="88" t="s">
        <v>1955</v>
      </c>
      <c r="E1283" s="87" t="s">
        <v>1946</v>
      </c>
    </row>
    <row r="1284" spans="1:5" x14ac:dyDescent="0.25">
      <c r="A1284" s="85">
        <v>46305</v>
      </c>
      <c r="B1284" s="86" t="s">
        <v>901</v>
      </c>
      <c r="C1284" s="86">
        <v>5850</v>
      </c>
      <c r="D1284" s="88" t="s">
        <v>69</v>
      </c>
      <c r="E1284" s="87" t="s">
        <v>1946</v>
      </c>
    </row>
    <row r="1285" spans="1:5" x14ac:dyDescent="0.25">
      <c r="A1285" s="85">
        <v>46305</v>
      </c>
      <c r="B1285" s="86" t="s">
        <v>1495</v>
      </c>
      <c r="C1285" s="86">
        <v>5850</v>
      </c>
      <c r="D1285" s="88" t="s">
        <v>69</v>
      </c>
      <c r="E1285" s="87" t="s">
        <v>1946</v>
      </c>
    </row>
    <row r="1286" spans="1:5" x14ac:dyDescent="0.25">
      <c r="A1286" s="85">
        <v>46307</v>
      </c>
      <c r="B1286" s="86" t="s">
        <v>1520</v>
      </c>
      <c r="C1286" s="86">
        <v>1000</v>
      </c>
      <c r="D1286" s="88" t="s">
        <v>1951</v>
      </c>
      <c r="E1286" s="87" t="s">
        <v>1946</v>
      </c>
    </row>
    <row r="1287" spans="1:5" x14ac:dyDescent="0.25">
      <c r="A1287" s="85">
        <v>46307</v>
      </c>
      <c r="B1287" s="86" t="s">
        <v>1520</v>
      </c>
      <c r="C1287" s="86">
        <v>700</v>
      </c>
      <c r="D1287" s="88" t="s">
        <v>1951</v>
      </c>
      <c r="E1287" s="87" t="s">
        <v>1946</v>
      </c>
    </row>
    <row r="1288" spans="1:5" x14ac:dyDescent="0.25">
      <c r="A1288" s="85">
        <v>46307</v>
      </c>
      <c r="B1288" s="86" t="s">
        <v>1498</v>
      </c>
      <c r="C1288" s="86">
        <v>1000</v>
      </c>
      <c r="D1288" s="88" t="s">
        <v>1950</v>
      </c>
      <c r="E1288" s="87" t="s">
        <v>1946</v>
      </c>
    </row>
    <row r="1289" spans="1:5" x14ac:dyDescent="0.25">
      <c r="A1289" s="85">
        <v>46307</v>
      </c>
      <c r="B1289" s="86" t="s">
        <v>901</v>
      </c>
      <c r="C1289" s="86">
        <v>1900</v>
      </c>
      <c r="D1289" s="55" t="s">
        <v>1952</v>
      </c>
      <c r="E1289" s="87" t="s">
        <v>1946</v>
      </c>
    </row>
    <row r="1290" spans="1:5" x14ac:dyDescent="0.25">
      <c r="A1290" s="85">
        <v>46307</v>
      </c>
      <c r="B1290" s="86" t="s">
        <v>1484</v>
      </c>
      <c r="C1290" s="86">
        <v>5400</v>
      </c>
      <c r="D1290" s="88" t="s">
        <v>1957</v>
      </c>
      <c r="E1290" s="87" t="s">
        <v>1946</v>
      </c>
    </row>
    <row r="1291" spans="1:5" x14ac:dyDescent="0.25">
      <c r="A1291" s="85">
        <v>46308</v>
      </c>
      <c r="B1291" s="86" t="s">
        <v>901</v>
      </c>
      <c r="C1291" s="86">
        <v>500</v>
      </c>
      <c r="D1291" s="88" t="s">
        <v>2151</v>
      </c>
      <c r="E1291" s="87" t="s">
        <v>1946</v>
      </c>
    </row>
    <row r="1292" spans="1:5" x14ac:dyDescent="0.25">
      <c r="A1292" s="85">
        <v>46308</v>
      </c>
      <c r="B1292" s="86" t="s">
        <v>1498</v>
      </c>
      <c r="C1292" s="86">
        <v>1000</v>
      </c>
      <c r="D1292" s="88" t="s">
        <v>2213</v>
      </c>
      <c r="E1292" s="87" t="s">
        <v>1946</v>
      </c>
    </row>
    <row r="1293" spans="1:5" x14ac:dyDescent="0.25">
      <c r="A1293" s="85">
        <v>46308</v>
      </c>
      <c r="B1293" s="86" t="s">
        <v>1498</v>
      </c>
      <c r="C1293" s="86">
        <v>5850</v>
      </c>
      <c r="D1293" s="88" t="s">
        <v>69</v>
      </c>
      <c r="E1293" s="87" t="s">
        <v>1946</v>
      </c>
    </row>
    <row r="1294" spans="1:5" x14ac:dyDescent="0.25">
      <c r="A1294" s="85">
        <v>46308</v>
      </c>
      <c r="B1294" s="86" t="s">
        <v>2154</v>
      </c>
      <c r="C1294" s="86">
        <v>5850</v>
      </c>
      <c r="D1294" s="88" t="s">
        <v>69</v>
      </c>
      <c r="E1294" s="87" t="s">
        <v>1946</v>
      </c>
    </row>
    <row r="1295" spans="1:5" x14ac:dyDescent="0.25">
      <c r="A1295" s="85">
        <v>46308</v>
      </c>
      <c r="B1295" s="86" t="s">
        <v>904</v>
      </c>
      <c r="C1295" s="86">
        <v>5850</v>
      </c>
      <c r="D1295" s="88" t="s">
        <v>69</v>
      </c>
      <c r="E1295" s="87" t="s">
        <v>1946</v>
      </c>
    </row>
    <row r="1296" spans="1:5" x14ac:dyDescent="0.25">
      <c r="A1296" s="85">
        <v>46308</v>
      </c>
      <c r="B1296" s="86" t="s">
        <v>896</v>
      </c>
      <c r="C1296" s="86">
        <v>8100</v>
      </c>
      <c r="D1296" s="55" t="s">
        <v>2018</v>
      </c>
      <c r="E1296" s="87" t="s">
        <v>1946</v>
      </c>
    </row>
    <row r="1297" spans="1:5" x14ac:dyDescent="0.25">
      <c r="A1297" s="85">
        <v>46308</v>
      </c>
      <c r="B1297" s="86" t="s">
        <v>2198</v>
      </c>
      <c r="C1297" s="86">
        <v>4150</v>
      </c>
      <c r="D1297" s="88" t="s">
        <v>1972</v>
      </c>
      <c r="E1297" s="87" t="s">
        <v>1946</v>
      </c>
    </row>
    <row r="1298" spans="1:5" x14ac:dyDescent="0.25">
      <c r="A1298" s="85">
        <v>46308</v>
      </c>
      <c r="B1298" s="86" t="s">
        <v>1520</v>
      </c>
      <c r="C1298" s="86">
        <v>2200</v>
      </c>
      <c r="D1298" s="88" t="s">
        <v>1962</v>
      </c>
      <c r="E1298" s="87" t="s">
        <v>1946</v>
      </c>
    </row>
    <row r="1299" spans="1:5" x14ac:dyDescent="0.25">
      <c r="A1299" s="85">
        <v>46308</v>
      </c>
      <c r="B1299" s="86" t="s">
        <v>901</v>
      </c>
      <c r="C1299" s="86">
        <v>1900</v>
      </c>
      <c r="D1299" s="55" t="s">
        <v>1952</v>
      </c>
      <c r="E1299" s="87" t="s">
        <v>1946</v>
      </c>
    </row>
    <row r="1300" spans="1:5" x14ac:dyDescent="0.25">
      <c r="A1300" s="85">
        <v>46308</v>
      </c>
      <c r="B1300" s="86" t="s">
        <v>901</v>
      </c>
      <c r="C1300" s="86">
        <v>500</v>
      </c>
      <c r="D1300" s="88" t="s">
        <v>2151</v>
      </c>
      <c r="E1300" s="87" t="s">
        <v>1946</v>
      </c>
    </row>
    <row r="1301" spans="1:5" x14ac:dyDescent="0.25">
      <c r="A1301" s="85">
        <v>46308</v>
      </c>
      <c r="B1301" s="86" t="s">
        <v>1778</v>
      </c>
      <c r="C1301" s="86">
        <v>1000</v>
      </c>
      <c r="D1301" s="88" t="s">
        <v>1950</v>
      </c>
      <c r="E1301" s="87" t="s">
        <v>1946</v>
      </c>
    </row>
    <row r="1302" spans="1:5" x14ac:dyDescent="0.25">
      <c r="A1302" s="85">
        <v>46309</v>
      </c>
      <c r="B1302" s="86" t="s">
        <v>1520</v>
      </c>
      <c r="C1302" s="86">
        <v>1000</v>
      </c>
      <c r="D1302" s="88" t="s">
        <v>1951</v>
      </c>
      <c r="E1302" s="87" t="s">
        <v>1946</v>
      </c>
    </row>
    <row r="1303" spans="1:5" x14ac:dyDescent="0.25">
      <c r="A1303" s="85">
        <v>46309</v>
      </c>
      <c r="B1303" s="86" t="s">
        <v>904</v>
      </c>
      <c r="C1303" s="86">
        <v>1900</v>
      </c>
      <c r="D1303" s="55" t="s">
        <v>1952</v>
      </c>
      <c r="E1303" s="87" t="s">
        <v>1946</v>
      </c>
    </row>
    <row r="1304" spans="1:5" x14ac:dyDescent="0.25">
      <c r="A1304" s="85">
        <v>46309</v>
      </c>
      <c r="B1304" s="86" t="s">
        <v>2198</v>
      </c>
      <c r="C1304" s="86">
        <v>5600</v>
      </c>
      <c r="D1304" s="88" t="s">
        <v>35</v>
      </c>
      <c r="E1304" s="87" t="s">
        <v>1946</v>
      </c>
    </row>
    <row r="1305" spans="1:5" x14ac:dyDescent="0.25">
      <c r="A1305" s="85">
        <v>46309</v>
      </c>
      <c r="B1305" s="86" t="s">
        <v>901</v>
      </c>
      <c r="C1305" s="86">
        <v>5850</v>
      </c>
      <c r="D1305" s="88" t="s">
        <v>69</v>
      </c>
      <c r="E1305" s="87" t="s">
        <v>1946</v>
      </c>
    </row>
    <row r="1306" spans="1:5" x14ac:dyDescent="0.25">
      <c r="A1306" s="85">
        <v>46309</v>
      </c>
      <c r="B1306" s="86" t="s">
        <v>1495</v>
      </c>
      <c r="C1306" s="86">
        <v>5850</v>
      </c>
      <c r="D1306" s="88" t="s">
        <v>69</v>
      </c>
      <c r="E1306" s="87" t="s">
        <v>1946</v>
      </c>
    </row>
    <row r="1307" spans="1:5" x14ac:dyDescent="0.25">
      <c r="A1307" s="85">
        <v>46309</v>
      </c>
      <c r="B1307" s="86" t="s">
        <v>1484</v>
      </c>
      <c r="C1307" s="86">
        <v>5850</v>
      </c>
      <c r="D1307" s="88" t="s">
        <v>69</v>
      </c>
      <c r="E1307" s="87" t="s">
        <v>1946</v>
      </c>
    </row>
    <row r="1308" spans="1:5" x14ac:dyDescent="0.25">
      <c r="A1308" s="85">
        <v>46309</v>
      </c>
      <c r="B1308" s="86" t="s">
        <v>2154</v>
      </c>
      <c r="C1308" s="86">
        <v>2200</v>
      </c>
      <c r="D1308" s="88" t="s">
        <v>1962</v>
      </c>
      <c r="E1308" s="87" t="s">
        <v>1946</v>
      </c>
    </row>
    <row r="1309" spans="1:5" x14ac:dyDescent="0.25">
      <c r="A1309" s="85">
        <v>46309</v>
      </c>
      <c r="B1309" s="86" t="s">
        <v>1778</v>
      </c>
      <c r="C1309" s="86">
        <v>1500</v>
      </c>
      <c r="D1309" s="88" t="s">
        <v>2214</v>
      </c>
      <c r="E1309" s="87" t="s">
        <v>1946</v>
      </c>
    </row>
    <row r="1310" spans="1:5" x14ac:dyDescent="0.25">
      <c r="A1310" s="85">
        <v>46309</v>
      </c>
      <c r="B1310" s="86" t="s">
        <v>1778</v>
      </c>
      <c r="C1310" s="86">
        <v>5850</v>
      </c>
      <c r="D1310" s="88" t="s">
        <v>69</v>
      </c>
      <c r="E1310" s="87" t="s">
        <v>1946</v>
      </c>
    </row>
    <row r="1311" spans="1:5" x14ac:dyDescent="0.25">
      <c r="A1311" s="85">
        <v>46310</v>
      </c>
      <c r="B1311" s="86" t="s">
        <v>2154</v>
      </c>
      <c r="C1311" s="86">
        <v>1000</v>
      </c>
      <c r="D1311" s="88" t="s">
        <v>1951</v>
      </c>
      <c r="E1311" s="87" t="s">
        <v>1946</v>
      </c>
    </row>
    <row r="1312" spans="1:5" x14ac:dyDescent="0.25">
      <c r="A1312" s="85">
        <v>46310</v>
      </c>
      <c r="B1312" s="86" t="s">
        <v>1498</v>
      </c>
      <c r="C1312" s="86">
        <v>5850</v>
      </c>
      <c r="D1312" s="88" t="s">
        <v>69</v>
      </c>
      <c r="E1312" s="87" t="s">
        <v>1946</v>
      </c>
    </row>
    <row r="1313" spans="1:6" x14ac:dyDescent="0.25">
      <c r="A1313" s="85">
        <v>46310</v>
      </c>
      <c r="B1313" s="86" t="s">
        <v>904</v>
      </c>
      <c r="C1313" s="86">
        <v>5850</v>
      </c>
      <c r="D1313" s="88" t="s">
        <v>69</v>
      </c>
      <c r="E1313" s="87" t="s">
        <v>1946</v>
      </c>
    </row>
    <row r="1314" spans="1:6" x14ac:dyDescent="0.25">
      <c r="A1314" s="85">
        <v>46310</v>
      </c>
      <c r="B1314" s="86" t="s">
        <v>896</v>
      </c>
      <c r="C1314" s="86">
        <v>5850</v>
      </c>
      <c r="D1314" s="88" t="s">
        <v>69</v>
      </c>
      <c r="E1314" s="87" t="s">
        <v>1946</v>
      </c>
    </row>
    <row r="1315" spans="1:6" x14ac:dyDescent="0.25">
      <c r="A1315" s="85">
        <v>46310</v>
      </c>
      <c r="B1315" s="86" t="s">
        <v>1484</v>
      </c>
      <c r="C1315" s="86">
        <v>1900</v>
      </c>
      <c r="D1315" s="55" t="s">
        <v>1952</v>
      </c>
      <c r="E1315" s="87" t="s">
        <v>1946</v>
      </c>
    </row>
    <row r="1316" spans="1:6" x14ac:dyDescent="0.25">
      <c r="A1316" s="85">
        <v>46310</v>
      </c>
      <c r="B1316" s="86" t="s">
        <v>901</v>
      </c>
      <c r="C1316" s="86">
        <v>7900</v>
      </c>
      <c r="D1316" s="88" t="s">
        <v>2216</v>
      </c>
      <c r="E1316" s="87" t="s">
        <v>1946</v>
      </c>
      <c r="F1316" s="82" t="s">
        <v>2218</v>
      </c>
    </row>
    <row r="1317" spans="1:6" x14ac:dyDescent="0.25">
      <c r="A1317" s="85">
        <v>46310</v>
      </c>
      <c r="B1317" s="86" t="s">
        <v>2198</v>
      </c>
      <c r="C1317" s="86">
        <f>7900-1700</f>
        <v>6200</v>
      </c>
      <c r="D1317" s="88" t="s">
        <v>2217</v>
      </c>
      <c r="E1317" s="87" t="s">
        <v>1946</v>
      </c>
      <c r="F1317" s="82" t="s">
        <v>2218</v>
      </c>
    </row>
    <row r="1318" spans="1:6" x14ac:dyDescent="0.25">
      <c r="A1318" s="85">
        <v>46311</v>
      </c>
      <c r="B1318" s="86" t="s">
        <v>1495</v>
      </c>
      <c r="C1318" s="86">
        <v>5600</v>
      </c>
      <c r="D1318" s="88" t="s">
        <v>35</v>
      </c>
      <c r="E1318" s="87" t="s">
        <v>1946</v>
      </c>
    </row>
    <row r="1319" spans="1:6" x14ac:dyDescent="0.25">
      <c r="A1319" s="85">
        <v>46311</v>
      </c>
      <c r="B1319" s="86" t="s">
        <v>1484</v>
      </c>
      <c r="C1319" s="86">
        <v>5850</v>
      </c>
      <c r="D1319" s="88" t="s">
        <v>69</v>
      </c>
      <c r="E1319" s="87" t="s">
        <v>1946</v>
      </c>
    </row>
    <row r="1320" spans="1:6" x14ac:dyDescent="0.25">
      <c r="A1320" s="85">
        <v>46311</v>
      </c>
      <c r="B1320" s="86" t="s">
        <v>2044</v>
      </c>
      <c r="C1320" s="86">
        <v>1000</v>
      </c>
      <c r="D1320" s="88" t="s">
        <v>1951</v>
      </c>
      <c r="E1320" s="87" t="s">
        <v>1946</v>
      </c>
    </row>
    <row r="1321" spans="1:6" x14ac:dyDescent="0.25">
      <c r="A1321" s="85">
        <v>46311</v>
      </c>
      <c r="B1321" s="86" t="s">
        <v>2044</v>
      </c>
      <c r="C1321" s="86">
        <v>700</v>
      </c>
      <c r="D1321" s="88" t="s">
        <v>1951</v>
      </c>
      <c r="E1321" s="87" t="s">
        <v>1946</v>
      </c>
    </row>
    <row r="1322" spans="1:6" x14ac:dyDescent="0.25">
      <c r="A1322" s="103">
        <v>46311</v>
      </c>
      <c r="B1322" s="104" t="s">
        <v>2044</v>
      </c>
      <c r="C1322" s="104">
        <v>4200</v>
      </c>
      <c r="D1322" s="105" t="s">
        <v>1955</v>
      </c>
      <c r="E1322" s="106" t="s">
        <v>1946</v>
      </c>
    </row>
    <row r="1323" spans="1:6" x14ac:dyDescent="0.25">
      <c r="A1323" s="85">
        <v>46311</v>
      </c>
      <c r="B1323" s="86" t="s">
        <v>1778</v>
      </c>
      <c r="C1323" s="86">
        <v>5850</v>
      </c>
      <c r="D1323" s="88" t="s">
        <v>69</v>
      </c>
      <c r="E1323" s="87" t="s">
        <v>1946</v>
      </c>
    </row>
    <row r="1324" spans="1:6" x14ac:dyDescent="0.25">
      <c r="A1324" s="85">
        <v>46312</v>
      </c>
      <c r="B1324" s="86" t="s">
        <v>1484</v>
      </c>
      <c r="C1324" s="86">
        <v>2200</v>
      </c>
      <c r="D1324" s="88" t="s">
        <v>1962</v>
      </c>
      <c r="E1324" s="87" t="s">
        <v>1946</v>
      </c>
    </row>
    <row r="1325" spans="1:6" x14ac:dyDescent="0.25">
      <c r="A1325" s="85">
        <v>46312</v>
      </c>
      <c r="B1325" s="86" t="s">
        <v>1498</v>
      </c>
      <c r="C1325" s="86">
        <v>5850</v>
      </c>
      <c r="D1325" s="88" t="s">
        <v>69</v>
      </c>
      <c r="E1325" s="87" t="s">
        <v>1946</v>
      </c>
    </row>
    <row r="1326" spans="1:6" x14ac:dyDescent="0.25">
      <c r="A1326" s="85">
        <v>46312</v>
      </c>
      <c r="B1326" s="86" t="s">
        <v>904</v>
      </c>
      <c r="C1326" s="86">
        <v>5850</v>
      </c>
      <c r="D1326" s="88" t="s">
        <v>69</v>
      </c>
      <c r="E1326" s="87" t="s">
        <v>1946</v>
      </c>
    </row>
    <row r="1327" spans="1:6" x14ac:dyDescent="0.25">
      <c r="A1327" s="85">
        <v>46312</v>
      </c>
      <c r="B1327" s="86" t="s">
        <v>896</v>
      </c>
      <c r="C1327" s="86">
        <v>5850</v>
      </c>
      <c r="D1327" s="88" t="s">
        <v>69</v>
      </c>
      <c r="E1327" s="87" t="s">
        <v>1946</v>
      </c>
    </row>
    <row r="1328" spans="1:6" x14ac:dyDescent="0.25">
      <c r="A1328" s="85">
        <v>46312</v>
      </c>
      <c r="B1328" s="86" t="s">
        <v>1778</v>
      </c>
      <c r="C1328" s="86">
        <v>5850</v>
      </c>
      <c r="D1328" s="88" t="s">
        <v>69</v>
      </c>
      <c r="E1328" s="87" t="s">
        <v>1946</v>
      </c>
    </row>
    <row r="1329" spans="1:6" x14ac:dyDescent="0.25">
      <c r="A1329" s="85">
        <v>46312</v>
      </c>
      <c r="B1329" s="86" t="s">
        <v>901</v>
      </c>
      <c r="C1329" s="86">
        <v>500</v>
      </c>
      <c r="D1329" s="88" t="s">
        <v>1960</v>
      </c>
      <c r="E1329" s="87" t="s">
        <v>1946</v>
      </c>
      <c r="F1329" s="82" t="s">
        <v>2219</v>
      </c>
    </row>
    <row r="1330" spans="1:6" x14ac:dyDescent="0.25">
      <c r="A1330" s="85">
        <v>46312</v>
      </c>
      <c r="B1330" s="86" t="s">
        <v>2198</v>
      </c>
      <c r="C1330" s="86">
        <v>500</v>
      </c>
      <c r="D1330" s="88" t="s">
        <v>2215</v>
      </c>
      <c r="E1330" s="87" t="s">
        <v>1946</v>
      </c>
      <c r="F1330" s="82" t="s">
        <v>2219</v>
      </c>
    </row>
    <row r="1331" spans="1:6" x14ac:dyDescent="0.25">
      <c r="A1331" s="85">
        <v>46312</v>
      </c>
      <c r="B1331" s="86" t="s">
        <v>901</v>
      </c>
      <c r="C1331" s="86">
        <v>1000</v>
      </c>
      <c r="D1331" s="88" t="s">
        <v>1950</v>
      </c>
      <c r="E1331" s="87" t="s">
        <v>1946</v>
      </c>
    </row>
    <row r="1332" spans="1:6" x14ac:dyDescent="0.25">
      <c r="A1332" s="85">
        <v>46312</v>
      </c>
      <c r="B1332" s="86" t="s">
        <v>2198</v>
      </c>
      <c r="C1332" s="86">
        <v>1000</v>
      </c>
      <c r="D1332" s="88" t="s">
        <v>1950</v>
      </c>
      <c r="E1332" s="87" t="s">
        <v>1946</v>
      </c>
    </row>
    <row r="1333" spans="1:6" x14ac:dyDescent="0.25">
      <c r="A1333" s="85">
        <v>46312</v>
      </c>
      <c r="B1333" s="86" t="s">
        <v>901</v>
      </c>
      <c r="C1333" s="86">
        <v>5850</v>
      </c>
      <c r="D1333" s="88" t="s">
        <v>69</v>
      </c>
      <c r="E1333" s="87" t="s">
        <v>1946</v>
      </c>
    </row>
    <row r="1334" spans="1:6" x14ac:dyDescent="0.25">
      <c r="A1334" s="85">
        <v>46312</v>
      </c>
      <c r="B1334" s="86" t="s">
        <v>2198</v>
      </c>
      <c r="C1334" s="86">
        <v>5600</v>
      </c>
      <c r="D1334" s="88" t="s">
        <v>35</v>
      </c>
      <c r="E1334" s="87" t="s">
        <v>1946</v>
      </c>
    </row>
    <row r="1335" spans="1:6" x14ac:dyDescent="0.25">
      <c r="A1335" s="85">
        <v>46314</v>
      </c>
      <c r="B1335" s="86" t="s">
        <v>901</v>
      </c>
      <c r="C1335" s="86">
        <v>1900</v>
      </c>
      <c r="D1335" s="55" t="s">
        <v>1952</v>
      </c>
      <c r="E1335" s="87" t="s">
        <v>1946</v>
      </c>
    </row>
    <row r="1336" spans="1:6" x14ac:dyDescent="0.25">
      <c r="A1336" s="85">
        <v>46314</v>
      </c>
      <c r="B1336" s="86" t="s">
        <v>1520</v>
      </c>
      <c r="C1336" s="86">
        <v>5400</v>
      </c>
      <c r="D1336" s="55" t="s">
        <v>1966</v>
      </c>
      <c r="E1336" s="87" t="s">
        <v>1946</v>
      </c>
    </row>
    <row r="1337" spans="1:6" x14ac:dyDescent="0.25">
      <c r="A1337" s="85">
        <v>46315</v>
      </c>
      <c r="B1337" s="86" t="s">
        <v>901</v>
      </c>
      <c r="C1337" s="86">
        <v>500</v>
      </c>
      <c r="D1337" s="88" t="s">
        <v>2151</v>
      </c>
      <c r="E1337" s="87" t="s">
        <v>1946</v>
      </c>
    </row>
  </sheetData>
  <autoFilter ref="A1:I1335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A12" sqref="A12"/>
    </sheetView>
  </sheetViews>
  <sheetFormatPr defaultRowHeight="14.4" x14ac:dyDescent="0.3"/>
  <cols>
    <col min="2" max="2" width="52.109375" bestFit="1" customWidth="1"/>
    <col min="3" max="3" width="7.44140625" bestFit="1" customWidth="1"/>
    <col min="5" max="5" width="21.33203125" bestFit="1" customWidth="1"/>
  </cols>
  <sheetData>
    <row r="1" spans="1:5" x14ac:dyDescent="0.3">
      <c r="A1" t="s">
        <v>2073</v>
      </c>
      <c r="B1" t="s">
        <v>1988</v>
      </c>
      <c r="C1" t="s">
        <v>1943</v>
      </c>
      <c r="D1" t="s">
        <v>1986</v>
      </c>
      <c r="E1" t="s">
        <v>1944</v>
      </c>
    </row>
    <row r="2" spans="1:5" x14ac:dyDescent="0.3">
      <c r="A2">
        <v>1</v>
      </c>
      <c r="B2" t="s">
        <v>2074</v>
      </c>
      <c r="C2" t="s">
        <v>2075</v>
      </c>
      <c r="E2" t="s">
        <v>2076</v>
      </c>
    </row>
    <row r="3" spans="1:5" x14ac:dyDescent="0.3">
      <c r="A3">
        <v>2</v>
      </c>
      <c r="B3" t="s">
        <v>2077</v>
      </c>
      <c r="C3" t="s">
        <v>2078</v>
      </c>
      <c r="E3" t="s">
        <v>2076</v>
      </c>
    </row>
    <row r="4" spans="1:5" x14ac:dyDescent="0.3">
      <c r="A4">
        <v>3</v>
      </c>
      <c r="B4" t="s">
        <v>2081</v>
      </c>
      <c r="C4" t="s">
        <v>2082</v>
      </c>
      <c r="E4" t="s">
        <v>2083</v>
      </c>
    </row>
    <row r="5" spans="1:5" x14ac:dyDescent="0.3">
      <c r="A5">
        <v>4</v>
      </c>
      <c r="B5" t="s">
        <v>2084</v>
      </c>
      <c r="C5" t="s">
        <v>2085</v>
      </c>
      <c r="E5" t="s">
        <v>2083</v>
      </c>
    </row>
    <row r="6" spans="1:5" x14ac:dyDescent="0.3">
      <c r="A6">
        <v>4</v>
      </c>
      <c r="B6" t="s">
        <v>2086</v>
      </c>
      <c r="C6" t="s">
        <v>2087</v>
      </c>
      <c r="E6" t="s">
        <v>2083</v>
      </c>
    </row>
    <row r="7" spans="1:5" x14ac:dyDescent="0.3">
      <c r="A7">
        <v>4</v>
      </c>
      <c r="B7" t="s">
        <v>2088</v>
      </c>
      <c r="C7" t="s">
        <v>2089</v>
      </c>
      <c r="E7" t="s">
        <v>2083</v>
      </c>
    </row>
    <row r="8" spans="1:5" x14ac:dyDescent="0.3">
      <c r="A8">
        <v>5</v>
      </c>
      <c r="B8" t="s">
        <v>2100</v>
      </c>
      <c r="C8" t="s">
        <v>2101</v>
      </c>
      <c r="D8" t="s">
        <v>2102</v>
      </c>
      <c r="E8" t="s">
        <v>2083</v>
      </c>
    </row>
    <row r="9" spans="1:5" x14ac:dyDescent="0.3">
      <c r="A9">
        <v>6</v>
      </c>
      <c r="B9" t="s">
        <v>2090</v>
      </c>
      <c r="C9" t="s">
        <v>2091</v>
      </c>
    </row>
    <row r="10" spans="1:5" x14ac:dyDescent="0.3">
      <c r="A10">
        <v>7</v>
      </c>
      <c r="B10" t="s">
        <v>2079</v>
      </c>
      <c r="C10" t="s">
        <v>2080</v>
      </c>
      <c r="E10" t="s">
        <v>2076</v>
      </c>
    </row>
    <row r="11" spans="1:5" x14ac:dyDescent="0.3">
      <c r="A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Jan-Feb-Mar-25</vt:lpstr>
      <vt:lpstr>Apr-25</vt:lpstr>
      <vt:lpstr>May-25</vt:lpstr>
      <vt:lpstr>Jun-25</vt:lpstr>
      <vt:lpstr>Jul-25</vt:lpstr>
      <vt:lpstr>Aug-25</vt:lpstr>
      <vt:lpstr>Sep-25</vt:lpstr>
      <vt:lpstr>Oct-25</vt:lpstr>
      <vt:lpstr>Nov-25</vt:lpstr>
      <vt:lpstr>Dec-25</vt:lpstr>
      <vt:lpstr>Jan-26</vt:lpstr>
      <vt:lpstr>Feb-26</vt:lpstr>
      <vt:lpstr>Mar-26</vt:lpstr>
      <vt:lpstr>In Transit</vt:lpstr>
      <vt:lpstr>Local 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2026-10-20T04:42:21Z</dcterms:modified>
</cp:coreProperties>
</file>