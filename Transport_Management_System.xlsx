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529ADAF1-1152-4042-B993-4C816006D8A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R_Master" sheetId="1" r:id="rId1"/>
    <sheet name="Vehicle_Master" sheetId="2" r:id="rId2"/>
    <sheet name="Customer_Outstanding" sheetId="3" r:id="rId3"/>
    <sheet name="Vendor_Outstanding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H10" i="4"/>
  <c r="G10" i="4"/>
  <c r="F10" i="4"/>
  <c r="G5" i="3"/>
  <c r="G6" i="3"/>
  <c r="G7" i="3"/>
  <c r="G8" i="3"/>
  <c r="G9" i="3"/>
  <c r="G10" i="3"/>
  <c r="F10" i="3"/>
  <c r="E10" i="3"/>
  <c r="N5" i="1"/>
  <c r="N6" i="1"/>
  <c r="N7" i="1"/>
  <c r="N8" i="1"/>
  <c r="N9" i="1"/>
  <c r="N10" i="1"/>
  <c r="M10" i="1"/>
  <c r="L10" i="1"/>
  <c r="K10" i="1"/>
</calcChain>
</file>

<file path=xl/sharedStrings.xml><?xml version="1.0" encoding="utf-8"?>
<sst xmlns="http://schemas.openxmlformats.org/spreadsheetml/2006/main" count="238" uniqueCount="184">
  <si>
    <t>ट्रांसपोर्ट LR मास्टर / Lorry Receipt Management</t>
  </si>
  <si>
    <t>सभी LR (बिल्टी) रिकॉर्ड्स और डिलीवरी स्थिति</t>
  </si>
  <si>
    <t>LR Number</t>
  </si>
  <si>
    <t>LR Date</t>
  </si>
  <si>
    <t>Consignor (भेजने वाला)</t>
  </si>
  <si>
    <t>Consignor Mobile</t>
  </si>
  <si>
    <t>Consignee (पाने वाला)</t>
  </si>
  <si>
    <t>Consignee Mobile</t>
  </si>
  <si>
    <t>From (Origin)</t>
  </si>
  <si>
    <t>To (Destination)</t>
  </si>
  <si>
    <t>Vehicle Number</t>
  </si>
  <si>
    <t>Material Description</t>
  </si>
  <si>
    <t>Weight (MT)</t>
  </si>
  <si>
    <t>Total Freight (₹)</t>
  </si>
  <si>
    <t>Advance Received (₹)</t>
  </si>
  <si>
    <t>Balance Amount (₹)</t>
  </si>
  <si>
    <t>Status</t>
  </si>
  <si>
    <t>POD Reference</t>
  </si>
  <si>
    <t>LR-2026-001</t>
  </si>
  <si>
    <t>2026-10-01</t>
  </si>
  <si>
    <t>Sharma Textiles</t>
  </si>
  <si>
    <t>9876543210</t>
  </si>
  <si>
    <t>Verma Logistics</t>
  </si>
  <si>
    <t>9811122233</t>
  </si>
  <si>
    <t>Delhi</t>
  </si>
  <si>
    <t>Mumbai</t>
  </si>
  <si>
    <t>MH-12-AB-1234</t>
  </si>
  <si>
    <t>Textile Fabric</t>
  </si>
  <si>
    <t>Delivered</t>
  </si>
  <si>
    <t>POD_001.pdf</t>
  </si>
  <si>
    <t>LR-2026-002</t>
  </si>
  <si>
    <t>2026-10-03</t>
  </si>
  <si>
    <t>Gupta Traders</t>
  </si>
  <si>
    <t>9822233344</t>
  </si>
  <si>
    <t>Rajesh Enterprises</t>
  </si>
  <si>
    <t>9833344455</t>
  </si>
  <si>
    <t>Ahmedabad</t>
  </si>
  <si>
    <t>Jaipur</t>
  </si>
  <si>
    <t>RJ-14-GC-5678</t>
  </si>
  <si>
    <t>Hardware Items</t>
  </si>
  <si>
    <t>On The Way</t>
  </si>
  <si>
    <t>Pending</t>
  </si>
  <si>
    <t>LR-2026-003</t>
  </si>
  <si>
    <t>2026-10-05</t>
  </si>
  <si>
    <t>Aggarwal Metals</t>
  </si>
  <si>
    <t>9844455566</t>
  </si>
  <si>
    <t>National Steels</t>
  </si>
  <si>
    <t>9855566677</t>
  </si>
  <si>
    <t>Rourkela</t>
  </si>
  <si>
    <t>Ludhiana</t>
  </si>
  <si>
    <t>PB-10-XY-9012</t>
  </si>
  <si>
    <t>Steel Rods</t>
  </si>
  <si>
    <t>Loaded</t>
  </si>
  <si>
    <t>LR-2026-004</t>
  </si>
  <si>
    <t>2026-10-08</t>
  </si>
  <si>
    <t>Vanguard Industries</t>
  </si>
  <si>
    <t>9866677788</t>
  </si>
  <si>
    <t>South Agencies</t>
  </si>
  <si>
    <t>9877788899</t>
  </si>
  <si>
    <t>Pune</t>
  </si>
  <si>
    <t>Chennai</t>
  </si>
  <si>
    <t>KA-01-MH-3456</t>
  </si>
  <si>
    <t>Auto Parts</t>
  </si>
  <si>
    <t>POD_004.pdf</t>
  </si>
  <si>
    <t>LR-2026-005</t>
  </si>
  <si>
    <t>2026-10-10</t>
  </si>
  <si>
    <t>Sunrise Foods</t>
  </si>
  <si>
    <t>9888899900</t>
  </si>
  <si>
    <t>Metro Wholesalers</t>
  </si>
  <si>
    <t>9899900011</t>
  </si>
  <si>
    <t>Indore</t>
  </si>
  <si>
    <t>MP-09-HH-7890</t>
  </si>
  <si>
    <t>Food Grains</t>
  </si>
  <si>
    <t>POD_005.pdf</t>
  </si>
  <si>
    <t>कुल (Total)</t>
  </si>
  <si>
    <t>गाड़ी मास्टर और दस्तावेज़ एक्सपायरी / Vehicle &amp; Documents Master</t>
  </si>
  <si>
    <t>गाड़ी का विवरण, ड्राइवर डिटेल्स एवं RC, इंश्योरेंस, परमिट की तिथियां</t>
  </si>
  <si>
    <t>Vehicle Type</t>
  </si>
  <si>
    <t>Owner Name</t>
  </si>
  <si>
    <t>Owner Mobile</t>
  </si>
  <si>
    <t>Driver Name</t>
  </si>
  <si>
    <t>Driver Mobile</t>
  </si>
  <si>
    <t>RC Expiry Date</t>
  </si>
  <si>
    <t>Insurance Expiry</t>
  </si>
  <si>
    <t>Fitness Expiry</t>
  </si>
  <si>
    <t>Permit Expiry</t>
  </si>
  <si>
    <t>10 Wheeler Truck</t>
  </si>
  <si>
    <t>Ramesh Kumar</t>
  </si>
  <si>
    <t>9810010010</t>
  </si>
  <si>
    <t>Suresh Singh</t>
  </si>
  <si>
    <t>9810020020</t>
  </si>
  <si>
    <t>2028-05-20</t>
  </si>
  <si>
    <t>2026-11-15</t>
  </si>
  <si>
    <t>2027-01-10</t>
  </si>
  <si>
    <t>2027-06-30</t>
  </si>
  <si>
    <t>6 Wheeler Truck</t>
  </si>
  <si>
    <t>Vikram Logistics</t>
  </si>
  <si>
    <t>9820010010</t>
  </si>
  <si>
    <t>Dharmendra</t>
  </si>
  <si>
    <t>9820020020</t>
  </si>
  <si>
    <t>2027-08-12</t>
  </si>
  <si>
    <t>2026-10-30</t>
  </si>
  <si>
    <t>2026-12-05</t>
  </si>
  <si>
    <t>2027-03-15</t>
  </si>
  <si>
    <t>Trailer / Cont.</t>
  </si>
  <si>
    <t>Baljit Fleet</t>
  </si>
  <si>
    <t>9830010010</t>
  </si>
  <si>
    <t>Gurmeet Singh</t>
  </si>
  <si>
    <t>9830020020</t>
  </si>
  <si>
    <t>2029-01-15</t>
  </si>
  <si>
    <t>2027-04-10</t>
  </si>
  <si>
    <t>2027-05-20</t>
  </si>
  <si>
    <t>2028-11-11</t>
  </si>
  <si>
    <t>14 Wheeler Truck</t>
  </si>
  <si>
    <t>South Transport</t>
  </si>
  <si>
    <t>9840010010</t>
  </si>
  <si>
    <t>Murugan</t>
  </si>
  <si>
    <t>9840020020</t>
  </si>
  <si>
    <t>2026-12-01</t>
  </si>
  <si>
    <t>2026-11-01</t>
  </si>
  <si>
    <t>2026-10-25</t>
  </si>
  <si>
    <t>2027-02-28</t>
  </si>
  <si>
    <t>Eicher / Pickup</t>
  </si>
  <si>
    <t>Central Freight</t>
  </si>
  <si>
    <t>9850010010</t>
  </si>
  <si>
    <t>Radheshyam</t>
  </si>
  <si>
    <t>9850020020</t>
  </si>
  <si>
    <t>2028-09-10</t>
  </si>
  <si>
    <t>2027-02-18</t>
  </si>
  <si>
    <t>2027-03-22</t>
  </si>
  <si>
    <t>2027-09-05</t>
  </si>
  <si>
    <t>कस्टमर आउटस्टैंडिंग और फॉलो-अप / Customer Ledger &amp; Follow-up</t>
  </si>
  <si>
    <t>ग्राहकों का बकाया पेमेंट, ड्यू डेट और फॉलो-अप रिमार्क्स</t>
  </si>
  <si>
    <t>Entry ID</t>
  </si>
  <si>
    <t>Customer Name</t>
  </si>
  <si>
    <t>Invoice Number</t>
  </si>
  <si>
    <t>Total Bill (₹)</t>
  </si>
  <si>
    <t>Amount Received (₹)</t>
  </si>
  <si>
    <t>Pending Amount (₹)</t>
  </si>
  <si>
    <t>Due Date</t>
  </si>
  <si>
    <t>Last Followup Date</t>
  </si>
  <si>
    <t>Followup Remarks</t>
  </si>
  <si>
    <t>Payment Status</t>
  </si>
  <si>
    <t>CUST-001</t>
  </si>
  <si>
    <t>INV-26-01</t>
  </si>
  <si>
    <t>2026-10-15</t>
  </si>
  <si>
    <t>2026-10-16</t>
  </si>
  <si>
    <t>पार्टी ने सोमवार को चेक देने को कहा है</t>
  </si>
  <si>
    <t>Partial</t>
  </si>
  <si>
    <t>CUST-002</t>
  </si>
  <si>
    <t>INV-26-02</t>
  </si>
  <si>
    <t>2026-10-20</t>
  </si>
  <si>
    <t>2026-10-18</t>
  </si>
  <si>
    <t>बिल कन्फर्म हो गया, 2 दिन में ऑनलाइन ट्रांसफर करेंगे</t>
  </si>
  <si>
    <t>CUST-003</t>
  </si>
  <si>
    <t>INV-26-03</t>
  </si>
  <si>
    <t>2026-10-12</t>
  </si>
  <si>
    <t>मास्क डिलीवरी के बाद फुल पेमेंट मिलेगी</t>
  </si>
  <si>
    <t>Unpaid</t>
  </si>
  <si>
    <t>CUST-004</t>
  </si>
  <si>
    <t>INV-26-04</t>
  </si>
  <si>
    <t>पूर्ण भुगतान प्राप्त हो चुका है (Fully Paid)</t>
  </si>
  <si>
    <t>Paid</t>
  </si>
  <si>
    <t>CUST-005</t>
  </si>
  <si>
    <t>INV-26-05</t>
  </si>
  <si>
    <t>2026-10-19</t>
  </si>
  <si>
    <t>रिमाइंडर व्हाट्सएप पर भेजा गया</t>
  </si>
  <si>
    <t>कुल बकाया (Total)</t>
  </si>
  <si>
    <t>वेंडर / गाड़ी मालिक भुगतान और बकाया / Vendor Payables</t>
  </si>
  <si>
    <t>मार्केट ट्रक/वेंडर का तय भाड़ा, एडवांस, डीजल खर्च और बाकी पेमेंट</t>
  </si>
  <si>
    <t>Vendor / Owner Name</t>
  </si>
  <si>
    <t>Vendor Mobile</t>
  </si>
  <si>
    <t>Agreed Freight (₹)</t>
  </si>
  <si>
    <t>Advance Given (₹)</t>
  </si>
  <si>
    <t>Diesel / Other Exp (₹)</t>
  </si>
  <si>
    <t>Balance Payable (₹)</t>
  </si>
  <si>
    <t>VEND-001</t>
  </si>
  <si>
    <t>VEND-002</t>
  </si>
  <si>
    <t>VEND-003</t>
  </si>
  <si>
    <t>Baljit Fleet Owner</t>
  </si>
  <si>
    <t>VEND-004</t>
  </si>
  <si>
    <t>South Transport Co.</t>
  </si>
  <si>
    <t>VEND-005</t>
  </si>
  <si>
    <t>Central Freight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</si>
</sst>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\₹#,##0.00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Segoe UI"/>
    </font>
    <font>
      <i/>
      <sz val="11"/>
      <color rgb="FF595959"/>
      <name val="Segoe UI"/>
    </font>
    <font>
      <b/>
      <sz val="11"/>
      <color rgb="FFFFFFFF"/>
      <name val="Segoe UI"/>
    </font>
    <font>
      <sz val="10"/>
      <color rgb="FF000000"/>
      <name val="Segoe UI"/>
    </font>
    <font>
      <b/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 x14ac:dyDescent="0.2"/>
  <cols>
    <col min="1" max="1" width="14.9296875" customWidth="1"/>
    <col min="2" max="2" width="13.98828125" customWidth="1"/>
    <col min="3" max="3" width="25.9609375" customWidth="1"/>
    <col min="4" max="4" width="20.04296875" customWidth="1"/>
    <col min="5" max="5" width="25.01953125" customWidth="1"/>
    <col min="6" max="6" width="20.04296875" customWidth="1"/>
    <col min="7" max="7" width="16.94921875" customWidth="1"/>
    <col min="8" max="8" width="20.04296875" customWidth="1"/>
    <col min="9" max="9" width="18.0234375" customWidth="1"/>
    <col min="10" max="10" width="23.9453125" customWidth="1"/>
    <col min="11" max="11" width="14.9296875" customWidth="1"/>
    <col min="12" max="12" width="20.984375" customWidth="1"/>
    <col min="13" max="13" width="23.9453125" customWidth="1"/>
    <col min="14" max="14" width="22.05859375" customWidth="1"/>
    <col min="15" max="15" width="13.98828125" customWidth="1"/>
    <col min="16" max="16" width="16.94921875" customWidth="1"/>
  </cols>
  <sheetData>
    <row r="1" spans="1:16" ht="23.25" x14ac:dyDescent="0.35">
      <c r="A1" s="1" t="s">
        <v>0</v>
      </c>
    </row>
    <row r="2" spans="1:16" ht="16.5" x14ac:dyDescent="0.25">
      <c r="A2" s="2" t="s">
        <v>1</v>
      </c>
    </row>
    <row r="4" spans="1:16" ht="24.95" customHeight="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ht="20.100000000000001" customHeight="1" x14ac:dyDescent="0.2">
      <c r="A5" s="4" t="s">
        <v>18</v>
      </c>
      <c r="B5" s="4" t="s">
        <v>19</v>
      </c>
      <c r="C5" s="5" t="s">
        <v>20</v>
      </c>
      <c r="D5" s="4" t="s">
        <v>21</v>
      </c>
      <c r="E5" s="5" t="s">
        <v>22</v>
      </c>
      <c r="F5" s="4" t="s">
        <v>23</v>
      </c>
      <c r="G5" s="5" t="s">
        <v>24</v>
      </c>
      <c r="H5" s="5" t="s">
        <v>25</v>
      </c>
      <c r="I5" s="4" t="s">
        <v>26</v>
      </c>
      <c r="J5" s="5" t="s">
        <v>27</v>
      </c>
      <c r="K5" s="6">
        <v>12.5</v>
      </c>
      <c r="L5" s="7">
        <v>45000</v>
      </c>
      <c r="M5" s="7">
        <v>15000</v>
      </c>
      <c r="N5" s="7">
        <f>L5-M5</f>
        <v>30000</v>
      </c>
      <c r="O5" s="4" t="s">
        <v>28</v>
      </c>
      <c r="P5" s="4" t="s">
        <v>29</v>
      </c>
    </row>
    <row r="6" spans="1:16" ht="20.100000000000001" customHeight="1" x14ac:dyDescent="0.2">
      <c r="A6" s="8" t="s">
        <v>30</v>
      </c>
      <c r="B6" s="8" t="s">
        <v>31</v>
      </c>
      <c r="C6" s="9" t="s">
        <v>32</v>
      </c>
      <c r="D6" s="8" t="s">
        <v>33</v>
      </c>
      <c r="E6" s="9" t="s">
        <v>34</v>
      </c>
      <c r="F6" s="8" t="s">
        <v>35</v>
      </c>
      <c r="G6" s="9" t="s">
        <v>36</v>
      </c>
      <c r="H6" s="9" t="s">
        <v>37</v>
      </c>
      <c r="I6" s="8" t="s">
        <v>38</v>
      </c>
      <c r="J6" s="9" t="s">
        <v>39</v>
      </c>
      <c r="K6" s="10">
        <v>8</v>
      </c>
      <c r="L6" s="11">
        <v>28000</v>
      </c>
      <c r="M6" s="11">
        <v>10000</v>
      </c>
      <c r="N6" s="11">
        <f>L6-M6</f>
        <v>18000</v>
      </c>
      <c r="O6" s="8" t="s">
        <v>40</v>
      </c>
      <c r="P6" s="8" t="s">
        <v>41</v>
      </c>
    </row>
    <row r="7" spans="1:16" ht="20.100000000000001" customHeight="1" x14ac:dyDescent="0.2">
      <c r="A7" s="4" t="s">
        <v>42</v>
      </c>
      <c r="B7" s="4" t="s">
        <v>43</v>
      </c>
      <c r="C7" s="5" t="s">
        <v>44</v>
      </c>
      <c r="D7" s="4" t="s">
        <v>45</v>
      </c>
      <c r="E7" s="5" t="s">
        <v>46</v>
      </c>
      <c r="F7" s="4" t="s">
        <v>47</v>
      </c>
      <c r="G7" s="5" t="s">
        <v>48</v>
      </c>
      <c r="H7" s="5" t="s">
        <v>49</v>
      </c>
      <c r="I7" s="4" t="s">
        <v>50</v>
      </c>
      <c r="J7" s="5" t="s">
        <v>51</v>
      </c>
      <c r="K7" s="6">
        <v>18.2</v>
      </c>
      <c r="L7" s="7">
        <v>62000</v>
      </c>
      <c r="M7" s="7">
        <v>20000</v>
      </c>
      <c r="N7" s="7">
        <f>L7-M7</f>
        <v>42000</v>
      </c>
      <c r="O7" s="4" t="s">
        <v>52</v>
      </c>
      <c r="P7" s="4" t="s">
        <v>41</v>
      </c>
    </row>
    <row r="8" spans="1:16" ht="20.100000000000001" customHeight="1" x14ac:dyDescent="0.2">
      <c r="A8" s="8" t="s">
        <v>53</v>
      </c>
      <c r="B8" s="8" t="s">
        <v>54</v>
      </c>
      <c r="C8" s="9" t="s">
        <v>55</v>
      </c>
      <c r="D8" s="8" t="s">
        <v>56</v>
      </c>
      <c r="E8" s="9" t="s">
        <v>57</v>
      </c>
      <c r="F8" s="8" t="s">
        <v>58</v>
      </c>
      <c r="G8" s="9" t="s">
        <v>59</v>
      </c>
      <c r="H8" s="9" t="s">
        <v>60</v>
      </c>
      <c r="I8" s="8" t="s">
        <v>61</v>
      </c>
      <c r="J8" s="9" t="s">
        <v>62</v>
      </c>
      <c r="K8" s="10">
        <v>10</v>
      </c>
      <c r="L8" s="11">
        <v>52000</v>
      </c>
      <c r="M8" s="11">
        <v>52000</v>
      </c>
      <c r="N8" s="11">
        <f>L8-M8</f>
        <v>0</v>
      </c>
      <c r="O8" s="8" t="s">
        <v>28</v>
      </c>
      <c r="P8" s="8" t="s">
        <v>63</v>
      </c>
    </row>
    <row r="9" spans="1:16" ht="20.100000000000001" customHeight="1" x14ac:dyDescent="0.2">
      <c r="A9" s="4" t="s">
        <v>64</v>
      </c>
      <c r="B9" s="4" t="s">
        <v>65</v>
      </c>
      <c r="C9" s="5" t="s">
        <v>66</v>
      </c>
      <c r="D9" s="4" t="s">
        <v>67</v>
      </c>
      <c r="E9" s="5" t="s">
        <v>68</v>
      </c>
      <c r="F9" s="4" t="s">
        <v>69</v>
      </c>
      <c r="G9" s="5" t="s">
        <v>70</v>
      </c>
      <c r="H9" s="5" t="s">
        <v>24</v>
      </c>
      <c r="I9" s="4" t="s">
        <v>71</v>
      </c>
      <c r="J9" s="5" t="s">
        <v>72</v>
      </c>
      <c r="K9" s="6">
        <v>15</v>
      </c>
      <c r="L9" s="7">
        <v>38000</v>
      </c>
      <c r="M9" s="7">
        <v>10000</v>
      </c>
      <c r="N9" s="7">
        <f>L9-M9</f>
        <v>28000</v>
      </c>
      <c r="O9" s="4" t="s">
        <v>28</v>
      </c>
      <c r="P9" s="4" t="s">
        <v>73</v>
      </c>
    </row>
    <row r="10" spans="1:16" ht="16.5" x14ac:dyDescent="0.25">
      <c r="A10" s="12" t="s">
        <v>74</v>
      </c>
      <c r="B10" s="13"/>
      <c r="C10" s="13"/>
      <c r="D10" s="13"/>
      <c r="E10" s="13"/>
      <c r="F10" s="13"/>
      <c r="G10" s="13"/>
      <c r="H10" s="13"/>
      <c r="I10" s="13"/>
      <c r="J10" s="13"/>
      <c r="K10" s="14">
        <f>SUM(K5:K9)</f>
        <v>63.7</v>
      </c>
      <c r="L10" s="15">
        <f>SUM(L5:L9)</f>
        <v>225000</v>
      </c>
      <c r="M10" s="15">
        <f>SUM(M5:M9)</f>
        <v>107000</v>
      </c>
      <c r="N10" s="15">
        <f>SUM(N5:N9)</f>
        <v>118000</v>
      </c>
      <c r="O10" s="13"/>
      <c r="P10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/>
  </sheetViews>
  <sheetFormatPr defaultRowHeight="15" x14ac:dyDescent="0.2"/>
  <cols>
    <col min="1" max="1" width="18.0234375" customWidth="1"/>
    <col min="2" max="3" width="20.04296875" customWidth="1"/>
    <col min="4" max="4" width="16.0078125" customWidth="1"/>
    <col min="5" max="6" width="16.94921875" customWidth="1"/>
    <col min="7" max="7" width="18.0234375" customWidth="1"/>
    <col min="8" max="8" width="20.04296875" customWidth="1"/>
    <col min="9" max="9" width="18.0234375" customWidth="1"/>
    <col min="10" max="10" width="16.94921875" customWidth="1"/>
  </cols>
  <sheetData>
    <row r="1" spans="1:10" ht="23.25" x14ac:dyDescent="0.35">
      <c r="A1" s="1" t="s">
        <v>75</v>
      </c>
    </row>
    <row r="2" spans="1:10" ht="16.5" x14ac:dyDescent="0.25">
      <c r="A2" s="2" t="s">
        <v>76</v>
      </c>
    </row>
    <row r="4" spans="1:10" ht="24.95" customHeight="1" x14ac:dyDescent="0.2">
      <c r="A4" s="3" t="s">
        <v>10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3" t="s">
        <v>84</v>
      </c>
      <c r="J4" s="3" t="s">
        <v>85</v>
      </c>
    </row>
    <row r="5" spans="1:10" ht="20.100000000000001" customHeight="1" x14ac:dyDescent="0.2">
      <c r="A5" s="4" t="s">
        <v>26</v>
      </c>
      <c r="B5" s="5" t="s">
        <v>86</v>
      </c>
      <c r="C5" s="5" t="s">
        <v>87</v>
      </c>
      <c r="D5" s="4" t="s">
        <v>88</v>
      </c>
      <c r="E5" s="5" t="s">
        <v>89</v>
      </c>
      <c r="F5" s="4" t="s">
        <v>90</v>
      </c>
      <c r="G5" s="4" t="s">
        <v>91</v>
      </c>
      <c r="H5" s="4" t="s">
        <v>92</v>
      </c>
      <c r="I5" s="4" t="s">
        <v>93</v>
      </c>
      <c r="J5" s="4" t="s">
        <v>94</v>
      </c>
    </row>
    <row r="6" spans="1:10" ht="20.100000000000001" customHeight="1" x14ac:dyDescent="0.2">
      <c r="A6" s="8" t="s">
        <v>38</v>
      </c>
      <c r="B6" s="9" t="s">
        <v>95</v>
      </c>
      <c r="C6" s="9" t="s">
        <v>96</v>
      </c>
      <c r="D6" s="8" t="s">
        <v>97</v>
      </c>
      <c r="E6" s="9" t="s">
        <v>98</v>
      </c>
      <c r="F6" s="8" t="s">
        <v>99</v>
      </c>
      <c r="G6" s="8" t="s">
        <v>100</v>
      </c>
      <c r="H6" s="8" t="s">
        <v>101</v>
      </c>
      <c r="I6" s="8" t="s">
        <v>102</v>
      </c>
      <c r="J6" s="8" t="s">
        <v>103</v>
      </c>
    </row>
    <row r="7" spans="1:10" ht="20.100000000000001" customHeight="1" x14ac:dyDescent="0.2">
      <c r="A7" s="4" t="s">
        <v>50</v>
      </c>
      <c r="B7" s="5" t="s">
        <v>104</v>
      </c>
      <c r="C7" s="5" t="s">
        <v>105</v>
      </c>
      <c r="D7" s="4" t="s">
        <v>106</v>
      </c>
      <c r="E7" s="5" t="s">
        <v>107</v>
      </c>
      <c r="F7" s="4" t="s">
        <v>108</v>
      </c>
      <c r="G7" s="4" t="s">
        <v>109</v>
      </c>
      <c r="H7" s="4" t="s">
        <v>110</v>
      </c>
      <c r="I7" s="4" t="s">
        <v>111</v>
      </c>
      <c r="J7" s="4" t="s">
        <v>112</v>
      </c>
    </row>
    <row r="8" spans="1:10" ht="20.100000000000001" customHeight="1" x14ac:dyDescent="0.2">
      <c r="A8" s="8" t="s">
        <v>61</v>
      </c>
      <c r="B8" s="9" t="s">
        <v>113</v>
      </c>
      <c r="C8" s="9" t="s">
        <v>114</v>
      </c>
      <c r="D8" s="8" t="s">
        <v>115</v>
      </c>
      <c r="E8" s="9" t="s">
        <v>116</v>
      </c>
      <c r="F8" s="8" t="s">
        <v>117</v>
      </c>
      <c r="G8" s="8" t="s">
        <v>118</v>
      </c>
      <c r="H8" s="8" t="s">
        <v>119</v>
      </c>
      <c r="I8" s="8" t="s">
        <v>120</v>
      </c>
      <c r="J8" s="8" t="s">
        <v>121</v>
      </c>
    </row>
    <row r="9" spans="1:10" ht="20.100000000000001" customHeight="1" x14ac:dyDescent="0.2">
      <c r="A9" s="4" t="s">
        <v>71</v>
      </c>
      <c r="B9" s="5" t="s">
        <v>122</v>
      </c>
      <c r="C9" s="5" t="s">
        <v>123</v>
      </c>
      <c r="D9" s="4" t="s">
        <v>124</v>
      </c>
      <c r="E9" s="5" t="s">
        <v>125</v>
      </c>
      <c r="F9" s="4" t="s">
        <v>126</v>
      </c>
      <c r="G9" s="4" t="s">
        <v>127</v>
      </c>
      <c r="H9" s="4" t="s">
        <v>128</v>
      </c>
      <c r="I9" s="4" t="s">
        <v>129</v>
      </c>
      <c r="J9" s="4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opLeftCell="A3" workbookViewId="0">
      <selection activeCell="H6" sqref="H6"/>
    </sheetView>
  </sheetViews>
  <sheetFormatPr defaultRowHeight="15" x14ac:dyDescent="0.2"/>
  <cols>
    <col min="1" max="1" width="20.984375" customWidth="1"/>
    <col min="2" max="2" width="14.9296875" customWidth="1"/>
    <col min="3" max="3" width="23" customWidth="1"/>
    <col min="4" max="5" width="18.0234375" customWidth="1"/>
    <col min="6" max="6" width="23" customWidth="1"/>
    <col min="7" max="7" width="22.05859375" customWidth="1"/>
    <col min="8" max="8" width="13.98828125" customWidth="1"/>
    <col min="9" max="9" width="22.05859375" customWidth="1"/>
    <col min="10" max="10" width="55.9609375" customWidth="1"/>
    <col min="11" max="11" width="18.0234375" customWidth="1"/>
  </cols>
  <sheetData>
    <row r="1" spans="1:11" ht="23.25" x14ac:dyDescent="0.35">
      <c r="A1" s="1" t="s">
        <v>131</v>
      </c>
    </row>
    <row r="2" spans="1:11" ht="16.5" x14ac:dyDescent="0.25">
      <c r="A2" s="2" t="s">
        <v>132</v>
      </c>
    </row>
    <row r="4" spans="1:11" ht="24.95" customHeight="1" x14ac:dyDescent="0.2">
      <c r="A4" s="3" t="s">
        <v>133</v>
      </c>
      <c r="B4" s="3" t="s">
        <v>2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  <c r="H4" s="3" t="s">
        <v>139</v>
      </c>
      <c r="I4" s="3" t="s">
        <v>140</v>
      </c>
      <c r="J4" s="3" t="s">
        <v>141</v>
      </c>
      <c r="K4" s="3" t="s">
        <v>142</v>
      </c>
    </row>
    <row r="5" spans="1:11" ht="20.100000000000001" customHeight="1" x14ac:dyDescent="0.2">
      <c r="A5" s="4" t="s">
        <v>143</v>
      </c>
      <c r="B5" s="4" t="s">
        <v>18</v>
      </c>
      <c r="C5" s="5" t="s">
        <v>20</v>
      </c>
      <c r="D5" s="4" t="s">
        <v>144</v>
      </c>
      <c r="E5" s="7">
        <v>45000</v>
      </c>
      <c r="F5" s="7">
        <v>15000</v>
      </c>
      <c r="G5" s="7">
        <f>E5-F5</f>
        <v>30000</v>
      </c>
      <c r="H5" s="4" t="s">
        <v>145</v>
      </c>
      <c r="I5" s="4" t="s">
        <v>146</v>
      </c>
      <c r="J5" s="5" t="s">
        <v>147</v>
      </c>
      <c r="K5" s="4" t="s">
        <v>148</v>
      </c>
    </row>
    <row r="6" spans="1:11" ht="20.100000000000001" customHeight="1" x14ac:dyDescent="0.2">
      <c r="A6" s="8" t="s">
        <v>149</v>
      </c>
      <c r="B6" s="8" t="s">
        <v>30</v>
      </c>
      <c r="C6" s="9" t="s">
        <v>32</v>
      </c>
      <c r="D6" s="8" t="s">
        <v>150</v>
      </c>
      <c r="E6" s="11">
        <v>28000</v>
      </c>
      <c r="F6" s="11">
        <v>10000</v>
      </c>
      <c r="G6" s="11">
        <f>E6-F6</f>
        <v>18000</v>
      </c>
      <c r="H6" s="8" t="s">
        <v>151</v>
      </c>
      <c r="I6" s="8" t="s">
        <v>152</v>
      </c>
      <c r="J6" s="9" t="s">
        <v>153</v>
      </c>
      <c r="K6" s="8" t="s">
        <v>148</v>
      </c>
    </row>
    <row r="7" spans="1:11" ht="20.100000000000001" customHeight="1" x14ac:dyDescent="0.2">
      <c r="A7" s="4" t="s">
        <v>154</v>
      </c>
      <c r="B7" s="4" t="s">
        <v>42</v>
      </c>
      <c r="C7" s="5" t="s">
        <v>44</v>
      </c>
      <c r="D7" s="4" t="s">
        <v>155</v>
      </c>
      <c r="E7" s="7">
        <v>62000</v>
      </c>
      <c r="F7" s="7">
        <v>20000</v>
      </c>
      <c r="G7" s="7">
        <f>E7-F7</f>
        <v>42000</v>
      </c>
      <c r="H7" s="4" t="s">
        <v>120</v>
      </c>
      <c r="I7" s="4" t="s">
        <v>156</v>
      </c>
      <c r="J7" s="5" t="s">
        <v>157</v>
      </c>
      <c r="K7" s="4" t="s">
        <v>158</v>
      </c>
    </row>
    <row r="8" spans="1:11" ht="20.100000000000001" customHeight="1" x14ac:dyDescent="0.2">
      <c r="A8" s="8" t="s">
        <v>159</v>
      </c>
      <c r="B8" s="8" t="s">
        <v>53</v>
      </c>
      <c r="C8" s="9" t="s">
        <v>55</v>
      </c>
      <c r="D8" s="8" t="s">
        <v>160</v>
      </c>
      <c r="E8" s="11">
        <v>52000</v>
      </c>
      <c r="F8" s="11">
        <v>52000</v>
      </c>
      <c r="G8" s="11">
        <f>E8-F8</f>
        <v>0</v>
      </c>
      <c r="H8" s="8" t="s">
        <v>65</v>
      </c>
      <c r="I8" s="8" t="s">
        <v>65</v>
      </c>
      <c r="J8" s="9" t="s">
        <v>161</v>
      </c>
      <c r="K8" s="8" t="s">
        <v>162</v>
      </c>
    </row>
    <row r="9" spans="1:11" ht="20.100000000000001" customHeight="1" x14ac:dyDescent="0.2">
      <c r="A9" s="4" t="s">
        <v>163</v>
      </c>
      <c r="B9" s="4" t="s">
        <v>64</v>
      </c>
      <c r="C9" s="5" t="s">
        <v>66</v>
      </c>
      <c r="D9" s="4" t="s">
        <v>164</v>
      </c>
      <c r="E9" s="7">
        <v>38000</v>
      </c>
      <c r="F9" s="7">
        <v>10000</v>
      </c>
      <c r="G9" s="7">
        <f>E9-F9</f>
        <v>28000</v>
      </c>
      <c r="H9" s="4" t="s">
        <v>101</v>
      </c>
      <c r="I9" s="4" t="s">
        <v>165</v>
      </c>
      <c r="J9" s="5" t="s">
        <v>166</v>
      </c>
      <c r="K9" s="4" t="s">
        <v>148</v>
      </c>
    </row>
    <row r="10" spans="1:11" ht="16.5" x14ac:dyDescent="0.25">
      <c r="A10" s="12" t="s">
        <v>167</v>
      </c>
      <c r="B10" s="13"/>
      <c r="C10" s="13"/>
      <c r="D10" s="13"/>
      <c r="E10" s="15">
        <f>SUM(E5:E9)</f>
        <v>225000</v>
      </c>
      <c r="F10" s="15">
        <f>SUM(F5:F9)</f>
        <v>107000</v>
      </c>
      <c r="G10" s="15">
        <f>SUM(G5:G9)</f>
        <v>118000</v>
      </c>
      <c r="H10" s="13"/>
      <c r="I10" s="13"/>
      <c r="J10" s="13"/>
      <c r="K1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selection activeCell="G8" sqref="G8"/>
    </sheetView>
  </sheetViews>
  <sheetFormatPr defaultRowHeight="15" x14ac:dyDescent="0.2"/>
  <cols>
    <col min="1" max="1" width="20.984375" customWidth="1"/>
    <col min="2" max="2" width="14.9296875" customWidth="1"/>
    <col min="3" max="3" width="27.0390625" customWidth="1"/>
    <col min="4" max="4" width="16.94921875" customWidth="1"/>
    <col min="5" max="5" width="18.0234375" customWidth="1"/>
    <col min="6" max="6" width="22.05859375" customWidth="1"/>
    <col min="7" max="7" width="20.984375" customWidth="1"/>
    <col min="8" max="8" width="25.9609375" customWidth="1"/>
    <col min="9" max="9" width="23" customWidth="1"/>
    <col min="10" max="10" width="18.0234375" customWidth="1"/>
  </cols>
  <sheetData>
    <row r="1" spans="1:10" ht="23.25" x14ac:dyDescent="0.35">
      <c r="A1" s="1" t="s">
        <v>168</v>
      </c>
    </row>
    <row r="2" spans="1:10" ht="16.5" x14ac:dyDescent="0.25">
      <c r="A2" s="2" t="s">
        <v>169</v>
      </c>
    </row>
    <row r="4" spans="1:10" ht="24.95" customHeight="1" x14ac:dyDescent="0.2">
      <c r="A4" s="3" t="s">
        <v>133</v>
      </c>
      <c r="B4" s="3" t="s">
        <v>2</v>
      </c>
      <c r="C4" s="3" t="s">
        <v>170</v>
      </c>
      <c r="D4" s="3" t="s">
        <v>171</v>
      </c>
      <c r="E4" s="3" t="s">
        <v>10</v>
      </c>
      <c r="F4" s="3" t="s">
        <v>172</v>
      </c>
      <c r="G4" s="3" t="s">
        <v>173</v>
      </c>
      <c r="H4" s="3" t="s">
        <v>174</v>
      </c>
      <c r="I4" s="3" t="s">
        <v>175</v>
      </c>
      <c r="J4" s="3" t="s">
        <v>142</v>
      </c>
    </row>
    <row r="5" spans="1:10" ht="20.100000000000001" customHeight="1" x14ac:dyDescent="0.2">
      <c r="A5" s="4" t="s">
        <v>176</v>
      </c>
      <c r="B5" s="4" t="s">
        <v>18</v>
      </c>
      <c r="C5" s="5" t="s">
        <v>87</v>
      </c>
      <c r="D5" s="4" t="s">
        <v>88</v>
      </c>
      <c r="E5" s="4" t="s">
        <v>26</v>
      </c>
      <c r="F5" s="7">
        <v>38000</v>
      </c>
      <c r="G5" s="7">
        <v>10000</v>
      </c>
      <c r="H5" s="7">
        <v>5000</v>
      </c>
      <c r="I5" s="7">
        <f>F5-G5-H5</f>
        <v>23000</v>
      </c>
      <c r="J5" s="4" t="s">
        <v>41</v>
      </c>
    </row>
    <row r="6" spans="1:10" ht="20.100000000000001" customHeight="1" x14ac:dyDescent="0.2">
      <c r="A6" s="8" t="s">
        <v>177</v>
      </c>
      <c r="B6" s="8" t="s">
        <v>30</v>
      </c>
      <c r="C6" s="9" t="s">
        <v>96</v>
      </c>
      <c r="D6" s="8" t="s">
        <v>97</v>
      </c>
      <c r="E6" s="8" t="s">
        <v>38</v>
      </c>
      <c r="F6" s="11">
        <v>24000</v>
      </c>
      <c r="G6" s="11">
        <v>8000</v>
      </c>
      <c r="H6" s="11">
        <v>2000</v>
      </c>
      <c r="I6" s="11">
        <f>F6-G6-H6</f>
        <v>14000</v>
      </c>
      <c r="J6" s="8" t="s">
        <v>41</v>
      </c>
    </row>
    <row r="7" spans="1:10" ht="20.100000000000001" customHeight="1" x14ac:dyDescent="0.2">
      <c r="A7" s="4" t="s">
        <v>178</v>
      </c>
      <c r="B7" s="4" t="s">
        <v>42</v>
      </c>
      <c r="C7" s="5" t="s">
        <v>179</v>
      </c>
      <c r="D7" s="4" t="s">
        <v>106</v>
      </c>
      <c r="E7" s="4" t="s">
        <v>50</v>
      </c>
      <c r="F7" s="7">
        <v>54000</v>
      </c>
      <c r="G7" s="7">
        <v>15000</v>
      </c>
      <c r="H7" s="7">
        <v>8000</v>
      </c>
      <c r="I7" s="7">
        <f>F7-G7-H7</f>
        <v>31000</v>
      </c>
      <c r="J7" s="4" t="s">
        <v>41</v>
      </c>
    </row>
    <row r="8" spans="1:10" ht="20.100000000000001" customHeight="1" x14ac:dyDescent="0.2">
      <c r="A8" s="8" t="s">
        <v>180</v>
      </c>
      <c r="B8" s="8" t="s">
        <v>53</v>
      </c>
      <c r="C8" s="9" t="s">
        <v>181</v>
      </c>
      <c r="D8" s="8" t="s">
        <v>115</v>
      </c>
      <c r="E8" s="8" t="s">
        <v>61</v>
      </c>
      <c r="F8" s="11">
        <v>46000</v>
      </c>
      <c r="G8" s="11">
        <v>30000</v>
      </c>
      <c r="H8" s="11">
        <v>16000</v>
      </c>
      <c r="I8" s="11">
        <f>F8-G8-H8</f>
        <v>0</v>
      </c>
      <c r="J8" s="8" t="s">
        <v>162</v>
      </c>
    </row>
    <row r="9" spans="1:10" ht="20.100000000000001" customHeight="1" x14ac:dyDescent="0.2">
      <c r="A9" s="4" t="s">
        <v>182</v>
      </c>
      <c r="B9" s="4" t="s">
        <v>64</v>
      </c>
      <c r="C9" s="5" t="s">
        <v>183</v>
      </c>
      <c r="D9" s="4" t="s">
        <v>124</v>
      </c>
      <c r="E9" s="4" t="s">
        <v>71</v>
      </c>
      <c r="F9" s="7">
        <v>32000</v>
      </c>
      <c r="G9" s="7">
        <v>10000</v>
      </c>
      <c r="H9" s="7">
        <v>3000</v>
      </c>
      <c r="I9" s="7">
        <f>F9-G9-H9</f>
        <v>19000</v>
      </c>
      <c r="J9" s="4" t="s">
        <v>41</v>
      </c>
    </row>
    <row r="10" spans="1:10" ht="16.5" x14ac:dyDescent="0.25">
      <c r="A10" s="12" t="s">
        <v>167</v>
      </c>
      <c r="B10" s="13"/>
      <c r="C10" s="13"/>
      <c r="D10" s="13"/>
      <c r="E10" s="13"/>
      <c r="F10" s="15">
        <f>SUM(F5:F9)</f>
        <v>194000</v>
      </c>
      <c r="G10" s="15">
        <f>SUM(G5:G9)</f>
        <v>73000</v>
      </c>
      <c r="H10" s="15">
        <f>SUM(H5:H9)</f>
        <v>34000</v>
      </c>
      <c r="I10" s="15">
        <f>SUM(I5:I9)</f>
        <v>87000</v>
      </c>
      <c r="J10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LR_Master</vt:lpstr>
      <vt:lpstr>Vehicle_Master</vt:lpstr>
      <vt:lpstr>Customer_Outstanding</vt:lpstr>
      <vt:lpstr>Vendor_Outstanding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2026-10-21T11:38:38Z</dcterms:created>
  <dcterms:modified xsi:type="dcterms:W3CDTF">2026-10-21T11:38:38Z</dcterms:modified>
</cp:coreProperties>
</file>